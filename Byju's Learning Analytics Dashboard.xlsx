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bhuva\Downloads\"/>
    </mc:Choice>
  </mc:AlternateContent>
  <xr:revisionPtr revIDLastSave="0" documentId="8_{30B5D64B-383B-4794-9C26-342BCAD82104}" xr6:coauthVersionLast="47" xr6:coauthVersionMax="47" xr10:uidLastSave="{00000000-0000-0000-0000-000000000000}"/>
  <bookViews>
    <workbookView xWindow="-108" yWindow="-108" windowWidth="23256" windowHeight="12456" activeTab="4" xr2:uid="{50B83E56-7D62-44EF-A43C-FC074F21B413}"/>
  </bookViews>
  <sheets>
    <sheet name="FORMULAS" sheetId="8" r:id="rId1"/>
    <sheet name="PIVOT TABLES" sheetId="10" r:id="rId2"/>
    <sheet name="RAW_DATA" sheetId="2" r:id="rId3"/>
    <sheet name="DASHBOARD" sheetId="9" r:id="rId4"/>
    <sheet name="DASHBOAED 2" sheetId="11" r:id="rId5"/>
  </sheets>
  <definedNames>
    <definedName name="_xlnm._FilterDatabase" localSheetId="1" hidden="1">'PIVOT TABLES'!$A$4:$I$36</definedName>
    <definedName name="ExternalData_1" localSheetId="2" hidden="1">RAW_DATA!$A$1:$S$1001</definedName>
    <definedName name="Slicer_City">#N/A</definedName>
    <definedName name="Slicer_Course_Name">#N/A</definedName>
    <definedName name="Slicer_Performance_Rating">#N/A</definedName>
    <definedName name="Slicer_Student_Name">#N/A</definedName>
  </definedNames>
  <calcPr calcId="191029" iterateDelta="1E-4"/>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8" l="1"/>
  <c r="B8" i="8"/>
  <c r="B6" i="8"/>
  <c r="A11" i="9"/>
  <c r="B20" i="8"/>
  <c r="J16" i="9"/>
  <c r="G16" i="9"/>
  <c r="P16" i="9"/>
  <c r="P11" i="9"/>
  <c r="M11" i="9"/>
  <c r="G11" i="9"/>
  <c r="B11" i="8"/>
  <c r="B10" i="8"/>
  <c r="B9" i="8"/>
  <c r="B7" i="8"/>
  <c r="B19" i="8"/>
  <c r="B18" i="8"/>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2" i="2" a="1"/>
  <c r="T3" i="2" a="1"/>
  <c r="T4" i="2" a="1"/>
  <c r="T5" i="2" a="1"/>
  <c r="T6" i="2" a="1"/>
  <c r="T7" i="2" a="1"/>
  <c r="T8" i="2" a="1"/>
  <c r="T9" i="2" a="1"/>
  <c r="T10" i="2" a="1"/>
  <c r="T11" i="2" a="1"/>
  <c r="T12" i="2" a="1"/>
  <c r="T13" i="2" a="1"/>
  <c r="T14" i="2" a="1"/>
  <c r="T15" i="2" a="1"/>
  <c r="T16" i="2" a="1"/>
  <c r="T17" i="2" a="1"/>
  <c r="T18" i="2" a="1"/>
  <c r="T19" i="2" a="1"/>
  <c r="T20" i="2" a="1"/>
  <c r="T21" i="2" a="1"/>
  <c r="T22" i="2" a="1"/>
  <c r="T23" i="2" a="1"/>
  <c r="T24" i="2" a="1"/>
  <c r="T25" i="2" a="1"/>
  <c r="T26" i="2" a="1"/>
  <c r="T27" i="2" a="1"/>
  <c r="T28" i="2" a="1"/>
  <c r="T29" i="2" a="1"/>
  <c r="T30" i="2" a="1"/>
  <c r="T31" i="2" a="1"/>
  <c r="T32" i="2" a="1"/>
  <c r="T33" i="2" a="1"/>
  <c r="T34" i="2" a="1"/>
  <c r="T35" i="2" a="1"/>
  <c r="T36" i="2" a="1"/>
  <c r="T37" i="2" a="1"/>
  <c r="T38" i="2" a="1"/>
  <c r="T39" i="2" a="1"/>
  <c r="T40" i="2" a="1"/>
  <c r="T41" i="2" a="1"/>
  <c r="T42" i="2" a="1"/>
  <c r="T43" i="2" a="1"/>
  <c r="T44" i="2" a="1"/>
  <c r="T45" i="2" a="1"/>
  <c r="T46" i="2" a="1"/>
  <c r="T47" i="2" a="1"/>
  <c r="T48" i="2" a="1"/>
  <c r="T49" i="2" a="1"/>
  <c r="T50" i="2" a="1"/>
  <c r="T51" i="2" a="1"/>
  <c r="T52" i="2" a="1"/>
  <c r="T53" i="2" a="1"/>
  <c r="T54" i="2" a="1"/>
  <c r="T55" i="2" a="1"/>
  <c r="T56" i="2" a="1"/>
  <c r="T57" i="2" a="1"/>
  <c r="T58" i="2" a="1"/>
  <c r="T59" i="2" a="1"/>
  <c r="T60" i="2" a="1"/>
  <c r="T61" i="2" a="1"/>
  <c r="T62" i="2" a="1"/>
  <c r="T63" i="2" a="1"/>
  <c r="T64" i="2" a="1"/>
  <c r="T65" i="2" a="1"/>
  <c r="T66" i="2" a="1"/>
  <c r="T67" i="2" a="1"/>
  <c r="T68" i="2" a="1"/>
  <c r="T69" i="2" a="1"/>
  <c r="T70" i="2" a="1"/>
  <c r="T71" i="2" a="1"/>
  <c r="T72" i="2" a="1"/>
  <c r="T73" i="2" a="1"/>
  <c r="T74" i="2" a="1"/>
  <c r="T75" i="2" a="1"/>
  <c r="T76" i="2" a="1"/>
  <c r="T77" i="2" a="1"/>
  <c r="T78" i="2" a="1"/>
  <c r="T79" i="2" a="1"/>
  <c r="T80" i="2" a="1"/>
  <c r="T81" i="2" a="1"/>
  <c r="T82" i="2" a="1"/>
  <c r="T83" i="2" a="1"/>
  <c r="T84" i="2" a="1"/>
  <c r="T85" i="2" a="1"/>
  <c r="T86" i="2" a="1"/>
  <c r="T87" i="2" a="1"/>
  <c r="T88" i="2" a="1"/>
  <c r="T89" i="2" a="1"/>
  <c r="T90" i="2" a="1"/>
  <c r="T91" i="2" a="1"/>
  <c r="T92" i="2" a="1"/>
  <c r="T93" i="2" a="1"/>
  <c r="T94" i="2" a="1"/>
  <c r="T95" i="2" a="1"/>
  <c r="T96" i="2" a="1"/>
  <c r="T97" i="2" a="1"/>
  <c r="T98" i="2" a="1"/>
  <c r="T99" i="2" a="1"/>
  <c r="T100" i="2" a="1"/>
  <c r="T101" i="2" a="1"/>
  <c r="T102" i="2" a="1"/>
  <c r="T103" i="2" a="1"/>
  <c r="T104" i="2" a="1"/>
  <c r="T105" i="2" a="1"/>
  <c r="T106" i="2" a="1"/>
  <c r="T107" i="2" a="1"/>
  <c r="T108" i="2" a="1"/>
  <c r="T109" i="2" a="1"/>
  <c r="T110" i="2" a="1"/>
  <c r="T111" i="2" a="1"/>
  <c r="T112" i="2" a="1"/>
  <c r="T113" i="2" a="1"/>
  <c r="T114" i="2" a="1"/>
  <c r="T115" i="2" a="1"/>
  <c r="T116" i="2" a="1"/>
  <c r="T117" i="2" a="1"/>
  <c r="T118" i="2" a="1"/>
  <c r="T119" i="2" a="1"/>
  <c r="T120" i="2" a="1"/>
  <c r="T121" i="2" a="1"/>
  <c r="T122" i="2" a="1"/>
  <c r="T123" i="2" a="1"/>
  <c r="T124" i="2" a="1"/>
  <c r="T125" i="2" a="1"/>
  <c r="T126" i="2" a="1"/>
  <c r="T127" i="2" a="1"/>
  <c r="T128" i="2" a="1"/>
  <c r="T129" i="2" a="1"/>
  <c r="T130" i="2" a="1"/>
  <c r="T131" i="2" a="1"/>
  <c r="T132" i="2" a="1"/>
  <c r="T133" i="2" a="1"/>
  <c r="T134" i="2" a="1"/>
  <c r="T135" i="2" a="1"/>
  <c r="T136" i="2" a="1"/>
  <c r="T137" i="2" a="1"/>
  <c r="T138" i="2" a="1"/>
  <c r="T139" i="2" a="1"/>
  <c r="T140" i="2" a="1"/>
  <c r="T141" i="2" a="1"/>
  <c r="T142" i="2" a="1"/>
  <c r="T143" i="2" a="1"/>
  <c r="T144" i="2" a="1"/>
  <c r="T145" i="2" a="1"/>
  <c r="T146" i="2" a="1"/>
  <c r="T147" i="2" a="1"/>
  <c r="T148" i="2" a="1"/>
  <c r="T149" i="2" a="1"/>
  <c r="T150" i="2" a="1"/>
  <c r="T151" i="2" a="1"/>
  <c r="T152" i="2" a="1"/>
  <c r="T153" i="2" a="1"/>
  <c r="T154" i="2" a="1"/>
  <c r="T155" i="2" a="1"/>
  <c r="T156" i="2" a="1"/>
  <c r="T157" i="2" a="1"/>
  <c r="T158" i="2" a="1"/>
  <c r="T159" i="2" a="1"/>
  <c r="T160" i="2" a="1"/>
  <c r="T161" i="2" a="1"/>
  <c r="T162" i="2" a="1"/>
  <c r="T163" i="2" a="1"/>
  <c r="T164" i="2" a="1"/>
  <c r="T165" i="2" a="1"/>
  <c r="T166" i="2" a="1"/>
  <c r="T167" i="2" a="1"/>
  <c r="T168" i="2" a="1"/>
  <c r="T169" i="2" a="1"/>
  <c r="T170" i="2" a="1"/>
  <c r="T171" i="2" a="1"/>
  <c r="T172" i="2" a="1"/>
  <c r="T173" i="2" a="1"/>
  <c r="T174" i="2" a="1"/>
  <c r="T175" i="2" a="1"/>
  <c r="T176" i="2" a="1"/>
  <c r="T177" i="2" a="1"/>
  <c r="T178" i="2" a="1"/>
  <c r="T179" i="2" a="1"/>
  <c r="T180" i="2" a="1"/>
  <c r="T181" i="2" a="1"/>
  <c r="T182" i="2" a="1"/>
  <c r="T183" i="2" a="1"/>
  <c r="T184" i="2" a="1"/>
  <c r="T185" i="2" a="1"/>
  <c r="T186" i="2" a="1"/>
  <c r="T187" i="2" a="1"/>
  <c r="T188" i="2" a="1"/>
  <c r="T189" i="2" a="1"/>
  <c r="T190" i="2" a="1"/>
  <c r="T191" i="2" a="1"/>
  <c r="T192" i="2" a="1"/>
  <c r="T193" i="2" a="1"/>
  <c r="T194" i="2" a="1"/>
  <c r="T195" i="2" a="1"/>
  <c r="T196" i="2" a="1"/>
  <c r="T197" i="2" a="1"/>
  <c r="T198" i="2" a="1"/>
  <c r="T199" i="2" a="1"/>
  <c r="T200" i="2" a="1"/>
  <c r="T201" i="2" a="1"/>
  <c r="T202" i="2" a="1"/>
  <c r="T203" i="2" a="1"/>
  <c r="T204" i="2" a="1"/>
  <c r="T205" i="2" a="1"/>
  <c r="T206" i="2" a="1"/>
  <c r="T207" i="2" a="1"/>
  <c r="T208" i="2" a="1"/>
  <c r="T209" i="2" a="1"/>
  <c r="T210" i="2" a="1"/>
  <c r="T211" i="2" a="1"/>
  <c r="T212" i="2" a="1"/>
  <c r="T213" i="2" a="1"/>
  <c r="T214" i="2" a="1"/>
  <c r="T215" i="2" a="1"/>
  <c r="T216" i="2" a="1"/>
  <c r="T217" i="2" a="1"/>
  <c r="T218" i="2" a="1"/>
  <c r="T219" i="2" a="1"/>
  <c r="T220" i="2" a="1"/>
  <c r="T221" i="2" a="1"/>
  <c r="T222" i="2" a="1"/>
  <c r="T223" i="2" a="1"/>
  <c r="T224" i="2" a="1"/>
  <c r="T225" i="2" a="1"/>
  <c r="T226" i="2" a="1"/>
  <c r="T227" i="2" a="1"/>
  <c r="T228" i="2" a="1"/>
  <c r="T229" i="2" a="1"/>
  <c r="T230" i="2" a="1"/>
  <c r="T231" i="2" a="1"/>
  <c r="T232" i="2" a="1"/>
  <c r="T233" i="2" a="1"/>
  <c r="T234" i="2" a="1"/>
  <c r="T235" i="2" a="1"/>
  <c r="T236" i="2" a="1"/>
  <c r="T237" i="2" a="1"/>
  <c r="T238" i="2" a="1"/>
  <c r="T239" i="2" a="1"/>
  <c r="T240" i="2" a="1"/>
  <c r="T241" i="2" a="1"/>
  <c r="T242" i="2" a="1"/>
  <c r="T243" i="2" a="1"/>
  <c r="T244" i="2" a="1"/>
  <c r="T245" i="2" a="1"/>
  <c r="T246" i="2" a="1"/>
  <c r="T247" i="2" a="1"/>
  <c r="T248" i="2" a="1"/>
  <c r="T249" i="2" a="1"/>
  <c r="T250" i="2" a="1"/>
  <c r="T251" i="2" a="1"/>
  <c r="T252" i="2" a="1"/>
  <c r="T253" i="2" a="1"/>
  <c r="T254" i="2" a="1"/>
  <c r="T255" i="2" a="1"/>
  <c r="T256" i="2" a="1"/>
  <c r="T257" i="2" a="1"/>
  <c r="T258" i="2" a="1"/>
  <c r="T259" i="2" a="1"/>
  <c r="T260" i="2" a="1"/>
  <c r="T261" i="2" a="1"/>
  <c r="T262" i="2" a="1"/>
  <c r="T263" i="2" a="1"/>
  <c r="T264" i="2" a="1"/>
  <c r="T265" i="2" a="1"/>
  <c r="T266" i="2" a="1"/>
  <c r="T267" i="2" a="1"/>
  <c r="T268" i="2" a="1"/>
  <c r="T269" i="2" a="1"/>
  <c r="T270" i="2" a="1"/>
  <c r="T271" i="2" a="1"/>
  <c r="T272" i="2" a="1"/>
  <c r="T273" i="2" a="1"/>
  <c r="T274" i="2" a="1"/>
  <c r="T275" i="2" a="1"/>
  <c r="T276" i="2" a="1"/>
  <c r="T277" i="2" a="1"/>
  <c r="T278" i="2" a="1"/>
  <c r="T279" i="2" a="1"/>
  <c r="T280" i="2" a="1"/>
  <c r="T281" i="2" a="1"/>
  <c r="T282" i="2" a="1"/>
  <c r="T283" i="2" a="1"/>
  <c r="T284" i="2" a="1"/>
  <c r="T285" i="2" a="1"/>
  <c r="T286" i="2" a="1"/>
  <c r="T287" i="2" a="1"/>
  <c r="T288" i="2" a="1"/>
  <c r="T289" i="2" a="1"/>
  <c r="T290" i="2" a="1"/>
  <c r="T291" i="2" a="1"/>
  <c r="T292" i="2" a="1"/>
  <c r="T293" i="2" a="1"/>
  <c r="T294" i="2" a="1"/>
  <c r="T295" i="2" a="1"/>
  <c r="T296" i="2" a="1"/>
  <c r="T297" i="2" a="1"/>
  <c r="T298" i="2" a="1"/>
  <c r="T299" i="2" a="1"/>
  <c r="T300" i="2" a="1"/>
  <c r="T301" i="2" a="1"/>
  <c r="T302" i="2" a="1"/>
  <c r="T303" i="2" a="1"/>
  <c r="T304" i="2" a="1"/>
  <c r="T305" i="2" a="1"/>
  <c r="T306" i="2" a="1"/>
  <c r="T307" i="2" a="1"/>
  <c r="T308" i="2" a="1"/>
  <c r="T309" i="2" a="1"/>
  <c r="T310" i="2" a="1"/>
  <c r="T311" i="2" a="1"/>
  <c r="T312" i="2" a="1"/>
  <c r="T313" i="2" a="1"/>
  <c r="T314" i="2" a="1"/>
  <c r="T315" i="2" a="1"/>
  <c r="T316" i="2" a="1"/>
  <c r="T317" i="2" a="1"/>
  <c r="T318" i="2" a="1"/>
  <c r="T319" i="2" a="1"/>
  <c r="T320" i="2" a="1"/>
  <c r="T321" i="2" a="1"/>
  <c r="T322" i="2" a="1"/>
  <c r="T323" i="2" a="1"/>
  <c r="T324" i="2" a="1"/>
  <c r="T325" i="2" a="1"/>
  <c r="T326" i="2" a="1"/>
  <c r="T327" i="2" a="1"/>
  <c r="T328" i="2" a="1"/>
  <c r="T329" i="2" a="1"/>
  <c r="T330" i="2" a="1"/>
  <c r="T331" i="2" a="1"/>
  <c r="T332" i="2" a="1"/>
  <c r="T333" i="2" a="1"/>
  <c r="T334" i="2" a="1"/>
  <c r="T335" i="2" a="1"/>
  <c r="T336" i="2" a="1"/>
  <c r="T337" i="2" a="1"/>
  <c r="T338" i="2" a="1"/>
  <c r="T339" i="2" a="1"/>
  <c r="T340" i="2" a="1"/>
  <c r="T341" i="2" a="1"/>
  <c r="T342" i="2" a="1"/>
  <c r="T343" i="2" a="1"/>
  <c r="T344" i="2" a="1"/>
  <c r="T345" i="2" a="1"/>
  <c r="T346" i="2" a="1"/>
  <c r="T347" i="2" a="1"/>
  <c r="T348" i="2" a="1"/>
  <c r="T349" i="2" a="1"/>
  <c r="T350" i="2" a="1"/>
  <c r="T351" i="2" a="1"/>
  <c r="T352" i="2" a="1"/>
  <c r="T353" i="2" a="1"/>
  <c r="T354" i="2" a="1"/>
  <c r="T355" i="2" a="1"/>
  <c r="T356" i="2" a="1"/>
  <c r="T357" i="2" a="1"/>
  <c r="T358" i="2" a="1"/>
  <c r="T359" i="2" a="1"/>
  <c r="T360" i="2" a="1"/>
  <c r="T361" i="2" a="1"/>
  <c r="T362" i="2" a="1"/>
  <c r="T363" i="2" a="1"/>
  <c r="T364" i="2" a="1"/>
  <c r="T365" i="2" a="1"/>
  <c r="T366" i="2" a="1"/>
  <c r="T367" i="2" a="1"/>
  <c r="T368" i="2" a="1"/>
  <c r="T369" i="2" a="1"/>
  <c r="T370" i="2" a="1"/>
  <c r="T371" i="2" a="1"/>
  <c r="T372" i="2" a="1"/>
  <c r="T373" i="2" a="1"/>
  <c r="T374" i="2" a="1"/>
  <c r="T375" i="2" a="1"/>
  <c r="T376" i="2" a="1"/>
  <c r="T377" i="2" a="1"/>
  <c r="T378" i="2" a="1"/>
  <c r="T379" i="2" a="1"/>
  <c r="T380" i="2" a="1"/>
  <c r="T381" i="2" a="1"/>
  <c r="T382" i="2" a="1"/>
  <c r="T383" i="2" a="1"/>
  <c r="T384" i="2" a="1"/>
  <c r="T385" i="2" a="1"/>
  <c r="T386" i="2" a="1"/>
  <c r="T387" i="2" a="1"/>
  <c r="T388" i="2" a="1"/>
  <c r="T389" i="2" a="1"/>
  <c r="T390" i="2" a="1"/>
  <c r="T391" i="2" a="1"/>
  <c r="T392" i="2" a="1"/>
  <c r="T393" i="2" a="1"/>
  <c r="T394" i="2" a="1"/>
  <c r="T395" i="2" a="1"/>
  <c r="T396" i="2" a="1"/>
  <c r="T397" i="2" a="1"/>
  <c r="T398" i="2" a="1"/>
  <c r="T399" i="2" a="1"/>
  <c r="T400" i="2" a="1"/>
  <c r="T401" i="2" a="1"/>
  <c r="T402" i="2" a="1"/>
  <c r="T403" i="2" a="1"/>
  <c r="T404" i="2" a="1"/>
  <c r="T405" i="2" a="1"/>
  <c r="T406" i="2" a="1"/>
  <c r="T407" i="2" a="1"/>
  <c r="T408" i="2" a="1"/>
  <c r="T409" i="2" a="1"/>
  <c r="T410" i="2" a="1"/>
  <c r="T411" i="2" a="1"/>
  <c r="T412" i="2" a="1"/>
  <c r="T413" i="2" a="1"/>
  <c r="T414" i="2" a="1"/>
  <c r="T415" i="2" a="1"/>
  <c r="T416" i="2" a="1"/>
  <c r="T417" i="2" a="1"/>
  <c r="T418" i="2" a="1"/>
  <c r="T419" i="2" a="1"/>
  <c r="T420" i="2" a="1"/>
  <c r="T421" i="2" a="1"/>
  <c r="T422" i="2" a="1"/>
  <c r="T423" i="2" a="1"/>
  <c r="T424" i="2" a="1"/>
  <c r="T425" i="2" a="1"/>
  <c r="T426" i="2" a="1"/>
  <c r="T427" i="2" a="1"/>
  <c r="T428" i="2" a="1"/>
  <c r="T429" i="2" a="1"/>
  <c r="T430" i="2" a="1"/>
  <c r="T431" i="2" a="1"/>
  <c r="T432" i="2" a="1"/>
  <c r="T433" i="2" a="1"/>
  <c r="T434" i="2" a="1"/>
  <c r="T435" i="2" a="1"/>
  <c r="T436" i="2" a="1"/>
  <c r="T437" i="2" a="1"/>
  <c r="T438" i="2" a="1"/>
  <c r="T439" i="2" a="1"/>
  <c r="T440" i="2" a="1"/>
  <c r="T441" i="2" a="1"/>
  <c r="T442" i="2" a="1"/>
  <c r="T443" i="2" a="1"/>
  <c r="T444" i="2" a="1"/>
  <c r="T445" i="2" a="1"/>
  <c r="T446" i="2" a="1"/>
  <c r="T447" i="2" a="1"/>
  <c r="T448" i="2" a="1"/>
  <c r="T449" i="2" a="1"/>
  <c r="T450" i="2" a="1"/>
  <c r="T451" i="2" a="1"/>
  <c r="T452" i="2" a="1"/>
  <c r="T453" i="2" a="1"/>
  <c r="T454" i="2" a="1"/>
  <c r="T455" i="2" a="1"/>
  <c r="T456" i="2" a="1"/>
  <c r="T457" i="2" a="1"/>
  <c r="T458" i="2" a="1"/>
  <c r="T459" i="2" a="1"/>
  <c r="T460" i="2" a="1"/>
  <c r="T461" i="2" a="1"/>
  <c r="T462" i="2" a="1"/>
  <c r="T463" i="2" a="1"/>
  <c r="T464" i="2" a="1"/>
  <c r="T465" i="2" a="1"/>
  <c r="T466" i="2" a="1"/>
  <c r="T467" i="2" a="1"/>
  <c r="T468" i="2" a="1"/>
  <c r="T469" i="2" a="1"/>
  <c r="T470" i="2" a="1"/>
  <c r="T471" i="2" a="1"/>
  <c r="T472" i="2" a="1"/>
  <c r="T473" i="2" a="1"/>
  <c r="T474" i="2" a="1"/>
  <c r="T475" i="2" a="1"/>
  <c r="T476" i="2" a="1"/>
  <c r="T477" i="2" a="1"/>
  <c r="T478" i="2" a="1"/>
  <c r="T479" i="2" a="1"/>
  <c r="T480" i="2" a="1"/>
  <c r="T481" i="2" a="1"/>
  <c r="T482" i="2" a="1"/>
  <c r="T483" i="2" a="1"/>
  <c r="T484" i="2" a="1"/>
  <c r="T485" i="2" a="1"/>
  <c r="T486" i="2" a="1"/>
  <c r="T487" i="2" a="1"/>
  <c r="T488" i="2" a="1"/>
  <c r="T489" i="2" a="1"/>
  <c r="T490" i="2" a="1"/>
  <c r="T491" i="2" a="1"/>
  <c r="T492" i="2" a="1"/>
  <c r="T493" i="2" a="1"/>
  <c r="T494" i="2" a="1"/>
  <c r="T495" i="2" a="1"/>
  <c r="T496" i="2" a="1"/>
  <c r="T497" i="2" a="1"/>
  <c r="T498" i="2" a="1"/>
  <c r="T499" i="2" a="1"/>
  <c r="T500" i="2" a="1"/>
  <c r="T501" i="2" a="1"/>
  <c r="T502" i="2" a="1"/>
  <c r="T503" i="2" a="1"/>
  <c r="T504" i="2" a="1"/>
  <c r="T505" i="2" a="1"/>
  <c r="T506" i="2" a="1"/>
  <c r="T507" i="2" a="1"/>
  <c r="T508" i="2" a="1"/>
  <c r="T509" i="2" a="1"/>
  <c r="T510" i="2" a="1"/>
  <c r="T511" i="2" a="1"/>
  <c r="T512" i="2" a="1"/>
  <c r="T513" i="2" a="1"/>
  <c r="T514" i="2" a="1"/>
  <c r="T515" i="2" a="1"/>
  <c r="T516" i="2" a="1"/>
  <c r="T517" i="2" a="1"/>
  <c r="T518" i="2" a="1"/>
  <c r="T519" i="2" a="1"/>
  <c r="T520" i="2" a="1"/>
  <c r="T521" i="2" a="1"/>
  <c r="T522" i="2" a="1"/>
  <c r="T523" i="2" a="1"/>
  <c r="T524" i="2" a="1"/>
  <c r="T525" i="2" a="1"/>
  <c r="T526" i="2" a="1"/>
  <c r="T527" i="2" a="1"/>
  <c r="T528" i="2" a="1"/>
  <c r="T529" i="2" a="1"/>
  <c r="T530" i="2" a="1"/>
  <c r="T531" i="2" a="1"/>
  <c r="T532" i="2" a="1"/>
  <c r="T533" i="2" a="1"/>
  <c r="T534" i="2" a="1"/>
  <c r="T535" i="2" a="1"/>
  <c r="T536" i="2" a="1"/>
  <c r="T537" i="2" a="1"/>
  <c r="T538" i="2" a="1"/>
  <c r="T539" i="2" a="1"/>
  <c r="T540" i="2" a="1"/>
  <c r="T541" i="2" a="1"/>
  <c r="T542" i="2" a="1"/>
  <c r="T543" i="2" a="1"/>
  <c r="T544" i="2" a="1"/>
  <c r="T545" i="2" a="1"/>
  <c r="T546" i="2" a="1"/>
  <c r="T547" i="2" a="1"/>
  <c r="T548" i="2" a="1"/>
  <c r="T549" i="2" a="1"/>
  <c r="T550" i="2" a="1"/>
  <c r="T551" i="2" a="1"/>
  <c r="T552" i="2" a="1"/>
  <c r="T553" i="2" a="1"/>
  <c r="T554" i="2" a="1"/>
  <c r="T555" i="2" a="1"/>
  <c r="T556" i="2" a="1"/>
  <c r="T557" i="2" a="1"/>
  <c r="T558" i="2" a="1"/>
  <c r="T559" i="2" a="1"/>
  <c r="T560" i="2" a="1"/>
  <c r="T561" i="2" a="1"/>
  <c r="T562" i="2" a="1"/>
  <c r="T563" i="2" a="1"/>
  <c r="T564" i="2" a="1"/>
  <c r="T565" i="2" a="1"/>
  <c r="T566" i="2" a="1"/>
  <c r="T567" i="2" a="1"/>
  <c r="T568" i="2" a="1"/>
  <c r="T569" i="2" a="1"/>
  <c r="T570" i="2" a="1"/>
  <c r="T571" i="2" a="1"/>
  <c r="T572" i="2" a="1"/>
  <c r="T573" i="2" a="1"/>
  <c r="T574" i="2" a="1"/>
  <c r="T575" i="2" a="1"/>
  <c r="T576" i="2" a="1"/>
  <c r="T577" i="2" a="1"/>
  <c r="T578" i="2" a="1"/>
  <c r="T579" i="2" a="1"/>
  <c r="T580" i="2" a="1"/>
  <c r="T581" i="2" a="1"/>
  <c r="T582" i="2" a="1"/>
  <c r="T583" i="2" a="1"/>
  <c r="T584" i="2" a="1"/>
  <c r="T585" i="2" a="1"/>
  <c r="T586" i="2" a="1"/>
  <c r="T587" i="2" a="1"/>
  <c r="T588" i="2" a="1"/>
  <c r="T589" i="2" a="1"/>
  <c r="T590" i="2" a="1"/>
  <c r="T591" i="2" a="1"/>
  <c r="T592" i="2" a="1"/>
  <c r="T593" i="2" a="1"/>
  <c r="T594" i="2" a="1"/>
  <c r="T595" i="2" a="1"/>
  <c r="T596" i="2" a="1"/>
  <c r="T597" i="2" a="1"/>
  <c r="T598" i="2" a="1"/>
  <c r="T599" i="2" a="1"/>
  <c r="T600" i="2" a="1"/>
  <c r="T601" i="2" a="1"/>
  <c r="T602" i="2" a="1"/>
  <c r="T603" i="2" a="1"/>
  <c r="T604" i="2" a="1"/>
  <c r="T605" i="2" a="1"/>
  <c r="T606" i="2" a="1"/>
  <c r="T607" i="2" a="1"/>
  <c r="T608" i="2" a="1"/>
  <c r="T609" i="2" a="1"/>
  <c r="T610" i="2" a="1"/>
  <c r="T611" i="2" a="1"/>
  <c r="T612" i="2" a="1"/>
  <c r="T613" i="2" a="1"/>
  <c r="T614" i="2" a="1"/>
  <c r="T615" i="2" a="1"/>
  <c r="T616" i="2" a="1"/>
  <c r="T617" i="2" a="1"/>
  <c r="T618" i="2" a="1"/>
  <c r="T619" i="2" a="1"/>
  <c r="T620" i="2" a="1"/>
  <c r="T621" i="2" a="1"/>
  <c r="T622" i="2" a="1"/>
  <c r="T623" i="2" a="1"/>
  <c r="T624" i="2" a="1"/>
  <c r="T625" i="2" a="1"/>
  <c r="T626" i="2" a="1"/>
  <c r="T627" i="2" a="1"/>
  <c r="T628" i="2" a="1"/>
  <c r="T629" i="2" a="1"/>
  <c r="T630" i="2" a="1"/>
  <c r="T631" i="2" a="1"/>
  <c r="T632" i="2" a="1"/>
  <c r="T633" i="2" a="1"/>
  <c r="T634" i="2" a="1"/>
  <c r="T635" i="2" a="1"/>
  <c r="T636" i="2" a="1"/>
  <c r="T637" i="2" a="1"/>
  <c r="T638" i="2" a="1"/>
  <c r="T639" i="2" a="1"/>
  <c r="T640" i="2" a="1"/>
  <c r="T641" i="2" a="1"/>
  <c r="T642" i="2" a="1"/>
  <c r="T643" i="2" a="1"/>
  <c r="T644" i="2" a="1"/>
  <c r="T645" i="2" a="1"/>
  <c r="T646" i="2" a="1"/>
  <c r="T647" i="2" a="1"/>
  <c r="T648" i="2" a="1"/>
  <c r="T649" i="2" a="1"/>
  <c r="T650" i="2" a="1"/>
  <c r="T651" i="2" a="1"/>
  <c r="T652" i="2" a="1"/>
  <c r="T653" i="2" a="1"/>
  <c r="T654" i="2" a="1"/>
  <c r="T655" i="2" a="1"/>
  <c r="T656" i="2" a="1"/>
  <c r="T657" i="2" a="1"/>
  <c r="T658" i="2" a="1"/>
  <c r="T659" i="2" a="1"/>
  <c r="T660" i="2" a="1"/>
  <c r="T661" i="2" a="1"/>
  <c r="T662" i="2" a="1"/>
  <c r="T663" i="2" a="1"/>
  <c r="T664" i="2" a="1"/>
  <c r="T665" i="2" a="1"/>
  <c r="T666" i="2" a="1"/>
  <c r="T667" i="2" a="1"/>
  <c r="T668" i="2" a="1"/>
  <c r="T669" i="2" a="1"/>
  <c r="T670" i="2" a="1"/>
  <c r="T671" i="2" a="1"/>
  <c r="T672" i="2" a="1"/>
  <c r="T673" i="2" a="1"/>
  <c r="T674" i="2" a="1"/>
  <c r="T675" i="2" a="1"/>
  <c r="T676" i="2" a="1"/>
  <c r="T677" i="2" a="1"/>
  <c r="T678" i="2" a="1"/>
  <c r="T679" i="2" a="1"/>
  <c r="T680" i="2" a="1"/>
  <c r="T681" i="2" a="1"/>
  <c r="T682" i="2" a="1"/>
  <c r="T683" i="2" a="1"/>
  <c r="T684" i="2" a="1"/>
  <c r="T685" i="2" a="1"/>
  <c r="T686" i="2" a="1"/>
  <c r="T687" i="2" a="1"/>
  <c r="T688" i="2" a="1"/>
  <c r="T689" i="2" a="1"/>
  <c r="T690" i="2" a="1"/>
  <c r="T691" i="2" a="1"/>
  <c r="T692" i="2" a="1"/>
  <c r="T693" i="2" a="1"/>
  <c r="T694" i="2" a="1"/>
  <c r="T695" i="2" a="1"/>
  <c r="T696" i="2" a="1"/>
  <c r="T697" i="2" a="1"/>
  <c r="T698" i="2" a="1"/>
  <c r="T699" i="2" a="1"/>
  <c r="T700" i="2" a="1"/>
  <c r="T701" i="2" a="1"/>
  <c r="T702" i="2" a="1"/>
  <c r="T703" i="2" a="1"/>
  <c r="T704" i="2" a="1"/>
  <c r="T705" i="2" a="1"/>
  <c r="T706" i="2" a="1"/>
  <c r="T707" i="2" a="1"/>
  <c r="T708" i="2" a="1"/>
  <c r="T709" i="2" a="1"/>
  <c r="T710" i="2" a="1"/>
  <c r="T711" i="2" a="1"/>
  <c r="T712" i="2" a="1"/>
  <c r="T713" i="2" a="1"/>
  <c r="T714" i="2" a="1"/>
  <c r="T715" i="2" a="1"/>
  <c r="T716" i="2" a="1"/>
  <c r="T717" i="2" a="1"/>
  <c r="T718" i="2" a="1"/>
  <c r="T719" i="2" a="1"/>
  <c r="T720" i="2" a="1"/>
  <c r="T721" i="2" a="1"/>
  <c r="T722" i="2" a="1"/>
  <c r="T723" i="2" a="1"/>
  <c r="T724" i="2" a="1"/>
  <c r="T725" i="2" a="1"/>
  <c r="T726" i="2" a="1"/>
  <c r="T727" i="2" a="1"/>
  <c r="T728" i="2" a="1"/>
  <c r="T729" i="2" a="1"/>
  <c r="T730" i="2" a="1"/>
  <c r="T731" i="2" a="1"/>
  <c r="T732" i="2" a="1"/>
  <c r="T733" i="2" a="1"/>
  <c r="T734" i="2" a="1"/>
  <c r="T735" i="2" a="1"/>
  <c r="T736" i="2" a="1"/>
  <c r="T737" i="2" a="1"/>
  <c r="T738" i="2" a="1"/>
  <c r="T739" i="2" a="1"/>
  <c r="T740" i="2" a="1"/>
  <c r="T741" i="2" a="1"/>
  <c r="T742" i="2" a="1"/>
  <c r="T743" i="2" a="1"/>
  <c r="T744" i="2" a="1"/>
  <c r="T745" i="2" a="1"/>
  <c r="T746" i="2" a="1"/>
  <c r="T747" i="2" a="1"/>
  <c r="T748" i="2" a="1"/>
  <c r="T749" i="2" a="1"/>
  <c r="T750" i="2" a="1"/>
  <c r="T751" i="2" a="1"/>
  <c r="T752" i="2" a="1"/>
  <c r="T753" i="2" a="1"/>
  <c r="T754" i="2" a="1"/>
  <c r="T755" i="2" a="1"/>
  <c r="T756" i="2" a="1"/>
  <c r="T757" i="2" a="1"/>
  <c r="T758" i="2" a="1"/>
  <c r="T759" i="2" a="1"/>
  <c r="T760" i="2" a="1"/>
  <c r="T761" i="2" a="1"/>
  <c r="T762" i="2" a="1"/>
  <c r="T763" i="2" a="1"/>
  <c r="T764" i="2" a="1"/>
  <c r="T765" i="2" a="1"/>
  <c r="T766" i="2" a="1"/>
  <c r="T767" i="2" a="1"/>
  <c r="T768" i="2" a="1"/>
  <c r="T769" i="2" a="1"/>
  <c r="T770" i="2" a="1"/>
  <c r="T771" i="2" a="1"/>
  <c r="T772" i="2" a="1"/>
  <c r="T773" i="2" a="1"/>
  <c r="T774" i="2" a="1"/>
  <c r="T775" i="2" a="1"/>
  <c r="T776" i="2" a="1"/>
  <c r="T777" i="2" a="1"/>
  <c r="T778" i="2" a="1"/>
  <c r="T779" i="2" a="1"/>
  <c r="T780" i="2" a="1"/>
  <c r="T781" i="2" a="1"/>
  <c r="T782" i="2" a="1"/>
  <c r="T783" i="2" a="1"/>
  <c r="T784" i="2" a="1"/>
  <c r="T785" i="2" a="1"/>
  <c r="T786" i="2" a="1"/>
  <c r="T787" i="2" a="1"/>
  <c r="T788" i="2" a="1"/>
  <c r="T789" i="2" a="1"/>
  <c r="T790" i="2" a="1"/>
  <c r="T791" i="2" a="1"/>
  <c r="T792" i="2" a="1"/>
  <c r="T793" i="2" a="1"/>
  <c r="T794" i="2" a="1"/>
  <c r="T795" i="2" a="1"/>
  <c r="T796" i="2" a="1"/>
  <c r="T797" i="2" a="1"/>
  <c r="T798" i="2" a="1"/>
  <c r="T799" i="2" a="1"/>
  <c r="T800" i="2" a="1"/>
  <c r="T801" i="2" a="1"/>
  <c r="T802" i="2" a="1"/>
  <c r="T803" i="2" a="1"/>
  <c r="T804" i="2" a="1"/>
  <c r="T805" i="2" a="1"/>
  <c r="T806" i="2" a="1"/>
  <c r="T807" i="2" a="1"/>
  <c r="T808" i="2" a="1"/>
  <c r="T809" i="2" a="1"/>
  <c r="T810" i="2" a="1"/>
  <c r="T811" i="2" a="1"/>
  <c r="T812" i="2" a="1"/>
  <c r="T813" i="2" a="1"/>
  <c r="T814" i="2" a="1"/>
  <c r="T815" i="2" a="1"/>
  <c r="T816" i="2" a="1"/>
  <c r="T817" i="2" a="1"/>
  <c r="T818" i="2" a="1"/>
  <c r="T819" i="2" a="1"/>
  <c r="T820" i="2" a="1"/>
  <c r="T821" i="2" a="1"/>
  <c r="T822" i="2" a="1"/>
  <c r="T823" i="2" a="1"/>
  <c r="T824" i="2" a="1"/>
  <c r="T825" i="2" a="1"/>
  <c r="T826" i="2" a="1"/>
  <c r="T827" i="2" a="1"/>
  <c r="T828" i="2" a="1"/>
  <c r="T829" i="2" a="1"/>
  <c r="T830" i="2" a="1"/>
  <c r="T831" i="2" a="1"/>
  <c r="T832" i="2" a="1"/>
  <c r="T833" i="2" a="1"/>
  <c r="T834" i="2" a="1"/>
  <c r="T835" i="2" a="1"/>
  <c r="T836" i="2" a="1"/>
  <c r="T837" i="2" a="1"/>
  <c r="T838" i="2" a="1"/>
  <c r="T839" i="2" a="1"/>
  <c r="T840" i="2" a="1"/>
  <c r="T841" i="2" a="1"/>
  <c r="T842" i="2" a="1"/>
  <c r="T843" i="2" a="1"/>
  <c r="T844" i="2" a="1"/>
  <c r="T845" i="2" a="1"/>
  <c r="T846" i="2" a="1"/>
  <c r="T847" i="2" a="1"/>
  <c r="T848" i="2" a="1"/>
  <c r="T849" i="2" a="1"/>
  <c r="T850" i="2" a="1"/>
  <c r="T851" i="2" a="1"/>
  <c r="T852" i="2" a="1"/>
  <c r="T853" i="2" a="1"/>
  <c r="T854" i="2" a="1"/>
  <c r="T855" i="2" a="1"/>
  <c r="T856" i="2" a="1"/>
  <c r="T857" i="2" a="1"/>
  <c r="T858" i="2" a="1"/>
  <c r="T859" i="2" a="1"/>
  <c r="T860" i="2" a="1"/>
  <c r="T861" i="2" a="1"/>
  <c r="T862" i="2" a="1"/>
  <c r="T863" i="2" a="1"/>
  <c r="T864" i="2" a="1"/>
  <c r="T865" i="2" a="1"/>
  <c r="T866" i="2" a="1"/>
  <c r="T867" i="2" a="1"/>
  <c r="T868" i="2" a="1"/>
  <c r="T869" i="2" a="1"/>
  <c r="T870" i="2" a="1"/>
  <c r="T871" i="2" a="1"/>
  <c r="T872" i="2" a="1"/>
  <c r="T873" i="2" a="1"/>
  <c r="T874" i="2" a="1"/>
  <c r="T875" i="2" a="1"/>
  <c r="T876" i="2" a="1"/>
  <c r="T877" i="2" a="1"/>
  <c r="T878" i="2" a="1"/>
  <c r="T879" i="2" a="1"/>
  <c r="T880" i="2" a="1"/>
  <c r="T881" i="2" a="1"/>
  <c r="T882" i="2" a="1"/>
  <c r="T883" i="2" a="1"/>
  <c r="T884" i="2" a="1"/>
  <c r="T885" i="2" a="1"/>
  <c r="T886" i="2" a="1"/>
  <c r="T887" i="2" a="1"/>
  <c r="T888" i="2" a="1"/>
  <c r="T889" i="2" a="1"/>
  <c r="T890" i="2" a="1"/>
  <c r="T891" i="2" a="1"/>
  <c r="T892" i="2" a="1"/>
  <c r="T893" i="2" a="1"/>
  <c r="T894" i="2" a="1"/>
  <c r="T895" i="2" a="1"/>
  <c r="T896" i="2" a="1"/>
  <c r="T897" i="2" a="1"/>
  <c r="T898" i="2" a="1"/>
  <c r="T899" i="2" a="1"/>
  <c r="T900" i="2" a="1"/>
  <c r="T901" i="2" a="1"/>
  <c r="T902" i="2" a="1"/>
  <c r="T903" i="2" a="1"/>
  <c r="T904" i="2" a="1"/>
  <c r="T905" i="2" a="1"/>
  <c r="T906" i="2" a="1"/>
  <c r="T907" i="2" a="1"/>
  <c r="T908" i="2" a="1"/>
  <c r="T909" i="2" a="1"/>
  <c r="T910" i="2" a="1"/>
  <c r="T911" i="2" a="1"/>
  <c r="T912" i="2" a="1"/>
  <c r="T913" i="2" a="1"/>
  <c r="T914" i="2" a="1"/>
  <c r="T915" i="2" a="1"/>
  <c r="T916" i="2" a="1"/>
  <c r="T917" i="2" a="1"/>
  <c r="T918" i="2" a="1"/>
  <c r="T919" i="2" a="1"/>
  <c r="T920" i="2" a="1"/>
  <c r="T921" i="2" a="1"/>
  <c r="T922" i="2" a="1"/>
  <c r="T923" i="2" a="1"/>
  <c r="T924" i="2" a="1"/>
  <c r="T925" i="2" a="1"/>
  <c r="T926" i="2" a="1"/>
  <c r="T927" i="2" a="1"/>
  <c r="T928" i="2" a="1"/>
  <c r="T929" i="2" a="1"/>
  <c r="T930" i="2" a="1"/>
  <c r="T931" i="2" a="1"/>
  <c r="T932" i="2" a="1"/>
  <c r="T933" i="2" a="1"/>
  <c r="T934" i="2" a="1"/>
  <c r="T935" i="2" a="1"/>
  <c r="T936" i="2" a="1"/>
  <c r="T937" i="2" a="1"/>
  <c r="T938" i="2" a="1"/>
  <c r="T939" i="2" a="1"/>
  <c r="T940" i="2" a="1"/>
  <c r="T941" i="2" a="1"/>
  <c r="T942" i="2" a="1"/>
  <c r="T943" i="2" a="1"/>
  <c r="T944" i="2" a="1"/>
  <c r="T945" i="2" a="1"/>
  <c r="T946" i="2" a="1"/>
  <c r="T947" i="2" a="1"/>
  <c r="T948" i="2" a="1"/>
  <c r="T949" i="2" a="1"/>
  <c r="T950" i="2" a="1"/>
  <c r="T951" i="2" a="1"/>
  <c r="T952" i="2" a="1"/>
  <c r="T953" i="2" a="1"/>
  <c r="T954" i="2" a="1"/>
  <c r="T955" i="2" a="1"/>
  <c r="T956" i="2" a="1"/>
  <c r="T957" i="2" a="1"/>
  <c r="T958" i="2" a="1"/>
  <c r="T959" i="2" a="1"/>
  <c r="T960" i="2" a="1"/>
  <c r="T961" i="2" a="1"/>
  <c r="T962" i="2" a="1"/>
  <c r="T963" i="2" a="1"/>
  <c r="T964" i="2" a="1"/>
  <c r="T965" i="2" a="1"/>
  <c r="T966" i="2" a="1"/>
  <c r="T967" i="2" a="1"/>
  <c r="T968" i="2" a="1"/>
  <c r="T969" i="2" a="1"/>
  <c r="T970" i="2" a="1"/>
  <c r="T971" i="2" a="1"/>
  <c r="T972" i="2" a="1"/>
  <c r="T973" i="2" a="1"/>
  <c r="T974" i="2" a="1"/>
  <c r="T975" i="2" a="1"/>
  <c r="T976" i="2" a="1"/>
  <c r="T977" i="2" a="1"/>
  <c r="T978" i="2" a="1"/>
  <c r="T979" i="2" a="1"/>
  <c r="T980" i="2" a="1"/>
  <c r="T981" i="2" a="1"/>
  <c r="T982" i="2" a="1"/>
  <c r="T983" i="2" a="1"/>
  <c r="T984" i="2" a="1"/>
  <c r="T985" i="2" a="1"/>
  <c r="T986" i="2" a="1"/>
  <c r="T987" i="2" a="1"/>
  <c r="T988" i="2" a="1"/>
  <c r="T989" i="2" a="1"/>
  <c r="T990" i="2" a="1"/>
  <c r="T991" i="2" a="1"/>
  <c r="T992" i="2" a="1"/>
  <c r="T993" i="2" a="1"/>
  <c r="T994" i="2" a="1"/>
  <c r="T995" i="2" a="1"/>
  <c r="T996" i="2" a="1"/>
  <c r="T997" i="2" a="1"/>
  <c r="T998" i="2" a="1"/>
  <c r="T999" i="2" a="1"/>
  <c r="T1000" i="2" a="1"/>
  <c r="T1001" i="2" a="1"/>
  <c r="D16" i="9" l="1"/>
  <c r="A16" i="9"/>
  <c r="B17" i="8"/>
  <c r="B1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58E27E-3D5B-41FB-9640-066D895E52F3}" sourceFile="C:\Users\bhuva\Downloads\Byjus_1000_Student_Dataset.xlsx" keepAlive="1" name="Byjus_1000_Student_Dataset" type="5" refreshedVersion="8" background="1">
    <dbPr connection="Provider=Microsoft.ACE.OLEDB.12.0;User ID=Admin;Data Source=C:\Users\bhuva\Downloads\Byjus_1000_Student_Dataset.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set$" commandType="3"/>
  </connection>
  <connection id="2" xr16:uid="{8E71E1B7-146A-4BC2-9A8F-2516F4A36C22}" sourceFile="C:\Users\bhuva\Downloads\Byjus_1000_Student_Dataset.xlsx" odcFile="C:\Users\bhuva\OneDrive\Documents\My Data Sources\Byjus_1000_Student_Dataset Dataset$.od.odc" keepAlive="1" name="Byjus_1000_Student_Dataset Dataset$.od" type="5" refreshedVersion="8" background="1">
    <dbPr connection="Provider=Microsoft.ACE.OLEDB.12.0;User ID=Admin;Data Source=C:\Users\bhuva\Downloads\Byjus_1000_Student_Dataset.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set$" commandType="3"/>
  </connection>
  <connection id="3" xr16:uid="{9BD3D1E2-E92C-431D-B19D-5175D301EF7D}"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<sst xmlns="http://schemas.openxmlformats.org/spreadsheetml/2006/main" count="13261" uniqueCount="1383">
  <si>
    <t>Student_ID</t>
  </si>
  <si>
    <t>Student_Name</t>
  </si>
  <si>
    <t>Age</t>
  </si>
  <si>
    <t>Gender</t>
  </si>
  <si>
    <t>City</t>
  </si>
  <si>
    <t>Course_Name</t>
  </si>
  <si>
    <t>Instructor</t>
  </si>
  <si>
    <t>Quiz_Score</t>
  </si>
  <si>
    <t>Attendance_%</t>
  </si>
  <si>
    <t>Performance_Rating</t>
  </si>
  <si>
    <t>Course_Fee</t>
  </si>
  <si>
    <t>Paid</t>
  </si>
  <si>
    <t>Balance</t>
  </si>
  <si>
    <t>Payment_Status</t>
  </si>
  <si>
    <t>Dropout_Student</t>
  </si>
  <si>
    <t>Course_Start_Date</t>
  </si>
  <si>
    <t>Course_End_Date</t>
  </si>
  <si>
    <t>Login_Time</t>
  </si>
  <si>
    <t>Logout_Time</t>
  </si>
  <si>
    <t>ST0001</t>
  </si>
  <si>
    <t>Anitha Lakshmi</t>
  </si>
  <si>
    <t>Female</t>
  </si>
  <si>
    <t>Hyderabad</t>
  </si>
  <si>
    <t>Power BI</t>
  </si>
  <si>
    <t>David</t>
  </si>
  <si>
    <t>Poor</t>
  </si>
  <si>
    <t>Pending</t>
  </si>
  <si>
    <t>No</t>
  </si>
  <si>
    <t>ST0002</t>
  </si>
  <si>
    <t>Priya Lakshmi</t>
  </si>
  <si>
    <t>Tirunelveli</t>
  </si>
  <si>
    <t>SQL</t>
  </si>
  <si>
    <t>Nandhini</t>
  </si>
  <si>
    <t>ST0003</t>
  </si>
  <si>
    <t>Priya Babu</t>
  </si>
  <si>
    <t>Male</t>
  </si>
  <si>
    <t>Madurai</t>
  </si>
  <si>
    <t>ST0004</t>
  </si>
  <si>
    <t>Lavanya Reddy</t>
  </si>
  <si>
    <t>Coimbatore</t>
  </si>
  <si>
    <t>Tableau</t>
  </si>
  <si>
    <t>Priya</t>
  </si>
  <si>
    <t>ST0005</t>
  </si>
  <si>
    <t>Ajay Iyer</t>
  </si>
  <si>
    <t>Bengaluru</t>
  </si>
  <si>
    <t>Good</t>
  </si>
  <si>
    <t>ST0006</t>
  </si>
  <si>
    <t>Divya Babu</t>
  </si>
  <si>
    <t>Trichy</t>
  </si>
  <si>
    <t>Data Analytics</t>
  </si>
  <si>
    <t>Arun</t>
  </si>
  <si>
    <t>ST0007</t>
  </si>
  <si>
    <t>Vimal Anand</t>
  </si>
  <si>
    <t>Python</t>
  </si>
  <si>
    <t>John</t>
  </si>
  <si>
    <t>ST0008</t>
  </si>
  <si>
    <t>Meena Reddy</t>
  </si>
  <si>
    <t>Advanced Excel</t>
  </si>
  <si>
    <t>Mani Prabhu</t>
  </si>
  <si>
    <t>Excellent</t>
  </si>
  <si>
    <t>ST0009</t>
  </si>
  <si>
    <t>Aarthi Kumar</t>
  </si>
  <si>
    <t>Erode</t>
  </si>
  <si>
    <t>Machine Learning</t>
  </si>
  <si>
    <t>Karthik</t>
  </si>
  <si>
    <t>ST0010</t>
  </si>
  <si>
    <t>Deepika Lakshmi</t>
  </si>
  <si>
    <t>Salem</t>
  </si>
  <si>
    <t>Average</t>
  </si>
  <si>
    <t>ST0011</t>
  </si>
  <si>
    <t>Divya Sharma</t>
  </si>
  <si>
    <t>ST0012</t>
  </si>
  <si>
    <t>Rohit Babu</t>
  </si>
  <si>
    <t>Chennai</t>
  </si>
  <si>
    <t>ST0013</t>
  </si>
  <si>
    <t>Rahul Iyer</t>
  </si>
  <si>
    <t>ST0014</t>
  </si>
  <si>
    <t>Deepika Sharma</t>
  </si>
  <si>
    <t>ST0015</t>
  </si>
  <si>
    <t>Lavanya Lakshmi</t>
  </si>
  <si>
    <t>ST0016</t>
  </si>
  <si>
    <t>Anitha Krishnan</t>
  </si>
  <si>
    <t>ST0017</t>
  </si>
  <si>
    <t>Meena Devi</t>
  </si>
  <si>
    <t>ST0018</t>
  </si>
  <si>
    <t>Meena Raj</t>
  </si>
  <si>
    <t>ST0019</t>
  </si>
  <si>
    <t>Sneha Iyer</t>
  </si>
  <si>
    <t>Statistics</t>
  </si>
  <si>
    <t>Sneha</t>
  </si>
  <si>
    <t>ST0020</t>
  </si>
  <si>
    <t>Rohit Reddy</t>
  </si>
  <si>
    <t>ST0021</t>
  </si>
  <si>
    <t>Deepika Devi</t>
  </si>
  <si>
    <t>ST0022</t>
  </si>
  <si>
    <t>Rahul Devi</t>
  </si>
  <si>
    <t>Thoothukudi</t>
  </si>
  <si>
    <t>ST0023</t>
  </si>
  <si>
    <t>Deepika Anand</t>
  </si>
  <si>
    <t>ST0024</t>
  </si>
  <si>
    <t>ST0025</t>
  </si>
  <si>
    <t>ST0026</t>
  </si>
  <si>
    <t>Rahul Kumar</t>
  </si>
  <si>
    <t>ST0027</t>
  </si>
  <si>
    <t>Sneha Sharma</t>
  </si>
  <si>
    <t>ST0028</t>
  </si>
  <si>
    <t>Ajay Lakshmi</t>
  </si>
  <si>
    <t>ST0029</t>
  </si>
  <si>
    <t>Nisha Reddy</t>
  </si>
  <si>
    <t>ST0030</t>
  </si>
  <si>
    <t>Vignesh Raj</t>
  </si>
  <si>
    <t>ST0031</t>
  </si>
  <si>
    <t>Aarthi Lakshmi</t>
  </si>
  <si>
    <t>Kanchipuram</t>
  </si>
  <si>
    <t>ST0032</t>
  </si>
  <si>
    <t>Surya Iyer</t>
  </si>
  <si>
    <t>ST0033</t>
  </si>
  <si>
    <t>Sneha Krishnan</t>
  </si>
  <si>
    <t>ST0034</t>
  </si>
  <si>
    <t>Ajay Kumar</t>
  </si>
  <si>
    <t>ST0035</t>
  </si>
  <si>
    <t>Arun Lakshmi</t>
  </si>
  <si>
    <t>Vellore</t>
  </si>
  <si>
    <t>ST0036</t>
  </si>
  <si>
    <t>Anitha Raj</t>
  </si>
  <si>
    <t>ST0037</t>
  </si>
  <si>
    <t>Deepika Krishnan</t>
  </si>
  <si>
    <t>Yes</t>
  </si>
  <si>
    <t>ST0038</t>
  </si>
  <si>
    <t>Priya Sharma</t>
  </si>
  <si>
    <t>ST0039</t>
  </si>
  <si>
    <t>ST0040</t>
  </si>
  <si>
    <t>Nisha Iyer</t>
  </si>
  <si>
    <t>ST0041</t>
  </si>
  <si>
    <t>Meena Kumar</t>
  </si>
  <si>
    <t>ST0042</t>
  </si>
  <si>
    <t>Vignesh Lakshmi</t>
  </si>
  <si>
    <t>ST0043</t>
  </si>
  <si>
    <t>Lavanya Raman</t>
  </si>
  <si>
    <t>ST0044</t>
  </si>
  <si>
    <t>Kavin Babu</t>
  </si>
  <si>
    <t>ST0045</t>
  </si>
  <si>
    <t>Arun Iyer</t>
  </si>
  <si>
    <t>ST0046</t>
  </si>
  <si>
    <t>Meena Babu</t>
  </si>
  <si>
    <t>ST0047</t>
  </si>
  <si>
    <t>Vimal Raman</t>
  </si>
  <si>
    <t>ST0048</t>
  </si>
  <si>
    <t>Aarthi Sharma</t>
  </si>
  <si>
    <t>ST0049</t>
  </si>
  <si>
    <t>Vignesh Reddy</t>
  </si>
  <si>
    <t>ST0050</t>
  </si>
  <si>
    <t>Kavin Raman</t>
  </si>
  <si>
    <t>ST0051</t>
  </si>
  <si>
    <t>Priya Krishnan</t>
  </si>
  <si>
    <t>ST0052</t>
  </si>
  <si>
    <t>Keerthi Raman</t>
  </si>
  <si>
    <t>ST0053</t>
  </si>
  <si>
    <t>Anitha Anand</t>
  </si>
  <si>
    <t>ST0054</t>
  </si>
  <si>
    <t>Akash Sharma</t>
  </si>
  <si>
    <t>ST0055</t>
  </si>
  <si>
    <t>Aarthi Reddy</t>
  </si>
  <si>
    <t>ST0056</t>
  </si>
  <si>
    <t>ST0057</t>
  </si>
  <si>
    <t>Keerthi Singh</t>
  </si>
  <si>
    <t>ST0058</t>
  </si>
  <si>
    <t>Rahul Sharma</t>
  </si>
  <si>
    <t>ST0059</t>
  </si>
  <si>
    <t>Lavanya Raj</t>
  </si>
  <si>
    <t>ST0060</t>
  </si>
  <si>
    <t>Kavin Lakshmi</t>
  </si>
  <si>
    <t>ST0061</t>
  </si>
  <si>
    <t>Meena Anand</t>
  </si>
  <si>
    <t>ST0062</t>
  </si>
  <si>
    <t>Nisha Kumar</t>
  </si>
  <si>
    <t>ST0063</t>
  </si>
  <si>
    <t>Vignesh Sharma</t>
  </si>
  <si>
    <t>ST0064</t>
  </si>
  <si>
    <t>Rahul Anand</t>
  </si>
  <si>
    <t>ST0065</t>
  </si>
  <si>
    <t>Ajay Krishnan</t>
  </si>
  <si>
    <t>ST0066</t>
  </si>
  <si>
    <t>Kavin Devi</t>
  </si>
  <si>
    <t>ST0067</t>
  </si>
  <si>
    <t>Arun Raj</t>
  </si>
  <si>
    <t>ST0068</t>
  </si>
  <si>
    <t>Harish Raman</t>
  </si>
  <si>
    <t>ST0069</t>
  </si>
  <si>
    <t>ST0070</t>
  </si>
  <si>
    <t>Ajay Sharma</t>
  </si>
  <si>
    <t>ST0071</t>
  </si>
  <si>
    <t>ST0072</t>
  </si>
  <si>
    <t>ST0073</t>
  </si>
  <si>
    <t>Akash Reddy</t>
  </si>
  <si>
    <t>ST0074</t>
  </si>
  <si>
    <t>ST0075</t>
  </si>
  <si>
    <t>Keerthi Krishnan</t>
  </si>
  <si>
    <t>ST0076</t>
  </si>
  <si>
    <t>Surya Babu</t>
  </si>
  <si>
    <t>ST0077</t>
  </si>
  <si>
    <t>Vignesh Krishnan</t>
  </si>
  <si>
    <t>ST0078</t>
  </si>
  <si>
    <t>Rohit Lakshmi</t>
  </si>
  <si>
    <t>ST0079</t>
  </si>
  <si>
    <t>Nisha Anand</t>
  </si>
  <si>
    <t>ST0080</t>
  </si>
  <si>
    <t>Rahul Singh</t>
  </si>
  <si>
    <t>ST0081</t>
  </si>
  <si>
    <t>Kavin Iyer</t>
  </si>
  <si>
    <t>ST0082</t>
  </si>
  <si>
    <t>Akash Babu</t>
  </si>
  <si>
    <t>ST0083</t>
  </si>
  <si>
    <t>Rohit Sharma</t>
  </si>
  <si>
    <t>ST0084</t>
  </si>
  <si>
    <t>Arun Devi</t>
  </si>
  <si>
    <t>ST0085</t>
  </si>
  <si>
    <t>Rohit Raj</t>
  </si>
  <si>
    <t>ST0086</t>
  </si>
  <si>
    <t>ST0087</t>
  </si>
  <si>
    <t>Deepika Babu</t>
  </si>
  <si>
    <t>ST0088</t>
  </si>
  <si>
    <t>Vimal Babu</t>
  </si>
  <si>
    <t>ST0089</t>
  </si>
  <si>
    <t>ST0090</t>
  </si>
  <si>
    <t>ST0091</t>
  </si>
  <si>
    <t>Keerthi Babu</t>
  </si>
  <si>
    <t>ST0092</t>
  </si>
  <si>
    <t>Akash Raman</t>
  </si>
  <si>
    <t>ST0093</t>
  </si>
  <si>
    <t>Nisha Raj</t>
  </si>
  <si>
    <t>ST0094</t>
  </si>
  <si>
    <t>Aarthi Devi</t>
  </si>
  <si>
    <t>ST0095</t>
  </si>
  <si>
    <t>Arun Babu</t>
  </si>
  <si>
    <t>ST0096</t>
  </si>
  <si>
    <t>Arun Anand</t>
  </si>
  <si>
    <t>ST0097</t>
  </si>
  <si>
    <t>Nisha Sharma</t>
  </si>
  <si>
    <t>ST0098</t>
  </si>
  <si>
    <t>ST0099</t>
  </si>
  <si>
    <t>Keerthi Raj</t>
  </si>
  <si>
    <t>ST0100</t>
  </si>
  <si>
    <t>Akash Kumar</t>
  </si>
  <si>
    <t>ST0101</t>
  </si>
  <si>
    <t>ST0102</t>
  </si>
  <si>
    <t>Meena Krishnan</t>
  </si>
  <si>
    <t>ST0103</t>
  </si>
  <si>
    <t>Lavanya Anand</t>
  </si>
  <si>
    <t>ST0104</t>
  </si>
  <si>
    <t>Rohit Devi</t>
  </si>
  <si>
    <t>ST0105</t>
  </si>
  <si>
    <t>Surya Sharma</t>
  </si>
  <si>
    <t>ST0106</t>
  </si>
  <si>
    <t>ST0107</t>
  </si>
  <si>
    <t>ST0108</t>
  </si>
  <si>
    <t>Meena Singh</t>
  </si>
  <si>
    <t>ST0109</t>
  </si>
  <si>
    <t>Priya Anand</t>
  </si>
  <si>
    <t>ST0110</t>
  </si>
  <si>
    <t>ST0111</t>
  </si>
  <si>
    <t>Kavin Krishnan</t>
  </si>
  <si>
    <t>ST0112</t>
  </si>
  <si>
    <t>ST0113</t>
  </si>
  <si>
    <t>Surya Raman</t>
  </si>
  <si>
    <t>ST0114</t>
  </si>
  <si>
    <t>Surya Krishnan</t>
  </si>
  <si>
    <t>ST0115</t>
  </si>
  <si>
    <t>Nisha Krishnan</t>
  </si>
  <si>
    <t>ST0116</t>
  </si>
  <si>
    <t>Rohit Anand</t>
  </si>
  <si>
    <t>ST0117</t>
  </si>
  <si>
    <t>Aarthi Iyer</t>
  </si>
  <si>
    <t>ST0118</t>
  </si>
  <si>
    <t>ST0119</t>
  </si>
  <si>
    <t>ST0120</t>
  </si>
  <si>
    <t>Rohit Iyer</t>
  </si>
  <si>
    <t>ST0121</t>
  </si>
  <si>
    <t>Keerthi Kumar</t>
  </si>
  <si>
    <t>ST0122</t>
  </si>
  <si>
    <t>ST0123</t>
  </si>
  <si>
    <t>ST0124</t>
  </si>
  <si>
    <t>Kavin Kumar</t>
  </si>
  <si>
    <t>ST0125</t>
  </si>
  <si>
    <t>ST0126</t>
  </si>
  <si>
    <t>ST0127</t>
  </si>
  <si>
    <t>ST0128</t>
  </si>
  <si>
    <t>ST0129</t>
  </si>
  <si>
    <t>ST0130</t>
  </si>
  <si>
    <t>ST0131</t>
  </si>
  <si>
    <t>ST0132</t>
  </si>
  <si>
    <t>Surya Raj</t>
  </si>
  <si>
    <t>ST0133</t>
  </si>
  <si>
    <t>Vignesh Devi</t>
  </si>
  <si>
    <t>ST0134</t>
  </si>
  <si>
    <t>Divya Krishnan</t>
  </si>
  <si>
    <t>ST0135</t>
  </si>
  <si>
    <t>ST0136</t>
  </si>
  <si>
    <t>ST0137</t>
  </si>
  <si>
    <t>ST0138</t>
  </si>
  <si>
    <t>Rohit Kumar</t>
  </si>
  <si>
    <t>ST0139</t>
  </si>
  <si>
    <t>Surya Anand</t>
  </si>
  <si>
    <t>ST0140</t>
  </si>
  <si>
    <t>ST0141</t>
  </si>
  <si>
    <t>Harish Iyer</t>
  </si>
  <si>
    <t>ST0142</t>
  </si>
  <si>
    <t>Aarthi Babu</t>
  </si>
  <si>
    <t>ST0143</t>
  </si>
  <si>
    <t>ST0144</t>
  </si>
  <si>
    <t>Rahul Reddy</t>
  </si>
  <si>
    <t>ST0145</t>
  </si>
  <si>
    <t>ST0146</t>
  </si>
  <si>
    <t>Arun Singh</t>
  </si>
  <si>
    <t>ST0147</t>
  </si>
  <si>
    <t>ST0148</t>
  </si>
  <si>
    <t>Vimal Devi</t>
  </si>
  <si>
    <t>ST0149</t>
  </si>
  <si>
    <t>Nisha Lakshmi</t>
  </si>
  <si>
    <t>ST0150</t>
  </si>
  <si>
    <t>ST0151</t>
  </si>
  <si>
    <t>ST0152</t>
  </si>
  <si>
    <t>ST0153</t>
  </si>
  <si>
    <t>Deepika Singh</t>
  </si>
  <si>
    <t>ST0154</t>
  </si>
  <si>
    <t>ST0155</t>
  </si>
  <si>
    <t>ST0156</t>
  </si>
  <si>
    <t>Rahul Babu</t>
  </si>
  <si>
    <t>ST0157</t>
  </si>
  <si>
    <t>Kavin Anand</t>
  </si>
  <si>
    <t>ST0158</t>
  </si>
  <si>
    <t>Sneha Devi</t>
  </si>
  <si>
    <t>ST0159</t>
  </si>
  <si>
    <t>ST0160</t>
  </si>
  <si>
    <t>Divya Iyer</t>
  </si>
  <si>
    <t>ST0161</t>
  </si>
  <si>
    <t>Lavanya Sharma</t>
  </si>
  <si>
    <t>ST0162</t>
  </si>
  <si>
    <t>Anitha Kumar</t>
  </si>
  <si>
    <t>ST0163</t>
  </si>
  <si>
    <t>ST0164</t>
  </si>
  <si>
    <t>ST0165</t>
  </si>
  <si>
    <t>ST0166</t>
  </si>
  <si>
    <t>Arun Krishnan</t>
  </si>
  <si>
    <t>ST0167</t>
  </si>
  <si>
    <t>ST0168</t>
  </si>
  <si>
    <t>ST0169</t>
  </si>
  <si>
    <t>Keerthi Lakshmi</t>
  </si>
  <si>
    <t>ST0170</t>
  </si>
  <si>
    <t>Vimal Kumar</t>
  </si>
  <si>
    <t>ST0171</t>
  </si>
  <si>
    <t>Aarthi Singh</t>
  </si>
  <si>
    <t>ST0172</t>
  </si>
  <si>
    <t>Ajay Devi</t>
  </si>
  <si>
    <t>ST0173</t>
  </si>
  <si>
    <t>ST0174</t>
  </si>
  <si>
    <t>ST0175</t>
  </si>
  <si>
    <t>ST0176</t>
  </si>
  <si>
    <t>Vimal Lakshmi</t>
  </si>
  <si>
    <t>ST0177</t>
  </si>
  <si>
    <t>ST0178</t>
  </si>
  <si>
    <t>Arun Raman</t>
  </si>
  <si>
    <t>ST0179</t>
  </si>
  <si>
    <t>ST0180</t>
  </si>
  <si>
    <t>Vignesh Raman</t>
  </si>
  <si>
    <t>ST0181</t>
  </si>
  <si>
    <t>ST0182</t>
  </si>
  <si>
    <t>ST0183</t>
  </si>
  <si>
    <t>ST0184</t>
  </si>
  <si>
    <t>Surya Kumar</t>
  </si>
  <si>
    <t>ST0185</t>
  </si>
  <si>
    <t>ST0186</t>
  </si>
  <si>
    <t>ST0187</t>
  </si>
  <si>
    <t>ST0188</t>
  </si>
  <si>
    <t>ST0189</t>
  </si>
  <si>
    <t>ST0190</t>
  </si>
  <si>
    <t>Anitha Babu</t>
  </si>
  <si>
    <t>ST0191</t>
  </si>
  <si>
    <t>ST0192</t>
  </si>
  <si>
    <t>Kavin Sharma</t>
  </si>
  <si>
    <t>ST0193</t>
  </si>
  <si>
    <t>ST0194</t>
  </si>
  <si>
    <t>Harish Kumar</t>
  </si>
  <si>
    <t>ST0195</t>
  </si>
  <si>
    <t>ST0196</t>
  </si>
  <si>
    <t>ST0197</t>
  </si>
  <si>
    <t>Akash Iyer</t>
  </si>
  <si>
    <t>ST0198</t>
  </si>
  <si>
    <t>ST0199</t>
  </si>
  <si>
    <t>ST0200</t>
  </si>
  <si>
    <t>ST0201</t>
  </si>
  <si>
    <t>Lavanya Krishnan</t>
  </si>
  <si>
    <t>ST0202</t>
  </si>
  <si>
    <t>Anitha Singh</t>
  </si>
  <si>
    <t>ST0203</t>
  </si>
  <si>
    <t>ST0204</t>
  </si>
  <si>
    <t>Lavanya Iyer</t>
  </si>
  <si>
    <t>ST0205</t>
  </si>
  <si>
    <t>ST0206</t>
  </si>
  <si>
    <t>Priya Reddy</t>
  </si>
  <si>
    <t>ST0207</t>
  </si>
  <si>
    <t>ST0208</t>
  </si>
  <si>
    <t>Deepika Iyer</t>
  </si>
  <si>
    <t>ST0209</t>
  </si>
  <si>
    <t>ST0210</t>
  </si>
  <si>
    <t>Surya Reddy</t>
  </si>
  <si>
    <t>ST0211</t>
  </si>
  <si>
    <t>ST0212</t>
  </si>
  <si>
    <t>Nisha Raman</t>
  </si>
  <si>
    <t>ST0213</t>
  </si>
  <si>
    <t>Sneha Kumar</t>
  </si>
  <si>
    <t>ST0214</t>
  </si>
  <si>
    <t>ST0215</t>
  </si>
  <si>
    <t>ST0216</t>
  </si>
  <si>
    <t>Akash Raj</t>
  </si>
  <si>
    <t>ST0217</t>
  </si>
  <si>
    <t>Sneha Raj</t>
  </si>
  <si>
    <t>ST0218</t>
  </si>
  <si>
    <t>ST0219</t>
  </si>
  <si>
    <t>Priya Iyer</t>
  </si>
  <si>
    <t>ST0220</t>
  </si>
  <si>
    <t>ST0221</t>
  </si>
  <si>
    <t>ST0222</t>
  </si>
  <si>
    <t>ST0223</t>
  </si>
  <si>
    <t>ST0224</t>
  </si>
  <si>
    <t>ST0225</t>
  </si>
  <si>
    <t>Lavanya Devi</t>
  </si>
  <si>
    <t>ST0226</t>
  </si>
  <si>
    <t>Sneha Raman</t>
  </si>
  <si>
    <t>ST0227</t>
  </si>
  <si>
    <t>Harish Reddy</t>
  </si>
  <si>
    <t>ST0228</t>
  </si>
  <si>
    <t>ST0229</t>
  </si>
  <si>
    <t>ST0230</t>
  </si>
  <si>
    <t>Rahul Krishnan</t>
  </si>
  <si>
    <t>ST0231</t>
  </si>
  <si>
    <t>ST0232</t>
  </si>
  <si>
    <t>ST0233</t>
  </si>
  <si>
    <t>ST0234</t>
  </si>
  <si>
    <t>ST0235</t>
  </si>
  <si>
    <t>Harish Sharma</t>
  </si>
  <si>
    <t>ST0236</t>
  </si>
  <si>
    <t>ST0237</t>
  </si>
  <si>
    <t>ST0238</t>
  </si>
  <si>
    <t>ST0239</t>
  </si>
  <si>
    <t>ST0240</t>
  </si>
  <si>
    <t>ST0241</t>
  </si>
  <si>
    <t>Surya Singh</t>
  </si>
  <si>
    <t>ST0242</t>
  </si>
  <si>
    <t>Deepika Reddy</t>
  </si>
  <si>
    <t>ST0243</t>
  </si>
  <si>
    <t>Akash Krishnan</t>
  </si>
  <si>
    <t>ST0244</t>
  </si>
  <si>
    <t>ST0245</t>
  </si>
  <si>
    <t>ST0246</t>
  </si>
  <si>
    <t>ST0247</t>
  </si>
  <si>
    <t>ST0248</t>
  </si>
  <si>
    <t>Harish Anand</t>
  </si>
  <si>
    <t>ST0249</t>
  </si>
  <si>
    <t>ST0250</t>
  </si>
  <si>
    <t>ST0251</t>
  </si>
  <si>
    <t>Keerthi Iyer</t>
  </si>
  <si>
    <t>ST0252</t>
  </si>
  <si>
    <t>ST0253</t>
  </si>
  <si>
    <t>ST0254</t>
  </si>
  <si>
    <t>Aarthi Anand</t>
  </si>
  <si>
    <t>ST0255</t>
  </si>
  <si>
    <t>Divya Raj</t>
  </si>
  <si>
    <t>ST0256</t>
  </si>
  <si>
    <t>ST0257</t>
  </si>
  <si>
    <t>ST0258</t>
  </si>
  <si>
    <t>Anitha Sharma</t>
  </si>
  <si>
    <t>ST0259</t>
  </si>
  <si>
    <t>ST0260</t>
  </si>
  <si>
    <t>ST0261</t>
  </si>
  <si>
    <t>ST0262</t>
  </si>
  <si>
    <t>Kavin Reddy</t>
  </si>
  <si>
    <t>ST0263</t>
  </si>
  <si>
    <t>ST0264</t>
  </si>
  <si>
    <t>ST0265</t>
  </si>
  <si>
    <t>ST0266</t>
  </si>
  <si>
    <t>Anitha Raman</t>
  </si>
  <si>
    <t>ST0267</t>
  </si>
  <si>
    <t>Rohit Singh</t>
  </si>
  <si>
    <t>ST0268</t>
  </si>
  <si>
    <t>ST0269</t>
  </si>
  <si>
    <t>ST0270</t>
  </si>
  <si>
    <t>Vimal Iyer</t>
  </si>
  <si>
    <t>ST0271</t>
  </si>
  <si>
    <t>ST0272</t>
  </si>
  <si>
    <t>ST0273</t>
  </si>
  <si>
    <t>ST0274</t>
  </si>
  <si>
    <t>ST0275</t>
  </si>
  <si>
    <t>Lavanya Kumar</t>
  </si>
  <si>
    <t>ST0276</t>
  </si>
  <si>
    <t>Keerthi Reddy</t>
  </si>
  <si>
    <t>ST0277</t>
  </si>
  <si>
    <t>ST0278</t>
  </si>
  <si>
    <t>ST0279</t>
  </si>
  <si>
    <t>ST0280</t>
  </si>
  <si>
    <t>Meena Sharma</t>
  </si>
  <si>
    <t>ST0281</t>
  </si>
  <si>
    <t>ST0282</t>
  </si>
  <si>
    <t>Sneha Singh</t>
  </si>
  <si>
    <t>ST0283</t>
  </si>
  <si>
    <t>ST0284</t>
  </si>
  <si>
    <t>ST0285</t>
  </si>
  <si>
    <t>Akash Singh</t>
  </si>
  <si>
    <t>ST0286</t>
  </si>
  <si>
    <t>ST0287</t>
  </si>
  <si>
    <t>Sneha Lakshmi</t>
  </si>
  <si>
    <t>ST0288</t>
  </si>
  <si>
    <t>ST0289</t>
  </si>
  <si>
    <t>ST0290</t>
  </si>
  <si>
    <t>ST0291</t>
  </si>
  <si>
    <t>ST0292</t>
  </si>
  <si>
    <t>ST0293</t>
  </si>
  <si>
    <t>ST0294</t>
  </si>
  <si>
    <t>Sneha Babu</t>
  </si>
  <si>
    <t>ST0295</t>
  </si>
  <si>
    <t>ST0296</t>
  </si>
  <si>
    <t>ST0297</t>
  </si>
  <si>
    <t>ST0298</t>
  </si>
  <si>
    <t>ST0299</t>
  </si>
  <si>
    <t>ST0300</t>
  </si>
  <si>
    <t>ST0301</t>
  </si>
  <si>
    <t>Vimal Reddy</t>
  </si>
  <si>
    <t>ST0302</t>
  </si>
  <si>
    <t>Ajay Babu</t>
  </si>
  <si>
    <t>ST0303</t>
  </si>
  <si>
    <t>ST0304</t>
  </si>
  <si>
    <t>ST0305</t>
  </si>
  <si>
    <t>ST0306</t>
  </si>
  <si>
    <t>ST0307</t>
  </si>
  <si>
    <t>Divya Devi</t>
  </si>
  <si>
    <t>ST0308</t>
  </si>
  <si>
    <t>Priya Devi</t>
  </si>
  <si>
    <t>ST0309</t>
  </si>
  <si>
    <t>ST0310</t>
  </si>
  <si>
    <t>Vimal Raj</t>
  </si>
  <si>
    <t>ST0311</t>
  </si>
  <si>
    <t>Ajay Reddy</t>
  </si>
  <si>
    <t>ST0312</t>
  </si>
  <si>
    <t>ST0313</t>
  </si>
  <si>
    <t>ST0314</t>
  </si>
  <si>
    <t>ST0315</t>
  </si>
  <si>
    <t>Keerthi Devi</t>
  </si>
  <si>
    <t>ST0316</t>
  </si>
  <si>
    <t>ST0317</t>
  </si>
  <si>
    <t>ST0318</t>
  </si>
  <si>
    <t>ST0319</t>
  </si>
  <si>
    <t>ST0320</t>
  </si>
  <si>
    <t>ST0321</t>
  </si>
  <si>
    <t>ST0322</t>
  </si>
  <si>
    <t>ST0323</t>
  </si>
  <si>
    <t>ST0324</t>
  </si>
  <si>
    <t>ST0325</t>
  </si>
  <si>
    <t>ST0326</t>
  </si>
  <si>
    <t>Vimal Sharma</t>
  </si>
  <si>
    <t>ST0327</t>
  </si>
  <si>
    <t>ST0328</t>
  </si>
  <si>
    <t>ST0329</t>
  </si>
  <si>
    <t>Divya Singh</t>
  </si>
  <si>
    <t>ST0330</t>
  </si>
  <si>
    <t>ST0331</t>
  </si>
  <si>
    <t>ST0332</t>
  </si>
  <si>
    <t>ST0333</t>
  </si>
  <si>
    <t>ST0334</t>
  </si>
  <si>
    <t>ST0335</t>
  </si>
  <si>
    <t>ST0336</t>
  </si>
  <si>
    <t>ST0337</t>
  </si>
  <si>
    <t>Priya Raj</t>
  </si>
  <si>
    <t>ST0338</t>
  </si>
  <si>
    <t>ST0339</t>
  </si>
  <si>
    <t>ST0340</t>
  </si>
  <si>
    <t>Sneha Anand</t>
  </si>
  <si>
    <t>ST0341</t>
  </si>
  <si>
    <t>ST0342</t>
  </si>
  <si>
    <t>ST0343</t>
  </si>
  <si>
    <t>ST0344</t>
  </si>
  <si>
    <t>ST0345</t>
  </si>
  <si>
    <t>ST0346</t>
  </si>
  <si>
    <t>ST0347</t>
  </si>
  <si>
    <t>ST0348</t>
  </si>
  <si>
    <t>Surya Devi</t>
  </si>
  <si>
    <t>ST0349</t>
  </si>
  <si>
    <t>Priya Singh</t>
  </si>
  <si>
    <t>ST0350</t>
  </si>
  <si>
    <t>ST0351</t>
  </si>
  <si>
    <t>ST0352</t>
  </si>
  <si>
    <t>ST0353</t>
  </si>
  <si>
    <t>Vignesh Anand</t>
  </si>
  <si>
    <t>ST0354</t>
  </si>
  <si>
    <t>ST0355</t>
  </si>
  <si>
    <t>ST0356</t>
  </si>
  <si>
    <t>ST0357</t>
  </si>
  <si>
    <t>ST0358</t>
  </si>
  <si>
    <t>ST0359</t>
  </si>
  <si>
    <t>ST0360</t>
  </si>
  <si>
    <t>Arun Reddy</t>
  </si>
  <si>
    <t>ST0361</t>
  </si>
  <si>
    <t>ST0362</t>
  </si>
  <si>
    <t>ST0363</t>
  </si>
  <si>
    <t>ST0364</t>
  </si>
  <si>
    <t>ST0365</t>
  </si>
  <si>
    <t>ST0366</t>
  </si>
  <si>
    <t>ST0367</t>
  </si>
  <si>
    <t>ST0368</t>
  </si>
  <si>
    <t>ST0369</t>
  </si>
  <si>
    <t>ST0370</t>
  </si>
  <si>
    <t>Rohit Raman</t>
  </si>
  <si>
    <t>ST0371</t>
  </si>
  <si>
    <t>Ajay Singh</t>
  </si>
  <si>
    <t>ST0372</t>
  </si>
  <si>
    <t>ST0373</t>
  </si>
  <si>
    <t>ST0374</t>
  </si>
  <si>
    <t>Harish Lakshmi</t>
  </si>
  <si>
    <t>ST0375</t>
  </si>
  <si>
    <t>Deepika Kumar</t>
  </si>
  <si>
    <t>ST0376</t>
  </si>
  <si>
    <t>ST0377</t>
  </si>
  <si>
    <t>ST0378</t>
  </si>
  <si>
    <t>ST0379</t>
  </si>
  <si>
    <t>ST0380</t>
  </si>
  <si>
    <t>Sneha Reddy</t>
  </si>
  <si>
    <t>ST0381</t>
  </si>
  <si>
    <t>ST0382</t>
  </si>
  <si>
    <t>ST0383</t>
  </si>
  <si>
    <t>Surya Lakshmi</t>
  </si>
  <si>
    <t>ST0384</t>
  </si>
  <si>
    <t>Kavin Singh</t>
  </si>
  <si>
    <t>ST0385</t>
  </si>
  <si>
    <t>ST0386</t>
  </si>
  <si>
    <t>ST0387</t>
  </si>
  <si>
    <t>ST0388</t>
  </si>
  <si>
    <t>Arun Kumar</t>
  </si>
  <si>
    <t>ST0389</t>
  </si>
  <si>
    <t>ST0390</t>
  </si>
  <si>
    <t>ST0391</t>
  </si>
  <si>
    <t>Harish Babu</t>
  </si>
  <si>
    <t>ST0392</t>
  </si>
  <si>
    <t>ST0393</t>
  </si>
  <si>
    <t>Aarthi Raman</t>
  </si>
  <si>
    <t>ST0394</t>
  </si>
  <si>
    <t>ST0395</t>
  </si>
  <si>
    <t>ST0396</t>
  </si>
  <si>
    <t>ST0397</t>
  </si>
  <si>
    <t>ST0398</t>
  </si>
  <si>
    <t>ST0399</t>
  </si>
  <si>
    <t>ST0400</t>
  </si>
  <si>
    <t>Priya Raman</t>
  </si>
  <si>
    <t>ST0401</t>
  </si>
  <si>
    <t>ST0402</t>
  </si>
  <si>
    <t>ST0403</t>
  </si>
  <si>
    <t>ST0404</t>
  </si>
  <si>
    <t>ST0405</t>
  </si>
  <si>
    <t>Anitha Devi</t>
  </si>
  <si>
    <t>ST0406</t>
  </si>
  <si>
    <t>ST0407</t>
  </si>
  <si>
    <t>ST0408</t>
  </si>
  <si>
    <t>ST0409</t>
  </si>
  <si>
    <t>Divya Raman</t>
  </si>
  <si>
    <t>ST0410</t>
  </si>
  <si>
    <t>ST0411</t>
  </si>
  <si>
    <t>Harish Singh</t>
  </si>
  <si>
    <t>ST0412</t>
  </si>
  <si>
    <t>ST0413</t>
  </si>
  <si>
    <t>Rahul Raman</t>
  </si>
  <si>
    <t>ST0414</t>
  </si>
  <si>
    <t>ST0415</t>
  </si>
  <si>
    <t>ST0416</t>
  </si>
  <si>
    <t>Divya Reddy</t>
  </si>
  <si>
    <t>ST0417</t>
  </si>
  <si>
    <t>ST0418</t>
  </si>
  <si>
    <t>ST0419</t>
  </si>
  <si>
    <t>Meena Iyer</t>
  </si>
  <si>
    <t>ST0420</t>
  </si>
  <si>
    <t>ST0421</t>
  </si>
  <si>
    <t>Harish Krishnan</t>
  </si>
  <si>
    <t>ST0422</t>
  </si>
  <si>
    <t>ST0423</t>
  </si>
  <si>
    <t>Kavin Raj</t>
  </si>
  <si>
    <t>ST0424</t>
  </si>
  <si>
    <t>Nisha Devi</t>
  </si>
  <si>
    <t>ST0425</t>
  </si>
  <si>
    <t>ST0426</t>
  </si>
  <si>
    <t>ST0427</t>
  </si>
  <si>
    <t>ST0428</t>
  </si>
  <si>
    <t>ST0429</t>
  </si>
  <si>
    <t>Meena Lakshmi</t>
  </si>
  <si>
    <t>ST0430</t>
  </si>
  <si>
    <t>Divya Lakshmi</t>
  </si>
  <si>
    <t>ST0431</t>
  </si>
  <si>
    <t>Divya Anand</t>
  </si>
  <si>
    <t>ST0432</t>
  </si>
  <si>
    <t>ST0433</t>
  </si>
  <si>
    <t>Anitha Reddy</t>
  </si>
  <si>
    <t>ST0434</t>
  </si>
  <si>
    <t>ST0435</t>
  </si>
  <si>
    <t>ST0436</t>
  </si>
  <si>
    <t>ST0437</t>
  </si>
  <si>
    <t>ST0438</t>
  </si>
  <si>
    <t>ST0439</t>
  </si>
  <si>
    <t>ST0440</t>
  </si>
  <si>
    <t>ST0441</t>
  </si>
  <si>
    <t>ST0442</t>
  </si>
  <si>
    <t>ST0443</t>
  </si>
  <si>
    <t>ST0444</t>
  </si>
  <si>
    <t>ST0445</t>
  </si>
  <si>
    <t>ST0446</t>
  </si>
  <si>
    <t>ST0447</t>
  </si>
  <si>
    <t>ST0448</t>
  </si>
  <si>
    <t>ST0449</t>
  </si>
  <si>
    <t>ST0450</t>
  </si>
  <si>
    <t>ST0451</t>
  </si>
  <si>
    <t>ST0452</t>
  </si>
  <si>
    <t>Akash Devi</t>
  </si>
  <si>
    <t>ST0453</t>
  </si>
  <si>
    <t>ST0454</t>
  </si>
  <si>
    <t>ST0455</t>
  </si>
  <si>
    <t>Vignesh Iyer</t>
  </si>
  <si>
    <t>ST0456</t>
  </si>
  <si>
    <t>ST0457</t>
  </si>
  <si>
    <t>ST0458</t>
  </si>
  <si>
    <t>ST0459</t>
  </si>
  <si>
    <t>ST0460</t>
  </si>
  <si>
    <t>ST0461</t>
  </si>
  <si>
    <t>ST0462</t>
  </si>
  <si>
    <t>ST0463</t>
  </si>
  <si>
    <t>ST0464</t>
  </si>
  <si>
    <t>ST0465</t>
  </si>
  <si>
    <t>ST0466</t>
  </si>
  <si>
    <t>ST0467</t>
  </si>
  <si>
    <t>ST0468</t>
  </si>
  <si>
    <t>ST0469</t>
  </si>
  <si>
    <t>ST0470</t>
  </si>
  <si>
    <t>ST0471</t>
  </si>
  <si>
    <t>ST0472</t>
  </si>
  <si>
    <t>Akash Anand</t>
  </si>
  <si>
    <t>ST0473</t>
  </si>
  <si>
    <t>ST0474</t>
  </si>
  <si>
    <t>ST0475</t>
  </si>
  <si>
    <t>ST0476</t>
  </si>
  <si>
    <t>ST0477</t>
  </si>
  <si>
    <t>ST0478</t>
  </si>
  <si>
    <t>ST0479</t>
  </si>
  <si>
    <t>ST0480</t>
  </si>
  <si>
    <t>ST0481</t>
  </si>
  <si>
    <t>ST0482</t>
  </si>
  <si>
    <t>Ajay Raj</t>
  </si>
  <si>
    <t>ST0483</t>
  </si>
  <si>
    <t>ST0484</t>
  </si>
  <si>
    <t>ST0485</t>
  </si>
  <si>
    <t>ST0486</t>
  </si>
  <si>
    <t>ST0487</t>
  </si>
  <si>
    <t>ST0488</t>
  </si>
  <si>
    <t>ST0489</t>
  </si>
  <si>
    <t>Rahul Raj</t>
  </si>
  <si>
    <t>ST0490</t>
  </si>
  <si>
    <t>Deepika Raman</t>
  </si>
  <si>
    <t>ST0491</t>
  </si>
  <si>
    <t>ST0492</t>
  </si>
  <si>
    <t>ST0493</t>
  </si>
  <si>
    <t>ST0494</t>
  </si>
  <si>
    <t>ST0495</t>
  </si>
  <si>
    <t>ST0496</t>
  </si>
  <si>
    <t>Akash Lakshmi</t>
  </si>
  <si>
    <t>ST0497</t>
  </si>
  <si>
    <t>ST0498</t>
  </si>
  <si>
    <t>ST0499</t>
  </si>
  <si>
    <t>Harish Devi</t>
  </si>
  <si>
    <t>ST0500</t>
  </si>
  <si>
    <t>ST0501</t>
  </si>
  <si>
    <t>ST0502</t>
  </si>
  <si>
    <t>ST0503</t>
  </si>
  <si>
    <t>ST0504</t>
  </si>
  <si>
    <t>ST0505</t>
  </si>
  <si>
    <t>ST0506</t>
  </si>
  <si>
    <t>ST0507</t>
  </si>
  <si>
    <t>ST0508</t>
  </si>
  <si>
    <t>ST0509</t>
  </si>
  <si>
    <t>ST0510</t>
  </si>
  <si>
    <t>ST0511</t>
  </si>
  <si>
    <t>ST0512</t>
  </si>
  <si>
    <t>Keerthi Anand</t>
  </si>
  <si>
    <t>ST0513</t>
  </si>
  <si>
    <t>ST0514</t>
  </si>
  <si>
    <t>ST0515</t>
  </si>
  <si>
    <t>ST0516</t>
  </si>
  <si>
    <t>ST0517</t>
  </si>
  <si>
    <t>ST0518</t>
  </si>
  <si>
    <t>ST0519</t>
  </si>
  <si>
    <t>ST0520</t>
  </si>
  <si>
    <t>ST0521</t>
  </si>
  <si>
    <t>Vimal Singh</t>
  </si>
  <si>
    <t>ST0522</t>
  </si>
  <si>
    <t>Lavanya Singh</t>
  </si>
  <si>
    <t>ST0523</t>
  </si>
  <si>
    <t>ST0524</t>
  </si>
  <si>
    <t>ST0525</t>
  </si>
  <si>
    <t>ST0526</t>
  </si>
  <si>
    <t>ST0527</t>
  </si>
  <si>
    <t>ST0528</t>
  </si>
  <si>
    <t>ST0529</t>
  </si>
  <si>
    <t>ST0530</t>
  </si>
  <si>
    <t>ST0531</t>
  </si>
  <si>
    <t>ST0532</t>
  </si>
  <si>
    <t>ST0533</t>
  </si>
  <si>
    <t>ST0534</t>
  </si>
  <si>
    <t>ST0535</t>
  </si>
  <si>
    <t>ST0536</t>
  </si>
  <si>
    <t>ST0537</t>
  </si>
  <si>
    <t>ST0538</t>
  </si>
  <si>
    <t>ST0539</t>
  </si>
  <si>
    <t>ST0540</t>
  </si>
  <si>
    <t>ST0541</t>
  </si>
  <si>
    <t>ST0542</t>
  </si>
  <si>
    <t>ST0543</t>
  </si>
  <si>
    <t>ST0544</t>
  </si>
  <si>
    <t>ST0545</t>
  </si>
  <si>
    <t>ST0546</t>
  </si>
  <si>
    <t>ST0547</t>
  </si>
  <si>
    <t>ST0548</t>
  </si>
  <si>
    <t>ST0549</t>
  </si>
  <si>
    <t>ST0550</t>
  </si>
  <si>
    <t>ST0551</t>
  </si>
  <si>
    <t>Keerthi Sharma</t>
  </si>
  <si>
    <t>ST0552</t>
  </si>
  <si>
    <t>ST0553</t>
  </si>
  <si>
    <t>ST0554</t>
  </si>
  <si>
    <t>ST0555</t>
  </si>
  <si>
    <t>ST0556</t>
  </si>
  <si>
    <t>ST0557</t>
  </si>
  <si>
    <t>ST0558</t>
  </si>
  <si>
    <t>ST0559</t>
  </si>
  <si>
    <t>ST0560</t>
  </si>
  <si>
    <t>ST0561</t>
  </si>
  <si>
    <t>ST0562</t>
  </si>
  <si>
    <t>ST0563</t>
  </si>
  <si>
    <t>ST0564</t>
  </si>
  <si>
    <t>ST0565</t>
  </si>
  <si>
    <t>ST0566</t>
  </si>
  <si>
    <t>ST0567</t>
  </si>
  <si>
    <t>ST0568</t>
  </si>
  <si>
    <t>ST0569</t>
  </si>
  <si>
    <t>ST0570</t>
  </si>
  <si>
    <t>ST0571</t>
  </si>
  <si>
    <t>Nisha Babu</t>
  </si>
  <si>
    <t>ST0572</t>
  </si>
  <si>
    <t>ST0573</t>
  </si>
  <si>
    <t>Rohit Krishnan</t>
  </si>
  <si>
    <t>ST0574</t>
  </si>
  <si>
    <t>Aarthi Raj</t>
  </si>
  <si>
    <t>ST0575</t>
  </si>
  <si>
    <t>ST0576</t>
  </si>
  <si>
    <t>ST0577</t>
  </si>
  <si>
    <t>ST0578</t>
  </si>
  <si>
    <t>ST0579</t>
  </si>
  <si>
    <t>ST0580</t>
  </si>
  <si>
    <t>ST0581</t>
  </si>
  <si>
    <t>ST0582</t>
  </si>
  <si>
    <t>ST0583</t>
  </si>
  <si>
    <t>ST0584</t>
  </si>
  <si>
    <t>ST0585</t>
  </si>
  <si>
    <t>ST0586</t>
  </si>
  <si>
    <t>ST0587</t>
  </si>
  <si>
    <t>ST0588</t>
  </si>
  <si>
    <t>ST0589</t>
  </si>
  <si>
    <t>ST0590</t>
  </si>
  <si>
    <t>ST0591</t>
  </si>
  <si>
    <t>ST0592</t>
  </si>
  <si>
    <t>ST0593</t>
  </si>
  <si>
    <t>ST0594</t>
  </si>
  <si>
    <t>ST0595</t>
  </si>
  <si>
    <t>ST0596</t>
  </si>
  <si>
    <t>ST0597</t>
  </si>
  <si>
    <t>ST0598</t>
  </si>
  <si>
    <t>ST0599</t>
  </si>
  <si>
    <t>ST0600</t>
  </si>
  <si>
    <t>ST0601</t>
  </si>
  <si>
    <t>ST0602</t>
  </si>
  <si>
    <t>ST0603</t>
  </si>
  <si>
    <t>ST0604</t>
  </si>
  <si>
    <t>ST0605</t>
  </si>
  <si>
    <t>ST0606</t>
  </si>
  <si>
    <t>ST0607</t>
  </si>
  <si>
    <t>ST0608</t>
  </si>
  <si>
    <t>ST0609</t>
  </si>
  <si>
    <t>ST0610</t>
  </si>
  <si>
    <t>ST0611</t>
  </si>
  <si>
    <t>ST0612</t>
  </si>
  <si>
    <t>ST0613</t>
  </si>
  <si>
    <t>ST0614</t>
  </si>
  <si>
    <t>ST0615</t>
  </si>
  <si>
    <t>ST0616</t>
  </si>
  <si>
    <t>ST0617</t>
  </si>
  <si>
    <t>ST0618</t>
  </si>
  <si>
    <t>ST0619</t>
  </si>
  <si>
    <t>ST0620</t>
  </si>
  <si>
    <t>ST0621</t>
  </si>
  <si>
    <t>ST0622</t>
  </si>
  <si>
    <t>ST0623</t>
  </si>
  <si>
    <t>ST0624</t>
  </si>
  <si>
    <t>ST0625</t>
  </si>
  <si>
    <t>ST0626</t>
  </si>
  <si>
    <t>ST0627</t>
  </si>
  <si>
    <t>ST0628</t>
  </si>
  <si>
    <t>Vimal Krishnan</t>
  </si>
  <si>
    <t>ST0629</t>
  </si>
  <si>
    <t>ST0630</t>
  </si>
  <si>
    <t>ST0631</t>
  </si>
  <si>
    <t>ST0632</t>
  </si>
  <si>
    <t>ST0633</t>
  </si>
  <si>
    <t>ST0634</t>
  </si>
  <si>
    <t>Ajay Raman</t>
  </si>
  <si>
    <t>ST0635</t>
  </si>
  <si>
    <t>ST0636</t>
  </si>
  <si>
    <t>ST0637</t>
  </si>
  <si>
    <t>ST0638</t>
  </si>
  <si>
    <t>ST0639</t>
  </si>
  <si>
    <t>ST0640</t>
  </si>
  <si>
    <t>ST0641</t>
  </si>
  <si>
    <t>Vignesh Singh</t>
  </si>
  <si>
    <t>ST0642</t>
  </si>
  <si>
    <t>ST0643</t>
  </si>
  <si>
    <t>ST0644</t>
  </si>
  <si>
    <t>ST0645</t>
  </si>
  <si>
    <t>ST0646</t>
  </si>
  <si>
    <t>ST0647</t>
  </si>
  <si>
    <t>ST0648</t>
  </si>
  <si>
    <t>ST0649</t>
  </si>
  <si>
    <t>ST0650</t>
  </si>
  <si>
    <t>ST0651</t>
  </si>
  <si>
    <t>ST0652</t>
  </si>
  <si>
    <t>ST0653</t>
  </si>
  <si>
    <t>ST0654</t>
  </si>
  <si>
    <t>ST0655</t>
  </si>
  <si>
    <t>ST0656</t>
  </si>
  <si>
    <t>Vignesh Kumar</t>
  </si>
  <si>
    <t>ST0657</t>
  </si>
  <si>
    <t>ST0658</t>
  </si>
  <si>
    <t>ST0659</t>
  </si>
  <si>
    <t>ST0660</t>
  </si>
  <si>
    <t>ST0661</t>
  </si>
  <si>
    <t>ST0662</t>
  </si>
  <si>
    <t>Rahul Lakshmi</t>
  </si>
  <si>
    <t>ST0663</t>
  </si>
  <si>
    <t>ST0664</t>
  </si>
  <si>
    <t>ST0665</t>
  </si>
  <si>
    <t>ST0666</t>
  </si>
  <si>
    <t>ST0667</t>
  </si>
  <si>
    <t>ST0668</t>
  </si>
  <si>
    <t>ST0669</t>
  </si>
  <si>
    <t>ST0670</t>
  </si>
  <si>
    <t>ST0671</t>
  </si>
  <si>
    <t>ST0672</t>
  </si>
  <si>
    <t>ST0673</t>
  </si>
  <si>
    <t>ST0674</t>
  </si>
  <si>
    <t>ST0675</t>
  </si>
  <si>
    <t>ST0676</t>
  </si>
  <si>
    <t>ST0677</t>
  </si>
  <si>
    <t>ST0678</t>
  </si>
  <si>
    <t>ST0679</t>
  </si>
  <si>
    <t>Harish Raj</t>
  </si>
  <si>
    <t>ST0680</t>
  </si>
  <si>
    <t>ST0681</t>
  </si>
  <si>
    <t>ST0682</t>
  </si>
  <si>
    <t>ST0683</t>
  </si>
  <si>
    <t>ST0684</t>
  </si>
  <si>
    <t>Meena Raman</t>
  </si>
  <si>
    <t>ST0685</t>
  </si>
  <si>
    <t>ST0686</t>
  </si>
  <si>
    <t>ST0687</t>
  </si>
  <si>
    <t>ST0688</t>
  </si>
  <si>
    <t>ST0689</t>
  </si>
  <si>
    <t>ST0690</t>
  </si>
  <si>
    <t>ST0691</t>
  </si>
  <si>
    <t>ST0692</t>
  </si>
  <si>
    <t>ST0693</t>
  </si>
  <si>
    <t>ST0694</t>
  </si>
  <si>
    <t>ST0695</t>
  </si>
  <si>
    <t>ST0696</t>
  </si>
  <si>
    <t>ST0697</t>
  </si>
  <si>
    <t>ST0698</t>
  </si>
  <si>
    <t>ST0699</t>
  </si>
  <si>
    <t>ST0700</t>
  </si>
  <si>
    <t>Divya Kumar</t>
  </si>
  <si>
    <t>ST0701</t>
  </si>
  <si>
    <t>ST0702</t>
  </si>
  <si>
    <t>ST0703</t>
  </si>
  <si>
    <t>ST0704</t>
  </si>
  <si>
    <t>ST0705</t>
  </si>
  <si>
    <t>ST0706</t>
  </si>
  <si>
    <t>ST0707</t>
  </si>
  <si>
    <t>ST0708</t>
  </si>
  <si>
    <t>ST0709</t>
  </si>
  <si>
    <t>ST0710</t>
  </si>
  <si>
    <t>ST0711</t>
  </si>
  <si>
    <t>ST0712</t>
  </si>
  <si>
    <t>ST0713</t>
  </si>
  <si>
    <t>ST0714</t>
  </si>
  <si>
    <t>ST0715</t>
  </si>
  <si>
    <t>ST0716</t>
  </si>
  <si>
    <t>ST0717</t>
  </si>
  <si>
    <t>ST0718</t>
  </si>
  <si>
    <t>ST0719</t>
  </si>
  <si>
    <t>ST0720</t>
  </si>
  <si>
    <t>ST0721</t>
  </si>
  <si>
    <t>ST0722</t>
  </si>
  <si>
    <t>ST0723</t>
  </si>
  <si>
    <t>ST0724</t>
  </si>
  <si>
    <t>ST0725</t>
  </si>
  <si>
    <t>ST0726</t>
  </si>
  <si>
    <t>ST0727</t>
  </si>
  <si>
    <t>ST0728</t>
  </si>
  <si>
    <t>ST0729</t>
  </si>
  <si>
    <t>ST0730</t>
  </si>
  <si>
    <t>ST0731</t>
  </si>
  <si>
    <t>ST0732</t>
  </si>
  <si>
    <t>ST0733</t>
  </si>
  <si>
    <t>ST0734</t>
  </si>
  <si>
    <t>ST0735</t>
  </si>
  <si>
    <t>ST0736</t>
  </si>
  <si>
    <t>ST0737</t>
  </si>
  <si>
    <t>ST0738</t>
  </si>
  <si>
    <t>ST0739</t>
  </si>
  <si>
    <t>ST0740</t>
  </si>
  <si>
    <t>ST0741</t>
  </si>
  <si>
    <t>ST0742</t>
  </si>
  <si>
    <t>ST0743</t>
  </si>
  <si>
    <t>ST0744</t>
  </si>
  <si>
    <t>ST0745</t>
  </si>
  <si>
    <t>ST0746</t>
  </si>
  <si>
    <t>ST0747</t>
  </si>
  <si>
    <t>ST0748</t>
  </si>
  <si>
    <t>ST0749</t>
  </si>
  <si>
    <t>ST0750</t>
  </si>
  <si>
    <t>ST0751</t>
  </si>
  <si>
    <t>ST0752</t>
  </si>
  <si>
    <t>ST0753</t>
  </si>
  <si>
    <t>ST0754</t>
  </si>
  <si>
    <t>ST0755</t>
  </si>
  <si>
    <t>ST0756</t>
  </si>
  <si>
    <t>ST0757</t>
  </si>
  <si>
    <t>ST0758</t>
  </si>
  <si>
    <t>ST0759</t>
  </si>
  <si>
    <t>ST0760</t>
  </si>
  <si>
    <t>ST0761</t>
  </si>
  <si>
    <t>ST0762</t>
  </si>
  <si>
    <t>ST0763</t>
  </si>
  <si>
    <t>ST0764</t>
  </si>
  <si>
    <t>Priya Kumar</t>
  </si>
  <si>
    <t>ST0765</t>
  </si>
  <si>
    <t>ST0766</t>
  </si>
  <si>
    <t>ST0767</t>
  </si>
  <si>
    <t>ST0768</t>
  </si>
  <si>
    <t>ST0769</t>
  </si>
  <si>
    <t>ST0770</t>
  </si>
  <si>
    <t>ST0771</t>
  </si>
  <si>
    <t>ST0772</t>
  </si>
  <si>
    <t>ST0773</t>
  </si>
  <si>
    <t>ST0774</t>
  </si>
  <si>
    <t>ST0775</t>
  </si>
  <si>
    <t>ST0776</t>
  </si>
  <si>
    <t>ST0777</t>
  </si>
  <si>
    <t>ST0778</t>
  </si>
  <si>
    <t>ST0779</t>
  </si>
  <si>
    <t>ST0780</t>
  </si>
  <si>
    <t>ST0781</t>
  </si>
  <si>
    <t>ST0782</t>
  </si>
  <si>
    <t>ST0783</t>
  </si>
  <si>
    <t>ST0784</t>
  </si>
  <si>
    <t>ST0785</t>
  </si>
  <si>
    <t>ST0786</t>
  </si>
  <si>
    <t>ST0787</t>
  </si>
  <si>
    <t>ST0788</t>
  </si>
  <si>
    <t>ST0789</t>
  </si>
  <si>
    <t>ST0790</t>
  </si>
  <si>
    <t>ST0791</t>
  </si>
  <si>
    <t>ST0792</t>
  </si>
  <si>
    <t>ST0793</t>
  </si>
  <si>
    <t>ST0794</t>
  </si>
  <si>
    <t>ST0795</t>
  </si>
  <si>
    <t>ST0796</t>
  </si>
  <si>
    <t>ST0797</t>
  </si>
  <si>
    <t>ST0798</t>
  </si>
  <si>
    <t>ST0799</t>
  </si>
  <si>
    <t>ST0800</t>
  </si>
  <si>
    <t>ST0801</t>
  </si>
  <si>
    <t>ST0802</t>
  </si>
  <si>
    <t>ST0803</t>
  </si>
  <si>
    <t>ST0804</t>
  </si>
  <si>
    <t>ST0805</t>
  </si>
  <si>
    <t>ST0806</t>
  </si>
  <si>
    <t>ST0807</t>
  </si>
  <si>
    <t>ST0808</t>
  </si>
  <si>
    <t>ST0809</t>
  </si>
  <si>
    <t>ST0810</t>
  </si>
  <si>
    <t>ST0811</t>
  </si>
  <si>
    <t>ST0812</t>
  </si>
  <si>
    <t>ST0813</t>
  </si>
  <si>
    <t>ST0814</t>
  </si>
  <si>
    <t>ST0815</t>
  </si>
  <si>
    <t>ST0816</t>
  </si>
  <si>
    <t>ST0817</t>
  </si>
  <si>
    <t>ST0818</t>
  </si>
  <si>
    <t>ST0819</t>
  </si>
  <si>
    <t>ST0820</t>
  </si>
  <si>
    <t>ST0821</t>
  </si>
  <si>
    <t>ST0822</t>
  </si>
  <si>
    <t>ST0823</t>
  </si>
  <si>
    <t>ST0824</t>
  </si>
  <si>
    <t>ST0825</t>
  </si>
  <si>
    <t>ST0826</t>
  </si>
  <si>
    <t>ST0827</t>
  </si>
  <si>
    <t>ST0828</t>
  </si>
  <si>
    <t>ST0829</t>
  </si>
  <si>
    <t>ST0830</t>
  </si>
  <si>
    <t>ST0831</t>
  </si>
  <si>
    <t>ST0832</t>
  </si>
  <si>
    <t>ST0833</t>
  </si>
  <si>
    <t>ST0834</t>
  </si>
  <si>
    <t>ST0835</t>
  </si>
  <si>
    <t>ST0836</t>
  </si>
  <si>
    <t>ST0837</t>
  </si>
  <si>
    <t>ST0838</t>
  </si>
  <si>
    <t>ST0839</t>
  </si>
  <si>
    <t>ST0840</t>
  </si>
  <si>
    <t>ST0841</t>
  </si>
  <si>
    <t>ST0842</t>
  </si>
  <si>
    <t>ST0843</t>
  </si>
  <si>
    <t>ST0844</t>
  </si>
  <si>
    <t>ST0845</t>
  </si>
  <si>
    <t>ST0846</t>
  </si>
  <si>
    <t>ST0847</t>
  </si>
  <si>
    <t>ST0848</t>
  </si>
  <si>
    <t>ST0849</t>
  </si>
  <si>
    <t>ST0850</t>
  </si>
  <si>
    <t>ST0851</t>
  </si>
  <si>
    <t>ST0852</t>
  </si>
  <si>
    <t>ST0853</t>
  </si>
  <si>
    <t>ST0854</t>
  </si>
  <si>
    <t>ST0855</t>
  </si>
  <si>
    <t>ST0856</t>
  </si>
  <si>
    <t>ST0857</t>
  </si>
  <si>
    <t>Ajay Anand</t>
  </si>
  <si>
    <t>ST0858</t>
  </si>
  <si>
    <t>ST0859</t>
  </si>
  <si>
    <t>ST0860</t>
  </si>
  <si>
    <t>ST0861</t>
  </si>
  <si>
    <t>ST0862</t>
  </si>
  <si>
    <t>ST0863</t>
  </si>
  <si>
    <t>ST0864</t>
  </si>
  <si>
    <t>ST0865</t>
  </si>
  <si>
    <t>ST0866</t>
  </si>
  <si>
    <t>ST0867</t>
  </si>
  <si>
    <t>ST0868</t>
  </si>
  <si>
    <t>ST0869</t>
  </si>
  <si>
    <t>ST0870</t>
  </si>
  <si>
    <t>ST0871</t>
  </si>
  <si>
    <t>ST0872</t>
  </si>
  <si>
    <t>ST0873</t>
  </si>
  <si>
    <t>ST0874</t>
  </si>
  <si>
    <t>ST0875</t>
  </si>
  <si>
    <t>ST0876</t>
  </si>
  <si>
    <t>ST0877</t>
  </si>
  <si>
    <t>ST0878</t>
  </si>
  <si>
    <t>ST0879</t>
  </si>
  <si>
    <t>ST0880</t>
  </si>
  <si>
    <t>ST0881</t>
  </si>
  <si>
    <t>ST0882</t>
  </si>
  <si>
    <t>ST0883</t>
  </si>
  <si>
    <t>ST0884</t>
  </si>
  <si>
    <t>ST0885</t>
  </si>
  <si>
    <t>ST0886</t>
  </si>
  <si>
    <t>ST0887</t>
  </si>
  <si>
    <t>ST0888</t>
  </si>
  <si>
    <t>ST0889</t>
  </si>
  <si>
    <t>ST0890</t>
  </si>
  <si>
    <t>ST0891</t>
  </si>
  <si>
    <t>Aarthi Krishnan</t>
  </si>
  <si>
    <t>ST0892</t>
  </si>
  <si>
    <t>ST0893</t>
  </si>
  <si>
    <t>ST0894</t>
  </si>
  <si>
    <t>ST0895</t>
  </si>
  <si>
    <t>ST0896</t>
  </si>
  <si>
    <t>ST0897</t>
  </si>
  <si>
    <t>ST0898</t>
  </si>
  <si>
    <t>ST0899</t>
  </si>
  <si>
    <t>ST0900</t>
  </si>
  <si>
    <t>ST0901</t>
  </si>
  <si>
    <t>ST0902</t>
  </si>
  <si>
    <t>ST0903</t>
  </si>
  <si>
    <t>ST0904</t>
  </si>
  <si>
    <t>ST0905</t>
  </si>
  <si>
    <t>ST0906</t>
  </si>
  <si>
    <t>ST0907</t>
  </si>
  <si>
    <t>ST0908</t>
  </si>
  <si>
    <t>ST0909</t>
  </si>
  <si>
    <t>ST0910</t>
  </si>
  <si>
    <t>ST0911</t>
  </si>
  <si>
    <t>ST0912</t>
  </si>
  <si>
    <t>ST0913</t>
  </si>
  <si>
    <t>ST0914</t>
  </si>
  <si>
    <t>ST0915</t>
  </si>
  <si>
    <t>ST0916</t>
  </si>
  <si>
    <t>ST0917</t>
  </si>
  <si>
    <t>ST0918</t>
  </si>
  <si>
    <t>ST0919</t>
  </si>
  <si>
    <t>Lavanya Babu</t>
  </si>
  <si>
    <t>ST0920</t>
  </si>
  <si>
    <t>ST0921</t>
  </si>
  <si>
    <t>ST0922</t>
  </si>
  <si>
    <t>ST0923</t>
  </si>
  <si>
    <t>ST0924</t>
  </si>
  <si>
    <t>Nisha Singh</t>
  </si>
  <si>
    <t>ST0925</t>
  </si>
  <si>
    <t>ST0926</t>
  </si>
  <si>
    <t>ST0927</t>
  </si>
  <si>
    <t>ST0928</t>
  </si>
  <si>
    <t>ST0929</t>
  </si>
  <si>
    <t>ST0930</t>
  </si>
  <si>
    <t>ST0931</t>
  </si>
  <si>
    <t>ST0932</t>
  </si>
  <si>
    <t>ST0933</t>
  </si>
  <si>
    <t>ST0934</t>
  </si>
  <si>
    <t>ST0935</t>
  </si>
  <si>
    <t>ST0936</t>
  </si>
  <si>
    <t>ST0937</t>
  </si>
  <si>
    <t>ST0938</t>
  </si>
  <si>
    <t>ST0939</t>
  </si>
  <si>
    <t>ST0940</t>
  </si>
  <si>
    <t>ST0941</t>
  </si>
  <si>
    <t>ST0942</t>
  </si>
  <si>
    <t>ST0943</t>
  </si>
  <si>
    <t>ST0944</t>
  </si>
  <si>
    <t>ST0945</t>
  </si>
  <si>
    <t>ST0946</t>
  </si>
  <si>
    <t>ST0947</t>
  </si>
  <si>
    <t>ST0948</t>
  </si>
  <si>
    <t>ST0949</t>
  </si>
  <si>
    <t>ST0950</t>
  </si>
  <si>
    <t>ST0951</t>
  </si>
  <si>
    <t>ST0952</t>
  </si>
  <si>
    <t>ST0953</t>
  </si>
  <si>
    <t>ST0954</t>
  </si>
  <si>
    <t>ST0955</t>
  </si>
  <si>
    <t>ST0956</t>
  </si>
  <si>
    <t>ST0957</t>
  </si>
  <si>
    <t>ST0958</t>
  </si>
  <si>
    <t>ST0959</t>
  </si>
  <si>
    <t>ST0960</t>
  </si>
  <si>
    <t>ST0961</t>
  </si>
  <si>
    <t>ST0962</t>
  </si>
  <si>
    <t>ST0963</t>
  </si>
  <si>
    <t>ST0964</t>
  </si>
  <si>
    <t>ST0965</t>
  </si>
  <si>
    <t>ST0966</t>
  </si>
  <si>
    <t>ST0967</t>
  </si>
  <si>
    <t>ST0968</t>
  </si>
  <si>
    <t>ST0969</t>
  </si>
  <si>
    <t>ST0970</t>
  </si>
  <si>
    <t>ST0971</t>
  </si>
  <si>
    <t>ST0972</t>
  </si>
  <si>
    <t>ST0973</t>
  </si>
  <si>
    <t>ST0974</t>
  </si>
  <si>
    <t>ST0975</t>
  </si>
  <si>
    <t>ST0976</t>
  </si>
  <si>
    <t>ST0977</t>
  </si>
  <si>
    <t>ST0978</t>
  </si>
  <si>
    <t>ST0979</t>
  </si>
  <si>
    <t>ST0980</t>
  </si>
  <si>
    <t>ST0981</t>
  </si>
  <si>
    <t>Vignesh Babu</t>
  </si>
  <si>
    <t>ST0982</t>
  </si>
  <si>
    <t>ST0983</t>
  </si>
  <si>
    <t>ST0984</t>
  </si>
  <si>
    <t>ST0985</t>
  </si>
  <si>
    <t>ST0986</t>
  </si>
  <si>
    <t>ST0987</t>
  </si>
  <si>
    <t>ST0988</t>
  </si>
  <si>
    <t>ST0989</t>
  </si>
  <si>
    <t>ST0990</t>
  </si>
  <si>
    <t>ST0991</t>
  </si>
  <si>
    <t>ST0992</t>
  </si>
  <si>
    <t>ST0993</t>
  </si>
  <si>
    <t>ST0994</t>
  </si>
  <si>
    <t>ST0995</t>
  </si>
  <si>
    <t>ST0996</t>
  </si>
  <si>
    <t>ST0997</t>
  </si>
  <si>
    <t>ST0998</t>
  </si>
  <si>
    <t>ST0999</t>
  </si>
  <si>
    <t>ST1000</t>
  </si>
  <si>
    <t>Grade</t>
  </si>
  <si>
    <t>Course_Deadline_Check</t>
  </si>
  <si>
    <t>Convert_Login_Time</t>
  </si>
  <si>
    <t>HOUR_and_MINUTE</t>
  </si>
  <si>
    <t>Row Labels</t>
  </si>
  <si>
    <t>Grand Total</t>
  </si>
  <si>
    <t>Count of Student_ID</t>
  </si>
  <si>
    <t>Average of Quiz_Score</t>
  </si>
  <si>
    <t>Login_Status</t>
  </si>
  <si>
    <t>Long Time Login</t>
  </si>
  <si>
    <t>Short Time Login</t>
  </si>
  <si>
    <t>Sum of Paid</t>
  </si>
  <si>
    <t>Performance Rating Distribution</t>
  </si>
  <si>
    <t>Login Time Analysis</t>
  </si>
  <si>
    <t>Course Enrollment by Gender</t>
  </si>
  <si>
    <t>KPI METRICS</t>
  </si>
  <si>
    <t>KPI Name</t>
  </si>
  <si>
    <t>Result</t>
  </si>
  <si>
    <t>Formula Used</t>
  </si>
  <si>
    <t>Description</t>
  </si>
  <si>
    <t>Total Students</t>
  </si>
  <si>
    <t>Average Quiz Score</t>
  </si>
  <si>
    <t>Total Revenue</t>
  </si>
  <si>
    <t>Paid Students</t>
  </si>
  <si>
    <t>Pending Students</t>
  </si>
  <si>
    <t>Total Dropout Students</t>
  </si>
  <si>
    <t>Total number of students in the dataset</t>
  </si>
  <si>
    <t>Average Attendnace%</t>
  </si>
  <si>
    <t>Average Attendnace percentage</t>
  </si>
  <si>
    <t>Average quiz score of all students</t>
  </si>
  <si>
    <t>Total amount paid by students</t>
  </si>
  <si>
    <t>Number of students who completed payment</t>
  </si>
  <si>
    <t>Number of students with pending payment</t>
  </si>
  <si>
    <t>Number of students who dropped out</t>
  </si>
  <si>
    <t>Long Time Login Students</t>
  </si>
  <si>
    <t>Students who logged in after the specified time</t>
  </si>
  <si>
    <t>Short Time Login Students</t>
  </si>
  <si>
    <t>Students who logged in before the specified time</t>
  </si>
  <si>
    <t>Female Students</t>
  </si>
  <si>
    <t>Total female students</t>
  </si>
  <si>
    <t>Male Students</t>
  </si>
  <si>
    <t>Total male students</t>
  </si>
  <si>
    <t>Highest Revenue Course</t>
  </si>
  <si>
    <t>Course with the highest revenue</t>
  </si>
  <si>
    <t>ADDITIONAL METRICS</t>
  </si>
  <si>
    <t>=COUNTA(RAW_DATA!A:A)-1</t>
  </si>
  <si>
    <t>=AVERAGE(Dataset[[#All],[Attendance_%]])</t>
  </si>
  <si>
    <t>=AVERAGE(Dataset[[#All],[Quiz_Score]])</t>
  </si>
  <si>
    <t>=SUM(Dataset[[#All],[Paid]])</t>
  </si>
  <si>
    <t>=COUNTIF(Dataset[[#All],[Payment_Status]],"Paid")</t>
  </si>
  <si>
    <t>=COUNTIF(Dataset[[#All],[Payment_Status]],"Pending")</t>
  </si>
  <si>
    <t>=COUNTIF(Dataset[[#All],[Dropout_Student]],"Yes")</t>
  </si>
  <si>
    <t>=COUNTIF(Dataset[[#All],[Login_Status]],"Long Time Login")</t>
  </si>
  <si>
    <t>=COUNTIF(Dataset[Login_Status],"Short Time Login")</t>
  </si>
  <si>
    <t>=COUNTIF(Dataset[[#All],[Gender]],"Female")</t>
  </si>
  <si>
    <t>=COUNTIF(Dataset[Gender],"Male")</t>
  </si>
  <si>
    <t>=INDEX(RAW_DATA!F:F,MATCH(MAX(Dataset[[#All],[Paid]]),Dataset[[#All],[Paid]],0))</t>
  </si>
  <si>
    <t>👥  Total Students</t>
  </si>
  <si>
    <t>✅  Avg Attendance %</t>
  </si>
  <si>
    <t>📝  Avg Quiz Score</t>
  </si>
  <si>
    <t>💰  Total Revenue (INR)</t>
  </si>
  <si>
    <t>💳  Paid Students</t>
  </si>
  <si>
    <t>⏳  Pending Students</t>
  </si>
  <si>
    <t>❌  Total Dropout Students</t>
  </si>
  <si>
    <t>80.297</t>
  </si>
  <si>
    <t>🎯  KEY PERFORMANCE INDICATORS  (linked to KPI-FORMULAS tab)</t>
  </si>
  <si>
    <t>📊  ADDITIONAL METRICS</t>
  </si>
  <si>
    <t>⏱  Long Login Students</t>
  </si>
  <si>
    <t>⚡  Short Login Students</t>
  </si>
  <si>
    <t>👩  Female Students</t>
  </si>
  <si>
    <t>👨  Male Students</t>
  </si>
  <si>
    <t>Prepared By: Bhuvaneswari S    |    Project: Learning Analytics Dashboard using Microsoft Excel</t>
  </si>
  <si>
    <t>Purpose: Student Performance &amp; Course Analytics for an EdTech Company</t>
  </si>
  <si>
    <t>Course-wise Student Distribution</t>
  </si>
  <si>
    <t>Revenue by Course</t>
  </si>
  <si>
    <t>Dropout Analysis</t>
  </si>
  <si>
    <t>Payment Status</t>
  </si>
  <si>
    <t>⭐  Highest Revenue Course</t>
  </si>
  <si>
    <t>Sum of Balance</t>
  </si>
  <si>
    <t>City-wise Average quiz score</t>
  </si>
  <si>
    <t xml:space="preserve">                       BYJU'S LEARNING ANALYTICS DASHBOARD</t>
  </si>
  <si>
    <t xml:space="preserve">                                                          Student Performance &amp; Course Analytics - 1000 Student Records</t>
  </si>
  <si>
    <t>Pending Balance</t>
  </si>
  <si>
    <t>Delayed</t>
  </si>
  <si>
    <t>On Time</t>
  </si>
  <si>
    <t>Max of Quiz_Score</t>
  </si>
  <si>
    <t>Gender-wise max Quiz Score</t>
  </si>
  <si>
    <t>PIVOT TABLES &amp; SLICERS</t>
  </si>
  <si>
    <t>FORMULAS</t>
  </si>
  <si>
    <t>BYJU'S LEARNING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</si>
</sst>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F400]h:mm:ss\ AM/PM"/>
    <numFmt numFmtId="165" formatCode="_ [$₹-4009]\ * #,##0.00_ ;_ [$₹-4009]\ * \-#,##0.00_ ;_ [$₹-4009]\ * &quot;-&quot;??_ ;_ @_ "/>
    <numFmt numFmtId="166" formatCode="0.0"/>
  </numFmts>
  <fonts count="25">
    <font>
      <sz val="11"/>
      <color theme="1"/>
      <name val="Aptos Narrow"/>
      <family val="2"/>
      <scheme val="minor"/>
    </font>
    <font>
      <b/>
      <sz val="11"/>
      <color theme="1"/>
      <name val="Aptos Narrow"/>
      <family val="2"/>
      <scheme val="minor"/>
    </font>
    <font>
      <sz val="14"/>
      <color theme="1"/>
      <name val="Aptos Narrow"/>
      <family val="2"/>
      <scheme val="minor"/>
    </font>
    <font>
      <b/>
      <sz val="13.5"/>
      <color theme="1"/>
      <name val="Aptos Narrow"/>
      <family val="2"/>
      <scheme val="minor"/>
    </font>
    <font>
      <b/>
      <sz val="14"/>
      <color theme="1"/>
      <name val="Aptos Display"/>
      <family val="2"/>
      <scheme val="major"/>
    </font>
    <font>
      <sz val="10"/>
      <color theme="1"/>
      <name val="Arial Unicode MS"/>
    </font>
    <font>
      <b/>
      <sz val="17"/>
      <color rgb="FF4B2A99"/>
      <name val="Calibri"/>
      <family val="2"/>
    </font>
    <font>
      <b/>
      <sz val="17"/>
      <color rgb="FF2F6FED"/>
      <name val="Calibri"/>
      <family val="2"/>
    </font>
    <font>
      <b/>
      <sz val="17"/>
      <color rgb="FF1FA96A"/>
      <name val="Calibri"/>
      <family val="2"/>
    </font>
    <font>
      <b/>
      <sz val="17"/>
      <color rgb="FFF2A93B"/>
      <name val="Calibri"/>
      <family val="2"/>
    </font>
    <font>
      <b/>
      <sz val="17"/>
      <color rgb="FFE14B4B"/>
      <name val="Calibri"/>
      <family val="2"/>
    </font>
    <font>
      <b/>
      <sz val="16"/>
      <color rgb="FF2F6FED"/>
      <name val="Calibri"/>
      <family val="2"/>
    </font>
    <font>
      <sz val="16"/>
      <color theme="1"/>
      <name val="Aptos Narrow"/>
      <family val="2"/>
      <scheme val="minor"/>
    </font>
    <font>
      <b/>
      <sz val="14"/>
      <color theme="1"/>
      <name val="Calibri"/>
      <family val="2"/>
    </font>
    <font>
      <b/>
      <sz val="14"/>
      <color theme="3" tint="0.249977111117893"/>
      <name val="Aptos Narrow"/>
      <family val="2"/>
      <scheme val="minor"/>
    </font>
    <font>
      <b/>
      <sz val="13"/>
      <color theme="3" tint="0.249977111117893"/>
      <name val="Calibri"/>
      <family val="2"/>
    </font>
    <font>
      <b/>
      <sz val="11"/>
      <color rgb="FFFFFFFF"/>
      <name val="Calibri"/>
      <family val="2"/>
    </font>
    <font>
      <i/>
      <sz val="10"/>
      <color rgb="FFEDE4FB"/>
      <name val="Calibri"/>
      <family val="2"/>
    </font>
    <font>
      <b/>
      <sz val="36"/>
      <color rgb="FFFFFFFF"/>
      <name val="Calibri"/>
      <family val="2"/>
    </font>
    <font>
      <b/>
      <i/>
      <sz val="20"/>
      <color rgb="FFEDE4FB"/>
      <name val="Calibri"/>
      <family val="2"/>
    </font>
    <font>
      <b/>
      <sz val="11"/>
      <color theme="0"/>
      <name val="Aptos Narrow"/>
      <family val="2"/>
      <scheme val="minor"/>
    </font>
    <font>
      <b/>
      <sz val="22"/>
      <color theme="1"/>
      <name val="Aptos Narrow"/>
      <family val="2"/>
      <scheme val="minor"/>
    </font>
    <font>
      <sz val="11"/>
      <color theme="8" tint="0.79998168889431442"/>
      <name val="Aptos Narrow"/>
      <family val="2"/>
      <scheme val="minor"/>
    </font>
    <font>
      <sz val="11"/>
      <color theme="8" tint="0.59999389629810485"/>
      <name val="Aptos Narrow"/>
      <family val="2"/>
      <scheme val="minor"/>
    </font>
    <font>
      <b/>
      <u/>
      <sz val="28"/>
      <color theme="1"/>
      <name val="Arial Black"/>
      <family val="2"/>
    </font>
  </fonts>
  <fills count="17">
    <fill>
      <patternFill patternType="none"/>
    </fill>
    <fill>
      <patternFill patternType="gray125"/>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7"/>
        <bgColor indexed="64"/>
      </patternFill>
    </fill>
    <fill>
      <patternFill patternType="solid">
        <fgColor theme="7" tint="0.79998168889431442"/>
        <bgColor indexed="64"/>
      </patternFill>
    </fill>
    <fill>
      <patternFill patternType="solid">
        <fgColor rgb="FF3D4DC3"/>
        <bgColor rgb="FF6C3AC9"/>
      </patternFill>
    </fill>
    <fill>
      <patternFill patternType="solid">
        <fgColor theme="8" tint="-0.249977111117893"/>
        <bgColor rgb="FF6C3AC9"/>
      </patternFill>
    </fill>
    <fill>
      <patternFill patternType="solid">
        <fgColor rgb="FFEDE4FB"/>
        <bgColor rgb="FFE7F0FF"/>
      </patternFill>
    </fill>
    <fill>
      <patternFill patternType="solid">
        <fgColor rgb="FFE7F0FF"/>
        <bgColor rgb="FFDCEAF7"/>
      </patternFill>
    </fill>
    <fill>
      <patternFill patternType="solid">
        <fgColor theme="3" tint="0.89999084444715716"/>
        <bgColor rgb="FFE7F0FF"/>
      </patternFill>
    </fill>
    <fill>
      <patternFill patternType="solid">
        <fgColor theme="8" tint="-0.249977111117893"/>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00B0F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D9D3EF"/>
      </left>
      <right style="thin">
        <color rgb="FFD9D3EF"/>
      </right>
      <top style="thin">
        <color rgb="FFD9D3EF"/>
      </top>
      <bottom style="thin">
        <color rgb="FFD9D3EF"/>
      </bottom>
      <diagonal/>
    </border>
    <border>
      <left/>
      <right/>
      <top style="thin">
        <color rgb="FFD9D3EF"/>
      </top>
      <bottom style="thin">
        <color rgb="FFD9D3EF"/>
      </bottom>
      <diagonal/>
    </border>
    <border>
      <left/>
      <right style="thin">
        <color rgb="FFD9D3EF"/>
      </right>
      <top style="thin">
        <color rgb="FFD9D3EF"/>
      </top>
      <bottom style="thin">
        <color rgb="FFD9D3EF"/>
      </bottom>
      <diagonal/>
    </border>
    <border>
      <left/>
      <right/>
      <top style="thin">
        <color rgb="FFD9D3EF"/>
      </top>
      <bottom/>
      <diagonal/>
    </border>
    <border>
      <left/>
      <right style="thin">
        <color rgb="FFD9D3EF"/>
      </right>
      <top style="thin">
        <color rgb="FFD9D3EF"/>
      </top>
      <bottom/>
      <diagonal/>
    </border>
    <border>
      <left style="thin">
        <color rgb="FFD9D3EF"/>
      </left>
      <right/>
      <top/>
      <bottom style="thin">
        <color rgb="FFD9D3EF"/>
      </bottom>
      <diagonal/>
    </border>
    <border>
      <left/>
      <right/>
      <top/>
      <bottom style="thin">
        <color rgb="FFD9D3EF"/>
      </bottom>
      <diagonal/>
    </border>
    <border>
      <left/>
      <right style="thin">
        <color rgb="FFD9D3EF"/>
      </right>
      <top/>
      <bottom style="thin">
        <color rgb="FFD9D3EF"/>
      </bottom>
      <diagonal/>
    </border>
    <border>
      <left style="thin">
        <color rgb="FFD9D3EF"/>
      </left>
      <right/>
      <top style="thin">
        <color rgb="FFD9D3EF"/>
      </top>
      <bottom/>
      <diagonal/>
    </border>
    <border>
      <left/>
      <right/>
      <top style="thin">
        <color indexed="64"/>
      </top>
      <bottom style="thin">
        <color indexed="64"/>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indexed="64"/>
      </left>
      <right style="thin">
        <color indexed="64"/>
      </right>
      <top/>
      <bottom style="thin">
        <color indexed="64"/>
      </bottom>
      <diagonal/>
    </border>
    <border>
      <left style="thin">
        <color rgb="FFD9D3EF"/>
      </left>
      <right/>
      <top style="thin">
        <color rgb="FFD9D3EF"/>
      </top>
      <bottom style="thin">
        <color rgb="FFD9D3EF"/>
      </bottom>
      <diagonal/>
    </border>
  </borders>
  <cellStyleXfs count="1">
    <xf numFmtId="0" fontId="0" fillId="0" borderId="0"/>
  </cellStyleXfs>
  <cellXfs count="119">
    <xf numFmtId="0" fontId="0" fillId="0" borderId="0" xfId="0"/>
    <xf numFmtId="14" fontId="0" fillId="0" borderId="0" xfId="0" applyNumberFormat="1"/>
    <xf numFmtId="164" fontId="0" fillId="0" borderId="0" xfId="0" applyNumberFormat="1"/>
    <xf numFmtId="0" fontId="0" fillId="5" borderId="0" xfId="0" applyFill="1"/>
    <xf numFmtId="0" fontId="0" fillId="0" borderId="1" xfId="0" applyBorder="1" applyAlignment="1">
      <alignment horizontal="left"/>
    </xf>
    <xf numFmtId="0" fontId="0" fillId="7" borderId="1" xfId="0" applyFill="1" applyBorder="1" applyAlignment="1">
      <alignment horizontal="left"/>
    </xf>
    <xf numFmtId="0" fontId="0" fillId="7" borderId="1" xfId="0" applyFill="1" applyBorder="1"/>
    <xf numFmtId="0" fontId="0" fillId="0" borderId="1" xfId="0" applyBorder="1" applyAlignment="1">
      <alignment horizontal="left" indent="1"/>
    </xf>
    <xf numFmtId="0" fontId="0" fillId="0" borderId="0" xfId="0" applyAlignment="1">
      <alignment vertical="center" wrapText="1"/>
    </xf>
    <xf numFmtId="0" fontId="5" fillId="0" borderId="0" xfId="0" applyFont="1" applyAlignment="1">
      <alignment vertical="center" wrapText="1"/>
    </xf>
    <xf numFmtId="0" fontId="1" fillId="0" borderId="0" xfId="0" applyFont="1"/>
    <xf numFmtId="0" fontId="1" fillId="3" borderId="1" xfId="0" applyFont="1" applyFill="1" applyBorder="1"/>
    <xf numFmtId="0" fontId="0" fillId="4" borderId="1" xfId="0" applyFill="1" applyBorder="1"/>
    <xf numFmtId="165" fontId="0" fillId="4" borderId="1" xfId="0" applyNumberFormat="1" applyFill="1" applyBorder="1"/>
    <xf numFmtId="0" fontId="0" fillId="4" borderId="1" xfId="0" applyFill="1" applyBorder="1" applyAlignment="1">
      <alignment vertical="center" wrapText="1"/>
    </xf>
    <xf numFmtId="0" fontId="5" fillId="4"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4" borderId="10" xfId="0" applyFill="1" applyBorder="1" applyAlignment="1">
      <alignment vertical="center" wrapText="1"/>
    </xf>
    <xf numFmtId="0" fontId="0" fillId="4" borderId="11" xfId="0" applyFill="1" applyBorder="1" applyAlignment="1">
      <alignment vertical="center" wrapText="1"/>
    </xf>
    <xf numFmtId="0" fontId="0" fillId="4" borderId="12" xfId="0" applyFill="1" applyBorder="1" applyAlignment="1">
      <alignment vertical="center" wrapText="1"/>
    </xf>
    <xf numFmtId="0" fontId="0" fillId="4" borderId="13" xfId="0" applyFill="1" applyBorder="1"/>
    <xf numFmtId="0" fontId="0" fillId="4" borderId="14" xfId="0" applyFill="1" applyBorder="1" applyAlignment="1">
      <alignment vertical="center" wrapText="1"/>
    </xf>
    <xf numFmtId="0" fontId="0" fillId="4" borderId="1" xfId="0" quotePrefix="1" applyFill="1" applyBorder="1"/>
    <xf numFmtId="0" fontId="5" fillId="4" borderId="1" xfId="0" quotePrefix="1" applyFont="1" applyFill="1" applyBorder="1" applyAlignment="1">
      <alignment vertical="center" wrapText="1"/>
    </xf>
    <xf numFmtId="0" fontId="5" fillId="4" borderId="13" xfId="0" quotePrefix="1" applyFont="1" applyFill="1" applyBorder="1" applyAlignment="1">
      <alignment vertical="center" wrapText="1"/>
    </xf>
    <xf numFmtId="0" fontId="0" fillId="8" borderId="0" xfId="0" applyFill="1"/>
    <xf numFmtId="0" fontId="0" fillId="9" borderId="0" xfId="0" applyFill="1"/>
    <xf numFmtId="0" fontId="0" fillId="0" borderId="0" xfId="0" pivotButton="1"/>
    <xf numFmtId="0" fontId="0" fillId="0" borderId="0" xfId="0" applyAlignment="1">
      <alignment horizontal="left"/>
    </xf>
    <xf numFmtId="0" fontId="0" fillId="13" borderId="0" xfId="0" applyFill="1"/>
    <xf numFmtId="0" fontId="3" fillId="0" borderId="0" xfId="0" applyFont="1" applyAlignment="1">
      <alignment horizontal="center" vertical="center"/>
    </xf>
    <xf numFmtId="0" fontId="20" fillId="14" borderId="25" xfId="0" applyFont="1" applyFill="1" applyBorder="1"/>
    <xf numFmtId="0" fontId="0" fillId="15" borderId="26" xfId="0" applyFill="1" applyBorder="1"/>
    <xf numFmtId="0" fontId="0" fillId="0" borderId="26" xfId="0" applyBorder="1"/>
    <xf numFmtId="0" fontId="0" fillId="0" borderId="27" xfId="0" applyBorder="1"/>
    <xf numFmtId="0" fontId="1" fillId="0" borderId="0" xfId="0" applyFont="1" applyAlignment="1">
      <alignment horizontal="center" vertical="center"/>
    </xf>
    <xf numFmtId="0" fontId="22" fillId="0" borderId="0" xfId="0" applyFont="1"/>
    <xf numFmtId="0" fontId="23" fillId="0" borderId="0" xfId="0" applyFont="1"/>
    <xf numFmtId="0" fontId="22" fillId="13" borderId="0" xfId="0" applyFont="1" applyFill="1"/>
    <xf numFmtId="0" fontId="22" fillId="4" borderId="0" xfId="0" applyFont="1" applyFill="1"/>
    <xf numFmtId="0" fontId="0" fillId="0" borderId="1" xfId="0" applyBorder="1"/>
    <xf numFmtId="0" fontId="0" fillId="4" borderId="0" xfId="0" applyFill="1"/>
    <xf numFmtId="0" fontId="24" fillId="4" borderId="0" xfId="0" applyFont="1" applyFill="1" applyAlignment="1">
      <alignment horizontal="center"/>
    </xf>
    <xf numFmtId="0" fontId="1" fillId="2" borderId="1"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1" fillId="2" borderId="9" xfId="0" applyFont="1" applyFill="1" applyBorder="1" applyAlignment="1">
      <alignment horizontal="left"/>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0" fillId="0" borderId="0" xfId="0" applyAlignment="1">
      <alignment horizontal="center"/>
    </xf>
    <xf numFmtId="0" fontId="0" fillId="6" borderId="3"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1" fillId="6" borderId="3" xfId="0" applyFont="1" applyFill="1" applyBorder="1" applyAlignment="1">
      <alignment horizontal="center"/>
    </xf>
    <xf numFmtId="0" fontId="1" fillId="6" borderId="24" xfId="0" applyFont="1" applyFill="1" applyBorder="1" applyAlignment="1">
      <alignment horizontal="center"/>
    </xf>
    <xf numFmtId="0" fontId="21" fillId="16" borderId="4" xfId="0" applyFont="1" applyFill="1" applyBorder="1" applyAlignment="1">
      <alignment horizontal="center"/>
    </xf>
    <xf numFmtId="0" fontId="21" fillId="16" borderId="5" xfId="0" applyFont="1" applyFill="1" applyBorder="1" applyAlignment="1">
      <alignment horizontal="center"/>
    </xf>
    <xf numFmtId="0" fontId="21" fillId="16" borderId="6" xfId="0" applyFont="1" applyFill="1" applyBorder="1" applyAlignment="1">
      <alignment horizontal="center"/>
    </xf>
    <xf numFmtId="0" fontId="1" fillId="6" borderId="1" xfId="0" applyFont="1" applyFill="1" applyBorder="1" applyAlignment="1">
      <alignment horizontal="center"/>
    </xf>
    <xf numFmtId="0" fontId="1" fillId="6" borderId="28"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0" xfId="0" applyFont="1" applyAlignment="1">
      <alignment horizontal="center"/>
    </xf>
    <xf numFmtId="0" fontId="13" fillId="10" borderId="29" xfId="0" applyFont="1" applyFill="1" applyBorder="1" applyAlignment="1">
      <alignment horizontal="center" vertical="center"/>
    </xf>
    <xf numFmtId="0" fontId="13" fillId="10" borderId="16" xfId="0" applyFont="1" applyFill="1" applyBorder="1" applyAlignment="1">
      <alignment horizontal="center" vertical="center"/>
    </xf>
    <xf numFmtId="0" fontId="13" fillId="10" borderId="17" xfId="0" applyFont="1" applyFill="1" applyBorder="1" applyAlignment="1">
      <alignment horizontal="center" vertical="center"/>
    </xf>
    <xf numFmtId="3" fontId="9" fillId="11" borderId="15" xfId="0" applyNumberFormat="1" applyFont="1" applyFill="1" applyBorder="1" applyAlignment="1">
      <alignment horizontal="center"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18" fillId="9" borderId="0" xfId="0" applyFont="1" applyFill="1" applyAlignment="1">
      <alignment vertical="center"/>
    </xf>
    <xf numFmtId="0" fontId="19" fillId="9" borderId="0" xfId="0" applyFont="1" applyFill="1" applyAlignment="1">
      <alignment horizontal="left" vertical="center"/>
    </xf>
    <xf numFmtId="0" fontId="14" fillId="0" borderId="0" xfId="0" applyFont="1" applyAlignment="1">
      <alignment horizontal="left"/>
    </xf>
    <xf numFmtId="0" fontId="13" fillId="11" borderId="15" xfId="0" applyFont="1" applyFill="1" applyBorder="1" applyAlignment="1">
      <alignment horizontal="center" vertical="center"/>
    </xf>
    <xf numFmtId="0" fontId="2" fillId="0" borderId="16" xfId="0" applyFont="1" applyBorder="1"/>
    <xf numFmtId="0" fontId="2" fillId="0" borderId="17" xfId="0" applyFont="1" applyBorder="1"/>
    <xf numFmtId="0" fontId="13" fillId="10" borderId="15" xfId="0" applyFont="1" applyFill="1" applyBorder="1" applyAlignment="1">
      <alignment horizontal="center" vertical="center"/>
    </xf>
    <xf numFmtId="3" fontId="6" fillId="10" borderId="23" xfId="0" applyNumberFormat="1" applyFont="1" applyFill="1" applyBorder="1" applyAlignment="1">
      <alignment horizontal="center" vertical="center"/>
    </xf>
    <xf numFmtId="3" fontId="6" fillId="10" borderId="18" xfId="0" applyNumberFormat="1" applyFont="1" applyFill="1" applyBorder="1" applyAlignment="1">
      <alignment horizontal="center" vertical="center"/>
    </xf>
    <xf numFmtId="3" fontId="6" fillId="10" borderId="19" xfId="0" applyNumberFormat="1" applyFont="1" applyFill="1" applyBorder="1" applyAlignment="1">
      <alignment horizontal="center" vertical="center"/>
    </xf>
    <xf numFmtId="3" fontId="6" fillId="10" borderId="20" xfId="0" applyNumberFormat="1" applyFont="1" applyFill="1" applyBorder="1" applyAlignment="1">
      <alignment horizontal="center" vertical="center"/>
    </xf>
    <xf numFmtId="3" fontId="6" fillId="10" borderId="21" xfId="0" applyNumberFormat="1" applyFont="1" applyFill="1" applyBorder="1" applyAlignment="1">
      <alignment horizontal="center" vertical="center"/>
    </xf>
    <xf numFmtId="3" fontId="6" fillId="10" borderId="22" xfId="0" applyNumberFormat="1" applyFont="1" applyFill="1" applyBorder="1" applyAlignment="1">
      <alignment horizontal="center" vertical="center"/>
    </xf>
    <xf numFmtId="49" fontId="11" fillId="11" borderId="15" xfId="0" applyNumberFormat="1" applyFont="1" applyFill="1" applyBorder="1" applyAlignment="1">
      <alignment horizontal="center" vertical="center"/>
    </xf>
    <xf numFmtId="0" fontId="12" fillId="0" borderId="18" xfId="0" applyFont="1" applyBorder="1"/>
    <xf numFmtId="0" fontId="12" fillId="0" borderId="19" xfId="0" applyFont="1" applyBorder="1"/>
    <xf numFmtId="0" fontId="12" fillId="0" borderId="20" xfId="0" applyFont="1" applyBorder="1"/>
    <xf numFmtId="0" fontId="12" fillId="0" borderId="21" xfId="0" applyFont="1" applyBorder="1"/>
    <xf numFmtId="0" fontId="12" fillId="0" borderId="22" xfId="0" applyFont="1" applyBorder="1"/>
    <xf numFmtId="166" fontId="6" fillId="10" borderId="15" xfId="0" applyNumberFormat="1" applyFont="1" applyFill="1" applyBorder="1" applyAlignment="1">
      <alignment horizontal="center" vertical="center"/>
    </xf>
    <xf numFmtId="44" fontId="7" fillId="11" borderId="15" xfId="0" applyNumberFormat="1" applyFont="1" applyFill="1" applyBorder="1" applyAlignment="1">
      <alignment horizontal="center" vertical="center"/>
    </xf>
    <xf numFmtId="44" fontId="0" fillId="0" borderId="18" xfId="0" applyNumberFormat="1" applyBorder="1"/>
    <xf numFmtId="44" fontId="0" fillId="0" borderId="19" xfId="0" applyNumberFormat="1" applyBorder="1"/>
    <xf numFmtId="44" fontId="0" fillId="0" borderId="20" xfId="0" applyNumberFormat="1" applyBorder="1"/>
    <xf numFmtId="44" fontId="0" fillId="0" borderId="21" xfId="0" applyNumberFormat="1" applyBorder="1"/>
    <xf numFmtId="44" fontId="0" fillId="0" borderId="22" xfId="0" applyNumberFormat="1" applyBorder="1"/>
    <xf numFmtId="3" fontId="8" fillId="10" borderId="15" xfId="0" applyNumberFormat="1" applyFont="1" applyFill="1" applyBorder="1" applyAlignment="1">
      <alignment horizontal="center" vertical="center"/>
    </xf>
    <xf numFmtId="0" fontId="15" fillId="0" borderId="21" xfId="0" applyFont="1" applyBorder="1" applyAlignment="1">
      <alignment horizontal="left" vertical="center"/>
    </xf>
    <xf numFmtId="0" fontId="16" fillId="8" borderId="0" xfId="0" applyFont="1" applyFill="1" applyAlignment="1">
      <alignment horizontal="center"/>
    </xf>
    <xf numFmtId="0" fontId="0" fillId="0" borderId="0" xfId="0"/>
    <xf numFmtId="0" fontId="17" fillId="8" borderId="0" xfId="0" applyFont="1" applyFill="1" applyAlignment="1">
      <alignment horizontal="center"/>
    </xf>
    <xf numFmtId="3" fontId="7" fillId="11" borderId="15" xfId="0" applyNumberFormat="1" applyFont="1" applyFill="1" applyBorder="1" applyAlignment="1">
      <alignment horizontal="center" vertical="center"/>
    </xf>
    <xf numFmtId="3" fontId="6" fillId="10" borderId="15" xfId="0" applyNumberFormat="1" applyFont="1" applyFill="1" applyBorder="1" applyAlignment="1">
      <alignment horizontal="center" vertical="center"/>
    </xf>
    <xf numFmtId="49" fontId="8" fillId="12" borderId="23" xfId="0" applyNumberFormat="1" applyFont="1" applyFill="1" applyBorder="1" applyAlignment="1">
      <alignment horizontal="center" vertical="center"/>
    </xf>
    <xf numFmtId="49" fontId="8" fillId="12" borderId="18" xfId="0" applyNumberFormat="1" applyFont="1" applyFill="1" applyBorder="1" applyAlignment="1">
      <alignment horizontal="center" vertical="center"/>
    </xf>
    <xf numFmtId="49" fontId="8" fillId="12" borderId="19" xfId="0" applyNumberFormat="1" applyFont="1" applyFill="1" applyBorder="1" applyAlignment="1">
      <alignment horizontal="center" vertical="center"/>
    </xf>
    <xf numFmtId="49" fontId="8" fillId="12" borderId="20" xfId="0" applyNumberFormat="1" applyFont="1" applyFill="1" applyBorder="1" applyAlignment="1">
      <alignment horizontal="center" vertical="center"/>
    </xf>
    <xf numFmtId="49" fontId="8" fillId="12" borderId="21" xfId="0" applyNumberFormat="1" applyFont="1" applyFill="1" applyBorder="1" applyAlignment="1">
      <alignment horizontal="center" vertical="center"/>
    </xf>
    <xf numFmtId="49" fontId="8" fillId="12" borderId="22" xfId="0" applyNumberFormat="1" applyFont="1" applyFill="1" applyBorder="1" applyAlignment="1">
      <alignment horizontal="center" vertical="center"/>
    </xf>
    <xf numFmtId="3" fontId="10" fillId="10" borderId="15" xfId="0" applyNumberFormat="1" applyFont="1" applyFill="1" applyBorder="1" applyAlignment="1">
      <alignment horizontal="center" vertical="center"/>
    </xf>
    <xf numFmtId="0" fontId="13" fillId="12" borderId="15" xfId="0" applyFont="1" applyFill="1" applyBorder="1" applyAlignment="1">
      <alignment horizontal="center" vertical="center"/>
    </xf>
    <xf numFmtId="0" fontId="2" fillId="5" borderId="16" xfId="0" applyFont="1" applyFill="1" applyBorder="1"/>
    <xf numFmtId="0" fontId="2" fillId="5" borderId="17" xfId="0" applyFont="1" applyFill="1" applyBorder="1"/>
    <xf numFmtId="3" fontId="6" fillId="0" borderId="0" xfId="0" applyNumberFormat="1" applyFont="1" applyFill="1" applyBorder="1" applyAlignment="1">
      <alignment horizontal="center" vertical="center"/>
    </xf>
    <xf numFmtId="0" fontId="13" fillId="0" borderId="0" xfId="0" applyFont="1" applyFill="1" applyBorder="1" applyAlignment="1">
      <alignment horizontal="center" vertical="center"/>
    </xf>
  </cellXfs>
  <cellStyles count="1">
    <cellStyle name="Normal" xfId="0" builtinId="0"/>
  </cellStyles>
  <dxfs count="48">
    <dxf>
      <font>
        <color rgb="FF9C0006"/>
      </font>
      <fill>
        <patternFill>
          <bgColor rgb="FFFFC7CE"/>
        </patternFill>
      </fill>
    </dxf>
    <dxf>
      <fill>
        <patternFill>
          <bgColor theme="5" tint="0.39994506668294322"/>
        </patternFill>
      </fill>
    </dxf>
    <dxf>
      <font>
        <color rgb="FF006100"/>
      </font>
      <fill>
        <patternFill>
          <bgColor rgb="FFC6EFCE"/>
        </patternFill>
      </fill>
    </dxf>
    <dxf>
      <font>
        <color rgb="FF9C0006"/>
      </font>
      <fill>
        <patternFill>
          <bgColor rgb="FFFFC7CE"/>
        </patternFill>
      </fill>
    </dxf>
    <dxf>
      <fill>
        <patternFill>
          <bgColor theme="5"/>
        </patternFill>
      </fill>
    </dxf>
    <dxf>
      <fill>
        <patternFill>
          <bgColor theme="9" tint="0.59996337778862885"/>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border>
        <vertical/>
        <horizontal/>
      </border>
    </dxf>
    <dxf>
      <fill>
        <patternFill>
          <bgColor theme="5" tint="0.39994506668294322"/>
        </patternFill>
      </fill>
    </dxf>
    <dxf>
      <font>
        <color rgb="FF9C0006"/>
      </font>
      <fill>
        <patternFill>
          <bgColor rgb="FFFFC7CE"/>
        </patternFill>
      </fill>
    </dxf>
    <dxf>
      <fill>
        <patternFill>
          <bgColor theme="5"/>
        </patternFill>
      </fill>
    </dxf>
    <dxf>
      <fill>
        <patternFill>
          <bgColor theme="9" tint="0.59996337778862885"/>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[Byju's Learning Analytics Dashboard.xlsx]PIVOT TABLES!PivotTable1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City-wise </a:t>
            </a:r>
            <a:r>
              <a:rPr lang="en-IN" b="1"/>
              <a:t>Average</a:t>
            </a:r>
            <a:r>
              <a:rPr lang="en-IN" b="0"/>
              <a:t> quiz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1"/>
        <c:spPr>
          <a:solidFill>
            <a:schemeClr val="accent5"/>
          </a:solidFill>
          <a:ln>
            <a:noFill/>
          </a:ln>
          <a:effectLst/>
        </c:spP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24581737911085E-2"/>
          <c:y val="0.18021118614066994"/>
          <c:w val="0.83661370084821807"/>
          <c:h val="0.51886627549088615"/>
        </c:manualLayout>
      </c:layout>
      <c:barChart>
        <c:barDir val="col"/>
        <c:grouping val="clustered"/>
        <c:varyColors val="0"/>
        <c:ser>
          <c:idx val="0"/>
          <c:order val="0"/>
          <c:tx>
            <c:strRef>
              <c:f>'PIVOT TABLES'!$B$5</c:f>
              <c:strCache>
                <c:ptCount val="1"/>
                <c:pt idx="0">
                  <c:v>Total</c:v>
                </c:pt>
              </c:strCache>
            </c:strRef>
          </c:tx>
          <c:spPr>
            <a:solidFill>
              <a:schemeClr val="accent5"/>
            </a:solidFill>
            <a:ln>
              <a:noFill/>
            </a:ln>
            <a:effectLst/>
          </c:spPr>
          <c:invertIfNegative val="0"/>
          <c:cat>
            <c:strRef>
              <c:f>'PIVOT TABLES'!$A$6:$A$8</c:f>
              <c:strCache>
                <c:ptCount val="2"/>
                <c:pt idx="0">
                  <c:v>Bengaluru</c:v>
                </c:pt>
                <c:pt idx="1">
                  <c:v>Coimbatore</c:v>
                </c:pt>
              </c:strCache>
            </c:strRef>
          </c:cat>
          <c:val>
            <c:numRef>
              <c:f>'PIVOT TABLES'!$B$6:$B$8</c:f>
              <c:numCache>
                <c:formatCode>General</c:formatCode>
                <c:ptCount val="2"/>
                <c:pt idx="0">
                  <c:v>66.463414634146346</c:v>
                </c:pt>
                <c:pt idx="1">
                  <c:v>71.901098901098905</c:v>
                </c:pt>
              </c:numCache>
            </c:numRef>
          </c:val>
          <c:extLst>
            <c:ext xmlns:c16="http://schemas.microsoft.com/office/drawing/2014/chart" uri="{C3380CC4-5D6E-409C-BE32-E72D297353CC}">
              <c16:uniqueId val="{00000000-7B5A-49F4-95EA-7A6418221F6A}"/>
            </c:ext>
          </c:extLst>
        </c:ser>
        <c:dLbls>
          <c:showLegendKey val="0"/>
          <c:showVal val="0"/>
          <c:showCatName val="0"/>
          <c:showSerName val="0"/>
          <c:showPercent val="0"/>
          <c:showBubbleSize val="0"/>
        </c:dLbls>
        <c:gapWidth val="219"/>
        <c:overlap val="-27"/>
        <c:axId val="577621008"/>
        <c:axId val="1104020432"/>
      </c:barChart>
      <c:catAx>
        <c:axId val="5776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4020432"/>
        <c:crosses val="autoZero"/>
        <c:auto val="1"/>
        <c:lblAlgn val="ctr"/>
        <c:lblOffset val="100"/>
        <c:noMultiLvlLbl val="0"/>
      </c:catAx>
      <c:valAx>
        <c:axId val="11040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76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[Byju's Learning Analytics Dashboard.xlsx]PIVOT TABLES!PivotTable25</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Gender-wise Average Quiz Score</a:t>
            </a:r>
          </a:p>
        </c:rich>
      </c:tx>
      <c:layout>
        <c:manualLayout>
          <c:xMode val="edge"/>
          <c:yMode val="edge"/>
          <c:x val="0.13887489063867017"/>
          <c:y val="0.10546077573636629"/>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3"/>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6"/>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9"/>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12"/>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15"/>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18"/>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13844507300666"/>
          <c:y val="0.25641574803149608"/>
          <c:w val="0.4991080192645822"/>
          <c:h val="0.67054077370763432"/>
        </c:manualLayout>
      </c:layout>
      <c:pieChart>
        <c:varyColors val="1"/>
        <c:ser>
          <c:idx val="0"/>
          <c:order val="0"/>
          <c:tx>
            <c:strRef>
              <c:f>'PIVOT TABLES'!$B$33</c:f>
              <c:strCache>
                <c:ptCount val="1"/>
                <c:pt idx="0">
                  <c:v>Total</c:v>
                </c:pt>
              </c:strCache>
            </c:strRef>
          </c:tx>
          <c:dPt>
            <c:idx val="0"/>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1-1E18-4E05-84E2-71B00C0524DC}"/>
              </c:ext>
            </c:extLst>
          </c:dPt>
          <c:dPt>
            <c:idx val="1"/>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3-1E18-4E05-84E2-71B00C0524DC}"/>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E18-4E05-84E2-71B00C0524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TABLES'!$A$34:$A$35</c:f>
              <c:strCache>
                <c:ptCount val="2"/>
                <c:pt idx="0">
                  <c:v>Female</c:v>
                </c:pt>
                <c:pt idx="1">
                  <c:v>Male</c:v>
                </c:pt>
              </c:strCache>
            </c:strRef>
          </c:cat>
          <c:val>
            <c:numRef>
              <c:f>'PIVOT TABLES'!$B$34:$B$35</c:f>
              <c:numCache>
                <c:formatCode>General</c:formatCode>
                <c:ptCount val="2"/>
                <c:pt idx="0">
                  <c:v>100</c:v>
                </c:pt>
                <c:pt idx="1">
                  <c:v>100</c:v>
                </c:pt>
              </c:numCache>
            </c:numRef>
          </c:val>
          <c:extLst>
            <c:ext xmlns:c16="http://schemas.microsoft.com/office/drawing/2014/chart" uri="{C3380CC4-5D6E-409C-BE32-E72D297353CC}">
              <c16:uniqueId val="{00000004-1E18-4E05-84E2-71B00C0524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[Byju's Learning Analytics Dashboard.xlsx]PIVOT TABLES!PivotTable3</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Course-wise Student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5.3270720752298849E-2"/>
          <c:y val="0.19554080729376233"/>
          <c:w val="0.83159095000702676"/>
          <c:h val="0.78334666672978337"/>
        </c:manualLayout>
      </c:layout>
      <c:bar3DChart>
        <c:barDir val="col"/>
        <c:grouping val="clustered"/>
        <c:varyColors val="0"/>
        <c:ser>
          <c:idx val="0"/>
          <c:order val="0"/>
          <c:tx>
            <c:strRef>
              <c:f>'PIVOT TABLES'!$E$5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TABLES'!$D$6:$D$10</c:f>
              <c:strCache>
                <c:ptCount val="4"/>
                <c:pt idx="0">
                  <c:v>Advanced Excel</c:v>
                </c:pt>
                <c:pt idx="1">
                  <c:v>Data Analytics</c:v>
                </c:pt>
                <c:pt idx="2">
                  <c:v>Machine Learning</c:v>
                </c:pt>
                <c:pt idx="3">
                  <c:v>Power BI</c:v>
                </c:pt>
              </c:strCache>
            </c:strRef>
          </c:cat>
          <c:val>
            <c:numRef>
              <c:f>'PIVOT TABLES'!$E$6:$E$10</c:f>
              <c:numCache>
                <c:formatCode>General</c:formatCode>
                <c:ptCount val="4"/>
                <c:pt idx="0">
                  <c:v>150</c:v>
                </c:pt>
                <c:pt idx="1">
                  <c:v>116</c:v>
                </c:pt>
                <c:pt idx="2">
                  <c:v>111</c:v>
                </c:pt>
                <c:pt idx="3">
                  <c:v>125</c:v>
                </c:pt>
              </c:numCache>
            </c:numRef>
          </c:val>
          <c:extLst>
            <c:ext xmlns:c16="http://schemas.microsoft.com/office/drawing/2014/chart" uri="{C3380CC4-5D6E-409C-BE32-E72D297353CC}">
              <c16:uniqueId val="{00000000-A124-446E-9292-924B6EC1030B}"/>
            </c:ext>
          </c:extLst>
        </c:ser>
        <c:dLbls>
          <c:showLegendKey val="0"/>
          <c:showVal val="0"/>
          <c:showCatName val="0"/>
          <c:showSerName val="0"/>
          <c:showPercent val="0"/>
          <c:showBubbleSize val="0"/>
        </c:dLbls>
        <c:gapWidth val="150"/>
        <c:shape val="box"/>
        <c:axId val="1672780272"/>
        <c:axId val="1104030512"/>
        <c:axId val="0"/>
      </c:bar3DChart>
      <c:catAx>
        <c:axId val="1672780272"/>
        <c:scaling>
          <c:orientation val="minMax"/>
        </c:scaling>
        <c:delete val="1"/>
        <c:axPos val="b"/>
        <c:numFmt formatCode="General" sourceLinked="1"/>
        <c:majorTickMark val="none"/>
        <c:minorTickMark val="none"/>
        <c:tickLblPos val="nextTo"/>
        <c:crossAx val="1104030512"/>
        <c:crosses val="autoZero"/>
        <c:auto val="1"/>
        <c:lblAlgn val="ctr"/>
        <c:lblOffset val="100"/>
        <c:noMultiLvlLbl val="0"/>
      </c:catAx>
      <c:valAx>
        <c:axId val="110403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27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TABLES!PivotTable24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Payment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TABLES'!$B$27</c:f>
              <c:strCache>
                <c:ptCount val="1"/>
                <c:pt idx="0">
                  <c:v>Total</c:v>
                </c:pt>
              </c:strCache>
            </c:strRef>
          </c:tx>
          <c:spPr>
            <a:solidFill>
              <a:schemeClr val="accent1"/>
            </a:solidFill>
            <a:ln>
              <a:noFill/>
            </a:ln>
            <a:effectLst/>
          </c:spPr>
          <c:invertIfNegative val="0"/>
          <c:cat>
            <c:strRef>
              <c:f>'PIVOT TABLES'!$A$28:$A$30</c:f>
              <c:strCache>
                <c:ptCount val="2"/>
                <c:pt idx="0">
                  <c:v>Paid</c:v>
                </c:pt>
                <c:pt idx="1">
                  <c:v>Pending</c:v>
                </c:pt>
              </c:strCache>
            </c:strRef>
          </c:cat>
          <c:val>
            <c:numRef>
              <c:f>'PIVOT TABLES'!$B$28:$B$30</c:f>
              <c:numCache>
                <c:formatCode>General</c:formatCode>
                <c:ptCount val="2"/>
                <c:pt idx="0">
                  <c:v>321</c:v>
                </c:pt>
                <c:pt idx="1">
                  <c:v>679</c:v>
                </c:pt>
              </c:numCache>
            </c:numRef>
          </c:val>
          <c:extLst>
            <c:ext xmlns:c16="http://schemas.microsoft.com/office/drawing/2014/chart" uri="{C3380CC4-5D6E-409C-BE32-E72D297353CC}">
              <c16:uniqueId val="{00000000-3B85-4DED-8EE1-6A258DCE98FD}"/>
            </c:ext>
          </c:extLst>
        </c:ser>
        <c:dLbls>
          <c:showLegendKey val="0"/>
          <c:showVal val="0"/>
          <c:showCatName val="0"/>
          <c:showSerName val="0"/>
          <c:showPercent val="0"/>
          <c:showBubbleSize val="0"/>
        </c:dLbls>
        <c:gapWidth val="150"/>
        <c:overlap val="100"/>
        <c:axId val="1672843376"/>
        <c:axId val="1104010832"/>
      </c:barChart>
      <c:catAx>
        <c:axId val="167284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10832"/>
        <c:crosses val="autoZero"/>
        <c:auto val="1"/>
        <c:lblAlgn val="ctr"/>
        <c:lblOffset val="100"/>
        <c:noMultiLvlLbl val="0"/>
      </c:catAx>
      <c:valAx>
        <c:axId val="110401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4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Course Enrollment by Gender</a:t>
            </a:r>
          </a:p>
        </c:rich>
      </c:tx>
      <c:layout>
        <c:manualLayout>
          <c:xMode val="edge"/>
          <c:yMode val="edge"/>
          <c:x val="0.25914792795435088"/>
          <c:y val="0.1222836857165505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3"/>
                      <c:pt idx="0">
                        <c:v>Female Advanced Excel</c:v>
                      </c:pt>
                      <c:pt idx="1">
                        <c:v>Female Data Analytics</c:v>
                      </c:pt>
                      <c:pt idx="2">
                        <c:v>Female Machine Learning</c:v>
                      </c:pt>
                    </c:strCache>
                  </c16:filteredLitCache>
                </c:ext>
              </c:extLst>
              <c:f/>
              <c:strCache>
                <c:ptCount val="3"/>
                <c:pt idx="0">
                  <c:v>Male Advanced Excel</c:v>
                </c:pt>
                <c:pt idx="1">
                  <c:v>Male Data Analytics</c:v>
                </c:pt>
                <c:pt idx="2">
                  <c:v>Male Machine Learning</c:v>
                </c:pt>
              </c:strCache>
            </c:strRef>
          </c:cat>
          <c:val>
            <c:numRef>
              <c:extLst>
                <c:ext xmlns:c16="http://schemas.microsoft.com/office/drawing/2014/chart" uri="{F5D05F6E-A05E-4728-AFD3-386EB277150F}">
                  <c16:filteredLitCache>
                    <c:numCache>
                      <c:formatCode>General</c:formatCode>
                      <c:ptCount val="3"/>
                      <c:pt idx="0">
                        <c:v>71</c:v>
                      </c:pt>
                      <c:pt idx="1">
                        <c:v>51</c:v>
                      </c:pt>
                      <c:pt idx="2">
                        <c:v>46</c:v>
                      </c:pt>
                    </c:numCache>
                  </c16:filteredLitCache>
                </c:ext>
              </c:extLst>
              <c:f/>
              <c:numCache>
                <c:formatCode>General</c:formatCode>
                <c:ptCount val="3"/>
                <c:pt idx="0">
                  <c:v>79</c:v>
                </c:pt>
                <c:pt idx="1">
                  <c:v>65</c:v>
                </c:pt>
                <c:pt idx="2">
                  <c:v>65</c:v>
                </c:pt>
              </c:numCache>
            </c:numRef>
          </c:val>
          <c:extLst>
            <c:ext xmlns:c16="http://schemas.microsoft.com/office/drawing/2014/chart" uri="{C3380CC4-5D6E-409C-BE32-E72D297353CC}">
              <c16:uniqueId val="{00000000-F0A8-4EAE-9AF7-8135705AD618}"/>
            </c:ext>
          </c:extLst>
        </c:ser>
        <c:dLbls>
          <c:dLblPos val="outEnd"/>
          <c:showLegendKey val="0"/>
          <c:showVal val="1"/>
          <c:showCatName val="0"/>
          <c:showSerName val="0"/>
          <c:showPercent val="0"/>
          <c:showBubbleSize val="0"/>
        </c:dLbls>
        <c:gapWidth val="150"/>
        <c:axId val="577711024"/>
        <c:axId val="1104007952"/>
      </c:barChart>
      <c:catAx>
        <c:axId val="577711024"/>
        <c:scaling>
          <c:orientation val="minMax"/>
        </c:scaling>
        <c:delete val="1"/>
        <c:axPos val="b"/>
        <c:numFmt formatCode="General" sourceLinked="1"/>
        <c:majorTickMark val="none"/>
        <c:minorTickMark val="none"/>
        <c:tickLblPos val="nextTo"/>
        <c:crossAx val="1104007952"/>
        <c:crosses val="autoZero"/>
        <c:auto val="1"/>
        <c:lblAlgn val="ctr"/>
        <c:lblOffset val="100"/>
        <c:noMultiLvlLbl val="0"/>
      </c:catAx>
      <c:valAx>
        <c:axId val="110400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7711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TABLES!PivotTable14</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Performance Rating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4B-4F90-A095-C46F6ECC27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4B-4F90-A095-C46F6ECC27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4B-4F90-A095-C46F6ECC27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4B-4F90-A095-C46F6ECC27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TABLES'!$D$19:$D$22</c:f>
              <c:strCache>
                <c:ptCount val="3"/>
                <c:pt idx="0">
                  <c:v>Average</c:v>
                </c:pt>
                <c:pt idx="1">
                  <c:v>Excellent</c:v>
                </c:pt>
                <c:pt idx="2">
                  <c:v>Good</c:v>
                </c:pt>
              </c:strCache>
            </c:strRef>
          </c:cat>
          <c:val>
            <c:numRef>
              <c:f>'PIVOT TABLES'!$E$19:$E$22</c:f>
              <c:numCache>
                <c:formatCode>General</c:formatCode>
                <c:ptCount val="3"/>
                <c:pt idx="0">
                  <c:v>216</c:v>
                </c:pt>
                <c:pt idx="1">
                  <c:v>177</c:v>
                </c:pt>
                <c:pt idx="2">
                  <c:v>229</c:v>
                </c:pt>
              </c:numCache>
            </c:numRef>
          </c:val>
          <c:extLst>
            <c:ext xmlns:c16="http://schemas.microsoft.com/office/drawing/2014/chart" uri="{C3380CC4-5D6E-409C-BE32-E72D297353CC}">
              <c16:uniqueId val="{00000008-404B-4F90-A095-C46F6ECC27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[Byju's Learning Analytics Dashboard.xlsx]PIVOT TABLES!PivotTable23</c:name>
    <c:fmtId val="2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Dropout Analysis</a:t>
            </a:r>
          </a:p>
        </c:rich>
      </c:tx>
      <c:layout>
        <c:manualLayout>
          <c:xMode val="edge"/>
          <c:yMode val="edge"/>
          <c:x val="0.31548611684505645"/>
          <c:y val="5.39314436178481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317500" algn="ctr" rotWithShape="0">
              <a:prstClr val="black">
                <a:alpha val="25000"/>
              </a:prstClr>
            </a:outerShdw>
          </a:effectLst>
        </c:spPr>
      </c:pivotFmt>
      <c:pivotFmt>
        <c:idx val="2"/>
        <c:spPr>
          <a:solidFill>
            <a:schemeClr val="accent5">
              <a:tint val="77000"/>
            </a:schemeClr>
          </a:solidFill>
          <a:ln>
            <a:noFill/>
          </a:ln>
          <a:effectLst>
            <a:outerShdw blurRad="317500" algn="ctr" rotWithShape="0">
              <a:prstClr val="black">
                <a:alpha val="25000"/>
              </a:prstClr>
            </a:outerShdw>
          </a:effectLst>
        </c:spPr>
      </c:pivotFmt>
      <c:pivotFmt>
        <c:idx val="3"/>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hade val="76000"/>
            </a:schemeClr>
          </a:solidFill>
          <a:ln>
            <a:noFill/>
          </a:ln>
          <a:effectLst>
            <a:outerShdw blurRad="317500" algn="ctr" rotWithShape="0">
              <a:prstClr val="black">
                <a:alpha val="25000"/>
              </a:prstClr>
            </a:outerShdw>
          </a:effectLst>
        </c:spPr>
      </c:pivotFmt>
      <c:pivotFmt>
        <c:idx val="5"/>
        <c:spPr>
          <a:solidFill>
            <a:schemeClr val="accent5">
              <a:tint val="77000"/>
            </a:schemeClr>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a:noFill/>
          </a:ln>
          <a:effectLst>
            <a:outerShdw blurRad="317500" algn="ctr" rotWithShape="0">
              <a:prstClr val="black">
                <a:alpha val="25000"/>
              </a:prstClr>
            </a:outerShdw>
          </a:effectLst>
        </c:spPr>
      </c:pivotFmt>
      <c:pivotFmt>
        <c:idx val="8"/>
        <c:spPr>
          <a:solidFill>
            <a:schemeClr val="accent5">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1174633555420957"/>
          <c:y val="0.30696880525112052"/>
          <c:w val="0.39791797900262466"/>
          <c:h val="0.66319663167104115"/>
        </c:manualLayout>
      </c:layout>
      <c:pieChart>
        <c:varyColors val="1"/>
        <c:ser>
          <c:idx val="0"/>
          <c:order val="0"/>
          <c:tx>
            <c:strRef>
              <c:f>'PIVOT TABLES'!$B$21</c:f>
              <c:strCache>
                <c:ptCount val="1"/>
                <c:pt idx="0">
                  <c:v>Total</c:v>
                </c:pt>
              </c:strCache>
            </c:strRef>
          </c:tx>
          <c:dPt>
            <c:idx val="0"/>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772-4413-84C2-5A8A764A7639}"/>
              </c:ext>
            </c:extLst>
          </c:dPt>
          <c:dPt>
            <c:idx val="1"/>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772-4413-84C2-5A8A764A76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TABLES'!$A$22:$A$24</c:f>
              <c:strCache>
                <c:ptCount val="2"/>
                <c:pt idx="0">
                  <c:v>No</c:v>
                </c:pt>
                <c:pt idx="1">
                  <c:v>Yes</c:v>
                </c:pt>
              </c:strCache>
            </c:strRef>
          </c:cat>
          <c:val>
            <c:numRef>
              <c:f>'PIVOT TABLES'!$B$22:$B$24</c:f>
              <c:numCache>
                <c:formatCode>General</c:formatCode>
                <c:ptCount val="2"/>
                <c:pt idx="0">
                  <c:v>942</c:v>
                </c:pt>
                <c:pt idx="1">
                  <c:v>58</c:v>
                </c:pt>
              </c:numCache>
            </c:numRef>
          </c:val>
          <c:extLst>
            <c:ext xmlns:c16="http://schemas.microsoft.com/office/drawing/2014/chart" uri="{C3380CC4-5D6E-409C-BE32-E72D297353CC}">
              <c16:uniqueId val="{00000004-F772-4413-84C2-5A8A764A76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Pending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225"/>
                      <c:pt idx="8">
                        <c:v>Aarthi Raman</c:v>
                      </c:pt>
                      <c:pt idx="9">
                        <c:v>Aarthi Reddy</c:v>
                      </c:pt>
                      <c:pt idx="10">
                        <c:v>Aarthi Sharma</c:v>
                      </c:pt>
                      <c:pt idx="11">
                        <c:v>Aarthi Singh</c:v>
                      </c:pt>
                      <c:pt idx="13">
                        <c:v>Ajay Babu</c:v>
                      </c:pt>
                      <c:pt idx="14">
                        <c:v>Ajay Devi</c:v>
                      </c:pt>
                      <c:pt idx="15">
                        <c:v>Ajay Iyer</c:v>
                      </c:pt>
                      <c:pt idx="16">
                        <c:v>Ajay Krishnan</c:v>
                      </c:pt>
                      <c:pt idx="17">
                        <c:v>Ajay Kumar</c:v>
                      </c:pt>
                      <c:pt idx="18">
                        <c:v>Ajay Lakshmi</c:v>
                      </c:pt>
                      <c:pt idx="19">
                        <c:v>Ajay Raj</c:v>
                      </c:pt>
                      <c:pt idx="20">
                        <c:v>Ajay Raman</c:v>
                      </c:pt>
                      <c:pt idx="21">
                        <c:v>Ajay Reddy</c:v>
                      </c:pt>
                      <c:pt idx="23">
                        <c:v>Ajay Singh</c:v>
                      </c:pt>
                      <c:pt idx="24">
                        <c:v>Akash Anand</c:v>
                      </c:pt>
                      <c:pt idx="25">
                        <c:v>Akash Babu</c:v>
                      </c:pt>
                      <c:pt idx="26">
                        <c:v>Akash Devi</c:v>
                      </c:pt>
                      <c:pt idx="27">
                        <c:v>Akash Iyer</c:v>
                      </c:pt>
                      <c:pt idx="28">
                        <c:v>Akash Krishnan</c:v>
                      </c:pt>
                      <c:pt idx="29">
                        <c:v>Akash Kumar</c:v>
                      </c:pt>
                      <c:pt idx="30">
                        <c:v>Akash Lakshmi</c:v>
                      </c:pt>
                      <c:pt idx="31">
                        <c:v>Akash Raj</c:v>
                      </c:pt>
                      <c:pt idx="32">
                        <c:v>Akash Raman</c:v>
                      </c:pt>
                      <c:pt idx="33">
                        <c:v>Akash Reddy</c:v>
                      </c:pt>
                      <c:pt idx="34">
                        <c:v>Akash Sharma</c:v>
                      </c:pt>
                      <c:pt idx="36">
                        <c:v>Anitha Anand</c:v>
                      </c:pt>
                      <c:pt idx="37">
                        <c:v>Anitha Babu</c:v>
                      </c:pt>
                      <c:pt idx="38">
                        <c:v>Anitha Devi</c:v>
                      </c:pt>
                      <c:pt idx="39">
                        <c:v>Anitha Krishnan</c:v>
                      </c:pt>
                      <c:pt idx="40">
                        <c:v>Anitha Kumar</c:v>
                      </c:pt>
                      <c:pt idx="41">
                        <c:v>Anitha Lakshmi</c:v>
                      </c:pt>
                      <c:pt idx="42">
                        <c:v>Anitha Raj</c:v>
                      </c:pt>
                      <c:pt idx="43">
                        <c:v>Anitha Raman</c:v>
                      </c:pt>
                      <c:pt idx="44">
                        <c:v>Anitha Reddy</c:v>
                      </c:pt>
                      <c:pt idx="45">
                        <c:v>Anitha Sharma</c:v>
                      </c:pt>
                      <c:pt idx="46">
                        <c:v>Anitha Singh</c:v>
                      </c:pt>
                      <c:pt idx="47">
                        <c:v>Arun Anand</c:v>
                      </c:pt>
                      <c:pt idx="48">
                        <c:v>Arun Babu</c:v>
                      </c:pt>
                      <c:pt idx="49">
                        <c:v>Arun Devi</c:v>
                      </c:pt>
                      <c:pt idx="50">
                        <c:v>Arun Iyer</c:v>
                      </c:pt>
                      <c:pt idx="51">
                        <c:v>Arun Krishnan</c:v>
                      </c:pt>
                      <c:pt idx="52">
                        <c:v>Arun Kumar</c:v>
                      </c:pt>
                      <c:pt idx="53">
                        <c:v>Arun Lakshmi</c:v>
                      </c:pt>
                      <c:pt idx="54">
                        <c:v>Arun Raj</c:v>
                      </c:pt>
                      <c:pt idx="55">
                        <c:v>Arun Raman</c:v>
                      </c:pt>
                      <c:pt idx="56">
                        <c:v>Arun Reddy</c:v>
                      </c:pt>
                      <c:pt idx="57">
                        <c:v>Arun Singh</c:v>
                      </c:pt>
                      <c:pt idx="58">
                        <c:v>Deepika Anand</c:v>
                      </c:pt>
                      <c:pt idx="59">
                        <c:v>Deepika Babu</c:v>
                      </c:pt>
                      <c:pt idx="60">
                        <c:v>Deepika Devi</c:v>
                      </c:pt>
                      <c:pt idx="61">
                        <c:v>Deepika Iyer</c:v>
                      </c:pt>
                      <c:pt idx="62">
                        <c:v>Deepika Krishnan</c:v>
                      </c:pt>
                      <c:pt idx="63">
                        <c:v>Deepika Kumar</c:v>
                      </c:pt>
                      <c:pt idx="64">
                        <c:v>Deepika Lakshmi</c:v>
                      </c:pt>
                      <c:pt idx="65">
                        <c:v>Deepika Raman</c:v>
                      </c:pt>
                      <c:pt idx="66">
                        <c:v>Deepika Reddy</c:v>
                      </c:pt>
                      <c:pt idx="67">
                        <c:v>Deepika Sharma</c:v>
                      </c:pt>
                      <c:pt idx="68">
                        <c:v>Deepika Singh</c:v>
                      </c:pt>
                      <c:pt idx="70">
                        <c:v>Divya Babu</c:v>
                      </c:pt>
                      <c:pt idx="71">
                        <c:v>Divya Devi</c:v>
                      </c:pt>
                      <c:pt idx="72">
                        <c:v>Divya Iyer</c:v>
                      </c:pt>
                      <c:pt idx="73">
                        <c:v>Divya Krishnan</c:v>
                      </c:pt>
                      <c:pt idx="74">
                        <c:v>Divya Kumar</c:v>
                      </c:pt>
                      <c:pt idx="75">
                        <c:v>Divya Lakshmi</c:v>
                      </c:pt>
                      <c:pt idx="76">
                        <c:v>Divya Raj</c:v>
                      </c:pt>
                      <c:pt idx="77">
                        <c:v>Divya Raman</c:v>
                      </c:pt>
                      <c:pt idx="78">
                        <c:v>Divya Reddy</c:v>
                      </c:pt>
                      <c:pt idx="79">
                        <c:v>Divya Sharma</c:v>
                      </c:pt>
                      <c:pt idx="80">
                        <c:v>Divya Singh</c:v>
                      </c:pt>
                      <c:pt idx="81">
                        <c:v>Harish Anand</c:v>
                      </c:pt>
                      <c:pt idx="82">
                        <c:v>Harish Babu</c:v>
                      </c:pt>
                      <c:pt idx="83">
                        <c:v>Harish Devi</c:v>
                      </c:pt>
                      <c:pt idx="84">
                        <c:v>Harish Iyer</c:v>
                      </c:pt>
                      <c:pt idx="85">
                        <c:v>Harish Krishnan</c:v>
                      </c:pt>
                      <c:pt idx="86">
                        <c:v>Harish Kumar</c:v>
                      </c:pt>
                      <c:pt idx="87">
                        <c:v>Harish Lakshmi</c:v>
                      </c:pt>
                      <c:pt idx="88">
                        <c:v>Harish Raj</c:v>
                      </c:pt>
                      <c:pt idx="89">
                        <c:v>Harish Raman</c:v>
                      </c:pt>
                      <c:pt idx="90">
                        <c:v>Harish Reddy</c:v>
                      </c:pt>
                      <c:pt idx="91">
                        <c:v>Harish Sharma</c:v>
                      </c:pt>
                      <c:pt idx="92">
                        <c:v>Harish Singh</c:v>
                      </c:pt>
                      <c:pt idx="93">
                        <c:v>Kavin Anand</c:v>
                      </c:pt>
                      <c:pt idx="94">
                        <c:v>Kavin Babu</c:v>
                      </c:pt>
                      <c:pt idx="95">
                        <c:v>Kavin Devi</c:v>
                      </c:pt>
                      <c:pt idx="96">
                        <c:v>Kavin Iyer</c:v>
                      </c:pt>
                      <c:pt idx="97">
                        <c:v>Kavin Krishnan</c:v>
                      </c:pt>
                      <c:pt idx="98">
                        <c:v>Kavin Kumar</c:v>
                      </c:pt>
                      <c:pt idx="99">
                        <c:v>Kavin Lakshmi</c:v>
                      </c:pt>
                      <c:pt idx="100">
                        <c:v>Kavin Raj</c:v>
                      </c:pt>
                      <c:pt idx="101">
                        <c:v>Kavin Raman</c:v>
                      </c:pt>
                      <c:pt idx="102">
                        <c:v>Kavin Reddy</c:v>
                      </c:pt>
                      <c:pt idx="103">
                        <c:v>Kavin Sharma</c:v>
                      </c:pt>
                      <c:pt idx="104">
                        <c:v>Kavin Singh</c:v>
                      </c:pt>
                      <c:pt idx="105">
                        <c:v>Keerthi Anand</c:v>
                      </c:pt>
                      <c:pt idx="106">
                        <c:v>Keerthi Babu</c:v>
                      </c:pt>
                      <c:pt idx="107">
                        <c:v>Keerthi Devi</c:v>
                      </c:pt>
                      <c:pt idx="108">
                        <c:v>Keerthi Iyer</c:v>
                      </c:pt>
                      <c:pt idx="109">
                        <c:v>Keerthi Krishnan</c:v>
                      </c:pt>
                      <c:pt idx="110">
                        <c:v>Keerthi Kumar</c:v>
                      </c:pt>
                      <c:pt idx="111">
                        <c:v>Keerthi Lakshmi</c:v>
                      </c:pt>
                      <c:pt idx="112">
                        <c:v>Keerthi Raj</c:v>
                      </c:pt>
                      <c:pt idx="113">
                        <c:v>Keerthi Raman</c:v>
                      </c:pt>
                      <c:pt idx="114">
                        <c:v>Keerthi Reddy</c:v>
                      </c:pt>
                      <c:pt idx="115">
                        <c:v>Keerthi Sharma</c:v>
                      </c:pt>
                      <c:pt idx="116">
                        <c:v>Keerthi Singh</c:v>
                      </c:pt>
                      <c:pt idx="117">
                        <c:v>Lavanya Anand</c:v>
                      </c:pt>
                      <c:pt idx="118">
                        <c:v>Lavanya Babu</c:v>
                      </c:pt>
                      <c:pt idx="119">
                        <c:v>Lavanya Devi</c:v>
                      </c:pt>
                      <c:pt idx="120">
                        <c:v>Lavanya Iyer</c:v>
                      </c:pt>
                      <c:pt idx="121">
                        <c:v>Lavanya Krishnan</c:v>
                      </c:pt>
                      <c:pt idx="122">
                        <c:v>Lavanya Kumar</c:v>
                      </c:pt>
                      <c:pt idx="123">
                        <c:v>Lavanya Lakshmi</c:v>
                      </c:pt>
                      <c:pt idx="124">
                        <c:v>Lavanya Raj</c:v>
                      </c:pt>
                      <c:pt idx="125">
                        <c:v>Lavanya Raman</c:v>
                      </c:pt>
                      <c:pt idx="126">
                        <c:v>Lavanya Reddy</c:v>
                      </c:pt>
                      <c:pt idx="127">
                        <c:v>Lavanya Sharma</c:v>
                      </c:pt>
                      <c:pt idx="128">
                        <c:v>Lavanya Singh</c:v>
                      </c:pt>
                      <c:pt idx="129">
                        <c:v>Meena Anand</c:v>
                      </c:pt>
                      <c:pt idx="130">
                        <c:v>Meena Babu</c:v>
                      </c:pt>
                      <c:pt idx="131">
                        <c:v>Meena Devi</c:v>
                      </c:pt>
                      <c:pt idx="132">
                        <c:v>Meena Iyer</c:v>
                      </c:pt>
                      <c:pt idx="133">
                        <c:v>Meena Krishnan</c:v>
                      </c:pt>
                      <c:pt idx="134">
                        <c:v>Meena Kumar</c:v>
                      </c:pt>
                      <c:pt idx="135">
                        <c:v>Meena Lakshmi</c:v>
                      </c:pt>
                      <c:pt idx="136">
                        <c:v>Meena Raj</c:v>
                      </c:pt>
                      <c:pt idx="137">
                        <c:v>Meena Raman</c:v>
                      </c:pt>
                      <c:pt idx="138">
                        <c:v>Meena Reddy</c:v>
                      </c:pt>
                      <c:pt idx="139">
                        <c:v>Meena Sharma</c:v>
                      </c:pt>
                      <c:pt idx="140">
                        <c:v>Meena Singh</c:v>
                      </c:pt>
                      <c:pt idx="141">
                        <c:v>Nisha Anand</c:v>
                      </c:pt>
                      <c:pt idx="142">
                        <c:v>Nisha Babu</c:v>
                      </c:pt>
                      <c:pt idx="143">
                        <c:v>Nisha Devi</c:v>
                      </c:pt>
                      <c:pt idx="144">
                        <c:v>Nisha Iyer</c:v>
                      </c:pt>
                      <c:pt idx="145">
                        <c:v>Nisha Krishnan</c:v>
                      </c:pt>
                      <c:pt idx="146">
                        <c:v>Nisha Kumar</c:v>
                      </c:pt>
                      <c:pt idx="147">
                        <c:v>Nisha Lakshmi</c:v>
                      </c:pt>
                      <c:pt idx="148">
                        <c:v>Nisha Raj</c:v>
                      </c:pt>
                      <c:pt idx="149">
                        <c:v>Nisha Raman</c:v>
                      </c:pt>
                      <c:pt idx="150">
                        <c:v>Nisha Reddy</c:v>
                      </c:pt>
                      <c:pt idx="151">
                        <c:v>Nisha Sharma</c:v>
                      </c:pt>
                      <c:pt idx="152">
                        <c:v>Nisha Singh</c:v>
                      </c:pt>
                      <c:pt idx="153">
                        <c:v>Priya Anand</c:v>
                      </c:pt>
                      <c:pt idx="154">
                        <c:v>Priya Babu</c:v>
                      </c:pt>
                      <c:pt idx="155">
                        <c:v>Priya Devi</c:v>
                      </c:pt>
                      <c:pt idx="156">
                        <c:v>Priya Iyer</c:v>
                      </c:pt>
                      <c:pt idx="157">
                        <c:v>Priya Krishnan</c:v>
                      </c:pt>
                      <c:pt idx="158">
                        <c:v>Priya Kumar</c:v>
                      </c:pt>
                      <c:pt idx="159">
                        <c:v>Priya Lakshmi</c:v>
                      </c:pt>
                      <c:pt idx="160">
                        <c:v>Priya Raj</c:v>
                      </c:pt>
                      <c:pt idx="161">
                        <c:v>Priya Raman</c:v>
                      </c:pt>
                      <c:pt idx="162">
                        <c:v>Priya Reddy</c:v>
                      </c:pt>
                      <c:pt idx="163">
                        <c:v>Priya Sharma</c:v>
                      </c:pt>
                      <c:pt idx="164">
                        <c:v>Priya Singh</c:v>
                      </c:pt>
                      <c:pt idx="165">
                        <c:v>Rahul Anand</c:v>
                      </c:pt>
                      <c:pt idx="166">
                        <c:v>Rahul Babu</c:v>
                      </c:pt>
                      <c:pt idx="167">
                        <c:v>Rahul Devi</c:v>
                      </c:pt>
                      <c:pt idx="168">
                        <c:v>Rahul Iyer</c:v>
                      </c:pt>
                      <c:pt idx="169">
                        <c:v>Rahul Krishnan</c:v>
                      </c:pt>
                      <c:pt idx="170">
                        <c:v>Rahul Kumar</c:v>
                      </c:pt>
                      <c:pt idx="171">
                        <c:v>Rahul Lakshmi</c:v>
                      </c:pt>
                      <c:pt idx="172">
                        <c:v>Rahul Raj</c:v>
                      </c:pt>
                      <c:pt idx="173">
                        <c:v>Rahul Raman</c:v>
                      </c:pt>
                      <c:pt idx="174">
                        <c:v>Rahul Reddy</c:v>
                      </c:pt>
                      <c:pt idx="175">
                        <c:v>Rahul Sharma</c:v>
                      </c:pt>
                      <c:pt idx="176">
                        <c:v>Rahul Singh</c:v>
                      </c:pt>
                      <c:pt idx="177">
                        <c:v>Rohit Anand</c:v>
                      </c:pt>
                      <c:pt idx="178">
                        <c:v>Rohit Babu</c:v>
                      </c:pt>
                      <c:pt idx="179">
                        <c:v>Rohit Devi</c:v>
                      </c:pt>
                      <c:pt idx="180">
                        <c:v>Rohit Iyer</c:v>
                      </c:pt>
                      <c:pt idx="181">
                        <c:v>Rohit Krishnan</c:v>
                      </c:pt>
                      <c:pt idx="182">
                        <c:v>Rohit Kumar</c:v>
                      </c:pt>
                      <c:pt idx="183">
                        <c:v>Rohit Lakshmi</c:v>
                      </c:pt>
                      <c:pt idx="184">
                        <c:v>Rohit Raj</c:v>
                      </c:pt>
                      <c:pt idx="185">
                        <c:v>Rohit Raman</c:v>
                      </c:pt>
                      <c:pt idx="186">
                        <c:v>Rohit Reddy</c:v>
                      </c:pt>
                      <c:pt idx="187">
                        <c:v>Rohit Sharma</c:v>
                      </c:pt>
                      <c:pt idx="188">
                        <c:v>Rohit Singh</c:v>
                      </c:pt>
                      <c:pt idx="189">
                        <c:v>Sneha Anand</c:v>
                      </c:pt>
                      <c:pt idx="190">
                        <c:v>Sneha Babu</c:v>
                      </c:pt>
                      <c:pt idx="191">
                        <c:v>Sneha Devi</c:v>
                      </c:pt>
                      <c:pt idx="192">
                        <c:v>Sneha Iyer</c:v>
                      </c:pt>
                      <c:pt idx="193">
                        <c:v>Sneha Krishnan</c:v>
                      </c:pt>
                      <c:pt idx="194">
                        <c:v>Sneha Kumar</c:v>
                      </c:pt>
                      <c:pt idx="195">
                        <c:v>Sneha Lakshmi</c:v>
                      </c:pt>
                      <c:pt idx="196">
                        <c:v>Sneha Raj</c:v>
                      </c:pt>
                      <c:pt idx="197">
                        <c:v>Sneha Raman</c:v>
                      </c:pt>
                      <c:pt idx="198">
                        <c:v>Sneha Reddy</c:v>
                      </c:pt>
                      <c:pt idx="199">
                        <c:v>Sneha Sharma</c:v>
                      </c:pt>
                      <c:pt idx="200">
                        <c:v>Sneha Singh</c:v>
                      </c:pt>
                      <c:pt idx="201">
                        <c:v>Surya Anand</c:v>
                      </c:pt>
                      <c:pt idx="202">
                        <c:v>Surya Babu</c:v>
                      </c:pt>
                      <c:pt idx="203">
                        <c:v>Surya Devi</c:v>
                      </c:pt>
                      <c:pt idx="204">
                        <c:v>Surya Iyer</c:v>
                      </c:pt>
                      <c:pt idx="205">
                        <c:v>Surya Krishnan</c:v>
                      </c:pt>
                      <c:pt idx="206">
                        <c:v>Surya Kumar</c:v>
                      </c:pt>
                      <c:pt idx="207">
                        <c:v>Surya Lakshmi</c:v>
                      </c:pt>
                      <c:pt idx="208">
                        <c:v>Surya Raj</c:v>
                      </c:pt>
                      <c:pt idx="209">
                        <c:v>Surya Raman</c:v>
                      </c:pt>
                      <c:pt idx="210">
                        <c:v>Surya Reddy</c:v>
                      </c:pt>
                      <c:pt idx="211">
                        <c:v>Surya Sharma</c:v>
                      </c:pt>
                      <c:pt idx="212">
                        <c:v>Surya Singh</c:v>
                      </c:pt>
                      <c:pt idx="213">
                        <c:v>Vignesh Anand</c:v>
                      </c:pt>
                      <c:pt idx="214">
                        <c:v>Vignesh Babu</c:v>
                      </c:pt>
                      <c:pt idx="215">
                        <c:v>Vignesh Devi</c:v>
                      </c:pt>
                      <c:pt idx="216">
                        <c:v>Vignesh Iyer</c:v>
                      </c:pt>
                      <c:pt idx="217">
                        <c:v>Vignesh Krishnan</c:v>
                      </c:pt>
                      <c:pt idx="218">
                        <c:v>Vignesh Kumar</c:v>
                      </c:pt>
                      <c:pt idx="219">
                        <c:v>Vignesh Lakshmi</c:v>
                      </c:pt>
                      <c:pt idx="220">
                        <c:v>Vignesh Raj</c:v>
                      </c:pt>
                      <c:pt idx="221">
                        <c:v>Vignesh Raman</c:v>
                      </c:pt>
                      <c:pt idx="222">
                        <c:v>Vignesh Reddy</c:v>
                      </c:pt>
                      <c:pt idx="223">
                        <c:v>Vignesh Sharma</c:v>
                      </c:pt>
                      <c:pt idx="224">
                        <c:v>Vignesh Singh</c:v>
                      </c:pt>
                      <c:pt idx="225">
                        <c:v>Vimal Anand</c:v>
                      </c:pt>
                      <c:pt idx="226">
                        <c:v>Vimal Babu</c:v>
                      </c:pt>
                      <c:pt idx="227">
                        <c:v>Vimal Devi</c:v>
                      </c:pt>
                      <c:pt idx="228">
                        <c:v>Vimal Iyer</c:v>
                      </c:pt>
                      <c:pt idx="229">
                        <c:v>Vimal Krishnan</c:v>
                      </c:pt>
                      <c:pt idx="230">
                        <c:v>Vimal Kumar</c:v>
                      </c:pt>
                      <c:pt idx="231">
                        <c:v>Vimal Lakshmi</c:v>
                      </c:pt>
                      <c:pt idx="232">
                        <c:v>Vimal Raj</c:v>
                      </c:pt>
                      <c:pt idx="233">
                        <c:v>Vimal Raman</c:v>
                      </c:pt>
                      <c:pt idx="234">
                        <c:v>Vimal Reddy</c:v>
                      </c:pt>
                      <c:pt idx="235">
                        <c:v>Vimal Sharma</c:v>
                      </c:pt>
                      <c:pt idx="236">
                        <c:v>Vimal Singh</c:v>
                      </c:pt>
                    </c:strCache>
                  </c16:filteredLitCache>
                </c:ext>
              </c:extLst>
              <c:f/>
              <c:strCache>
                <c:ptCount val="12"/>
                <c:pt idx="0">
                  <c:v>Aarthi Anand</c:v>
                </c:pt>
                <c:pt idx="1">
                  <c:v>Aarthi Babu</c:v>
                </c:pt>
                <c:pt idx="2">
                  <c:v>Aarthi Devi</c:v>
                </c:pt>
                <c:pt idx="3">
                  <c:v>Aarthi Iyer</c:v>
                </c:pt>
                <c:pt idx="4">
                  <c:v>Aarthi Krishnan</c:v>
                </c:pt>
                <c:pt idx="5">
                  <c:v>Aarthi Kumar</c:v>
                </c:pt>
                <c:pt idx="6">
                  <c:v>Aarthi Lakshmi</c:v>
                </c:pt>
                <c:pt idx="7">
                  <c:v>Aarthi Raj</c:v>
                </c:pt>
                <c:pt idx="8">
                  <c:v>Ajay Anand</c:v>
                </c:pt>
                <c:pt idx="9">
                  <c:v>Ajay Sharma</c:v>
                </c:pt>
                <c:pt idx="10">
                  <c:v>Akash Singh</c:v>
                </c:pt>
                <c:pt idx="11">
                  <c:v>Divya Anand</c:v>
                </c:pt>
              </c:strCache>
            </c:strRef>
          </c:cat>
          <c:val>
            <c:numRef>
              <c:extLst>
                <c:ext xmlns:c16="http://schemas.microsoft.com/office/drawing/2014/chart" uri="{F5D05F6E-A05E-4728-AFD3-386EB277150F}">
                  <c16:filteredLitCache>
                    <c:numCache>
                      <c:formatCode>General</c:formatCode>
                      <c:ptCount val="225"/>
                      <c:pt idx="8">
                        <c:v>12000</c:v>
                      </c:pt>
                      <c:pt idx="9">
                        <c:v>8000</c:v>
                      </c:pt>
                      <c:pt idx="10">
                        <c:v>14000</c:v>
                      </c:pt>
                      <c:pt idx="11">
                        <c:v>4000</c:v>
                      </c:pt>
                      <c:pt idx="13">
                        <c:v>4000</c:v>
                      </c:pt>
                      <c:pt idx="14">
                        <c:v>10000</c:v>
                      </c:pt>
                      <c:pt idx="15">
                        <c:v>10000</c:v>
                      </c:pt>
                      <c:pt idx="16">
                        <c:v>18000</c:v>
                      </c:pt>
                      <c:pt idx="17">
                        <c:v>8000</c:v>
                      </c:pt>
                      <c:pt idx="18">
                        <c:v>16000</c:v>
                      </c:pt>
                      <c:pt idx="19">
                        <c:v>6000</c:v>
                      </c:pt>
                      <c:pt idx="20">
                        <c:v>2000</c:v>
                      </c:pt>
                      <c:pt idx="21">
                        <c:v>8000</c:v>
                      </c:pt>
                      <c:pt idx="23">
                        <c:v>4000</c:v>
                      </c:pt>
                      <c:pt idx="24">
                        <c:v>0</c:v>
                      </c:pt>
                      <c:pt idx="25">
                        <c:v>18000</c:v>
                      </c:pt>
                      <c:pt idx="26">
                        <c:v>6000</c:v>
                      </c:pt>
                      <c:pt idx="27">
                        <c:v>12000</c:v>
                      </c:pt>
                      <c:pt idx="28">
                        <c:v>10000</c:v>
                      </c:pt>
                      <c:pt idx="29">
                        <c:v>20000</c:v>
                      </c:pt>
                      <c:pt idx="30">
                        <c:v>2000</c:v>
                      </c:pt>
                      <c:pt idx="31">
                        <c:v>4000</c:v>
                      </c:pt>
                      <c:pt idx="32">
                        <c:v>4000</c:v>
                      </c:pt>
                      <c:pt idx="33">
                        <c:v>6000</c:v>
                      </c:pt>
                      <c:pt idx="34">
                        <c:v>0</c:v>
                      </c:pt>
                      <c:pt idx="36">
                        <c:v>14000</c:v>
                      </c:pt>
                      <c:pt idx="37">
                        <c:v>4000</c:v>
                      </c:pt>
                      <c:pt idx="38">
                        <c:v>6000</c:v>
                      </c:pt>
                      <c:pt idx="39">
                        <c:v>8000</c:v>
                      </c:pt>
                      <c:pt idx="40">
                        <c:v>18000</c:v>
                      </c:pt>
                      <c:pt idx="41">
                        <c:v>8000</c:v>
                      </c:pt>
                      <c:pt idx="42">
                        <c:v>26000</c:v>
                      </c:pt>
                      <c:pt idx="43">
                        <c:v>6000</c:v>
                      </c:pt>
                      <c:pt idx="44">
                        <c:v>2000</c:v>
                      </c:pt>
                      <c:pt idx="45">
                        <c:v>8000</c:v>
                      </c:pt>
                      <c:pt idx="46">
                        <c:v>10000</c:v>
                      </c:pt>
                      <c:pt idx="47">
                        <c:v>4000</c:v>
                      </c:pt>
                      <c:pt idx="48">
                        <c:v>26000</c:v>
                      </c:pt>
                      <c:pt idx="49">
                        <c:v>12000</c:v>
                      </c:pt>
                      <c:pt idx="50">
                        <c:v>8000</c:v>
                      </c:pt>
                      <c:pt idx="51">
                        <c:v>6000</c:v>
                      </c:pt>
                      <c:pt idx="52">
                        <c:v>12000</c:v>
                      </c:pt>
                      <c:pt idx="53">
                        <c:v>14000</c:v>
                      </c:pt>
                      <c:pt idx="54">
                        <c:v>14000</c:v>
                      </c:pt>
                      <c:pt idx="55">
                        <c:v>8000</c:v>
                      </c:pt>
                      <c:pt idx="56">
                        <c:v>8000</c:v>
                      </c:pt>
                      <c:pt idx="57">
                        <c:v>12000</c:v>
                      </c:pt>
                      <c:pt idx="58">
                        <c:v>12000</c:v>
                      </c:pt>
                      <c:pt idx="59">
                        <c:v>10000</c:v>
                      </c:pt>
                      <c:pt idx="60">
                        <c:v>14000</c:v>
                      </c:pt>
                      <c:pt idx="61">
                        <c:v>4000</c:v>
                      </c:pt>
                      <c:pt idx="62">
                        <c:v>6000</c:v>
                      </c:pt>
                      <c:pt idx="63">
                        <c:v>8000</c:v>
                      </c:pt>
                      <c:pt idx="64">
                        <c:v>16000</c:v>
                      </c:pt>
                      <c:pt idx="65">
                        <c:v>12000</c:v>
                      </c:pt>
                      <c:pt idx="66">
                        <c:v>18000</c:v>
                      </c:pt>
                      <c:pt idx="67">
                        <c:v>12000</c:v>
                      </c:pt>
                      <c:pt idx="68">
                        <c:v>8000</c:v>
                      </c:pt>
                      <c:pt idx="70">
                        <c:v>14000</c:v>
                      </c:pt>
                      <c:pt idx="71">
                        <c:v>2000</c:v>
                      </c:pt>
                      <c:pt idx="72">
                        <c:v>16000</c:v>
                      </c:pt>
                      <c:pt idx="73">
                        <c:v>2000</c:v>
                      </c:pt>
                      <c:pt idx="74">
                        <c:v>8000</c:v>
                      </c:pt>
                      <c:pt idx="75">
                        <c:v>10000</c:v>
                      </c:pt>
                      <c:pt idx="76">
                        <c:v>6000</c:v>
                      </c:pt>
                      <c:pt idx="77">
                        <c:v>6000</c:v>
                      </c:pt>
                      <c:pt idx="78">
                        <c:v>4000</c:v>
                      </c:pt>
                      <c:pt idx="79">
                        <c:v>6000</c:v>
                      </c:pt>
                      <c:pt idx="80">
                        <c:v>14000</c:v>
                      </c:pt>
                      <c:pt idx="81">
                        <c:v>8000</c:v>
                      </c:pt>
                      <c:pt idx="82">
                        <c:v>4000</c:v>
                      </c:pt>
                      <c:pt idx="83">
                        <c:v>6000</c:v>
                      </c:pt>
                      <c:pt idx="84">
                        <c:v>4000</c:v>
                      </c:pt>
                      <c:pt idx="85">
                        <c:v>16000</c:v>
                      </c:pt>
                      <c:pt idx="86">
                        <c:v>8000</c:v>
                      </c:pt>
                      <c:pt idx="87">
                        <c:v>4000</c:v>
                      </c:pt>
                      <c:pt idx="88">
                        <c:v>8000</c:v>
                      </c:pt>
                      <c:pt idx="89">
                        <c:v>18000</c:v>
                      </c:pt>
                      <c:pt idx="90">
                        <c:v>4000</c:v>
                      </c:pt>
                      <c:pt idx="91">
                        <c:v>4000</c:v>
                      </c:pt>
                      <c:pt idx="92">
                        <c:v>6000</c:v>
                      </c:pt>
                      <c:pt idx="93">
                        <c:v>12000</c:v>
                      </c:pt>
                      <c:pt idx="94">
                        <c:v>10000</c:v>
                      </c:pt>
                      <c:pt idx="95">
                        <c:v>10000</c:v>
                      </c:pt>
                      <c:pt idx="96">
                        <c:v>8000</c:v>
                      </c:pt>
                      <c:pt idx="97">
                        <c:v>8000</c:v>
                      </c:pt>
                      <c:pt idx="98">
                        <c:v>18000</c:v>
                      </c:pt>
                      <c:pt idx="99">
                        <c:v>10000</c:v>
                      </c:pt>
                      <c:pt idx="100">
                        <c:v>6000</c:v>
                      </c:pt>
                      <c:pt idx="101">
                        <c:v>6000</c:v>
                      </c:pt>
                      <c:pt idx="102">
                        <c:v>4000</c:v>
                      </c:pt>
                      <c:pt idx="103">
                        <c:v>12000</c:v>
                      </c:pt>
                      <c:pt idx="104">
                        <c:v>8000</c:v>
                      </c:pt>
                      <c:pt idx="105">
                        <c:v>6000</c:v>
                      </c:pt>
                      <c:pt idx="106">
                        <c:v>6000</c:v>
                      </c:pt>
                      <c:pt idx="107">
                        <c:v>4000</c:v>
                      </c:pt>
                      <c:pt idx="108">
                        <c:v>0</c:v>
                      </c:pt>
                      <c:pt idx="109">
                        <c:v>12000</c:v>
                      </c:pt>
                      <c:pt idx="110">
                        <c:v>2000</c:v>
                      </c:pt>
                      <c:pt idx="111">
                        <c:v>2000</c:v>
                      </c:pt>
                      <c:pt idx="112">
                        <c:v>8000</c:v>
                      </c:pt>
                      <c:pt idx="113">
                        <c:v>12000</c:v>
                      </c:pt>
                      <c:pt idx="114">
                        <c:v>10000</c:v>
                      </c:pt>
                      <c:pt idx="115">
                        <c:v>2000</c:v>
                      </c:pt>
                      <c:pt idx="116">
                        <c:v>8000</c:v>
                      </c:pt>
                      <c:pt idx="117">
                        <c:v>4000</c:v>
                      </c:pt>
                      <c:pt idx="118">
                        <c:v>2000</c:v>
                      </c:pt>
                      <c:pt idx="119">
                        <c:v>0</c:v>
                      </c:pt>
                      <c:pt idx="120">
                        <c:v>22000</c:v>
                      </c:pt>
                      <c:pt idx="121">
                        <c:v>10000</c:v>
                      </c:pt>
                      <c:pt idx="122">
                        <c:v>8000</c:v>
                      </c:pt>
                      <c:pt idx="123">
                        <c:v>8000</c:v>
                      </c:pt>
                      <c:pt idx="124">
                        <c:v>12000</c:v>
                      </c:pt>
                      <c:pt idx="125">
                        <c:v>16000</c:v>
                      </c:pt>
                      <c:pt idx="126">
                        <c:v>6000</c:v>
                      </c:pt>
                      <c:pt idx="127">
                        <c:v>8000</c:v>
                      </c:pt>
                      <c:pt idx="128">
                        <c:v>10000</c:v>
                      </c:pt>
                      <c:pt idx="129">
                        <c:v>0</c:v>
                      </c:pt>
                      <c:pt idx="130">
                        <c:v>16000</c:v>
                      </c:pt>
                      <c:pt idx="131">
                        <c:v>38000</c:v>
                      </c:pt>
                      <c:pt idx="132">
                        <c:v>20000</c:v>
                      </c:pt>
                      <c:pt idx="133">
                        <c:v>14000</c:v>
                      </c:pt>
                      <c:pt idx="134">
                        <c:v>12000</c:v>
                      </c:pt>
                      <c:pt idx="135">
                        <c:v>6000</c:v>
                      </c:pt>
                      <c:pt idx="136">
                        <c:v>14000</c:v>
                      </c:pt>
                      <c:pt idx="137">
                        <c:v>14000</c:v>
                      </c:pt>
                      <c:pt idx="138">
                        <c:v>4000</c:v>
                      </c:pt>
                      <c:pt idx="139">
                        <c:v>8000</c:v>
                      </c:pt>
                      <c:pt idx="140">
                        <c:v>10000</c:v>
                      </c:pt>
                      <c:pt idx="141">
                        <c:v>4000</c:v>
                      </c:pt>
                      <c:pt idx="142">
                        <c:v>0</c:v>
                      </c:pt>
                      <c:pt idx="143">
                        <c:v>6000</c:v>
                      </c:pt>
                      <c:pt idx="144">
                        <c:v>16000</c:v>
                      </c:pt>
                      <c:pt idx="145">
                        <c:v>6000</c:v>
                      </c:pt>
                      <c:pt idx="146">
                        <c:v>12000</c:v>
                      </c:pt>
                      <c:pt idx="147">
                        <c:v>8000</c:v>
                      </c:pt>
                      <c:pt idx="148">
                        <c:v>8000</c:v>
                      </c:pt>
                      <c:pt idx="149">
                        <c:v>16000</c:v>
                      </c:pt>
                      <c:pt idx="150">
                        <c:v>8000</c:v>
                      </c:pt>
                      <c:pt idx="151">
                        <c:v>12000</c:v>
                      </c:pt>
                      <c:pt idx="152">
                        <c:v>2000</c:v>
                      </c:pt>
                      <c:pt idx="153">
                        <c:v>6000</c:v>
                      </c:pt>
                      <c:pt idx="154">
                        <c:v>10000</c:v>
                      </c:pt>
                      <c:pt idx="155">
                        <c:v>4000</c:v>
                      </c:pt>
                      <c:pt idx="156">
                        <c:v>4000</c:v>
                      </c:pt>
                      <c:pt idx="157">
                        <c:v>4000</c:v>
                      </c:pt>
                      <c:pt idx="158">
                        <c:v>6000</c:v>
                      </c:pt>
                      <c:pt idx="159">
                        <c:v>4000</c:v>
                      </c:pt>
                      <c:pt idx="160">
                        <c:v>14000</c:v>
                      </c:pt>
                      <c:pt idx="161">
                        <c:v>10000</c:v>
                      </c:pt>
                      <c:pt idx="162">
                        <c:v>14000</c:v>
                      </c:pt>
                      <c:pt idx="163">
                        <c:v>4000</c:v>
                      </c:pt>
                      <c:pt idx="164">
                        <c:v>8000</c:v>
                      </c:pt>
                      <c:pt idx="165">
                        <c:v>10000</c:v>
                      </c:pt>
                      <c:pt idx="166">
                        <c:v>16000</c:v>
                      </c:pt>
                      <c:pt idx="167">
                        <c:v>6000</c:v>
                      </c:pt>
                      <c:pt idx="168">
                        <c:v>12000</c:v>
                      </c:pt>
                      <c:pt idx="169">
                        <c:v>6000</c:v>
                      </c:pt>
                      <c:pt idx="170">
                        <c:v>4000</c:v>
                      </c:pt>
                      <c:pt idx="171">
                        <c:v>4000</c:v>
                      </c:pt>
                      <c:pt idx="172">
                        <c:v>0</c:v>
                      </c:pt>
                      <c:pt idx="173">
                        <c:v>0</c:v>
                      </c:pt>
                      <c:pt idx="174">
                        <c:v>14000</c:v>
                      </c:pt>
                      <c:pt idx="175">
                        <c:v>4000</c:v>
                      </c:pt>
                      <c:pt idx="176">
                        <c:v>8000</c:v>
                      </c:pt>
                      <c:pt idx="177">
                        <c:v>8000</c:v>
                      </c:pt>
                      <c:pt idx="178">
                        <c:v>8000</c:v>
                      </c:pt>
                      <c:pt idx="179">
                        <c:v>22000</c:v>
                      </c:pt>
                      <c:pt idx="180">
                        <c:v>8000</c:v>
                      </c:pt>
                      <c:pt idx="181">
                        <c:v>6000</c:v>
                      </c:pt>
                      <c:pt idx="182">
                        <c:v>16000</c:v>
                      </c:pt>
                      <c:pt idx="183">
                        <c:v>4000</c:v>
                      </c:pt>
                      <c:pt idx="184">
                        <c:v>8000</c:v>
                      </c:pt>
                      <c:pt idx="185">
                        <c:v>12000</c:v>
                      </c:pt>
                      <c:pt idx="186">
                        <c:v>8000</c:v>
                      </c:pt>
                      <c:pt idx="187">
                        <c:v>18000</c:v>
                      </c:pt>
                      <c:pt idx="188">
                        <c:v>2000</c:v>
                      </c:pt>
                      <c:pt idx="189">
                        <c:v>10000</c:v>
                      </c:pt>
                      <c:pt idx="190">
                        <c:v>18000</c:v>
                      </c:pt>
                      <c:pt idx="191">
                        <c:v>8000</c:v>
                      </c:pt>
                      <c:pt idx="192">
                        <c:v>22000</c:v>
                      </c:pt>
                      <c:pt idx="193">
                        <c:v>4000</c:v>
                      </c:pt>
                      <c:pt idx="194">
                        <c:v>4000</c:v>
                      </c:pt>
                      <c:pt idx="195">
                        <c:v>10000</c:v>
                      </c:pt>
                      <c:pt idx="196">
                        <c:v>2000</c:v>
                      </c:pt>
                      <c:pt idx="197">
                        <c:v>14000</c:v>
                      </c:pt>
                      <c:pt idx="198">
                        <c:v>4000</c:v>
                      </c:pt>
                      <c:pt idx="199">
                        <c:v>10000</c:v>
                      </c:pt>
                      <c:pt idx="200">
                        <c:v>12000</c:v>
                      </c:pt>
                      <c:pt idx="201">
                        <c:v>14000</c:v>
                      </c:pt>
                      <c:pt idx="202">
                        <c:v>6000</c:v>
                      </c:pt>
                      <c:pt idx="203">
                        <c:v>10000</c:v>
                      </c:pt>
                      <c:pt idx="204">
                        <c:v>4000</c:v>
                      </c:pt>
                      <c:pt idx="205">
                        <c:v>24000</c:v>
                      </c:pt>
                      <c:pt idx="206">
                        <c:v>10000</c:v>
                      </c:pt>
                      <c:pt idx="207">
                        <c:v>4000</c:v>
                      </c:pt>
                      <c:pt idx="208">
                        <c:v>8000</c:v>
                      </c:pt>
                      <c:pt idx="209">
                        <c:v>28000</c:v>
                      </c:pt>
                      <c:pt idx="210">
                        <c:v>6000</c:v>
                      </c:pt>
                      <c:pt idx="211">
                        <c:v>6000</c:v>
                      </c:pt>
                      <c:pt idx="212">
                        <c:v>2000</c:v>
                      </c:pt>
                      <c:pt idx="213">
                        <c:v>4000</c:v>
                      </c:pt>
                      <c:pt idx="214">
                        <c:v>4000</c:v>
                      </c:pt>
                      <c:pt idx="215">
                        <c:v>6000</c:v>
                      </c:pt>
                      <c:pt idx="216">
                        <c:v>2000</c:v>
                      </c:pt>
                      <c:pt idx="217">
                        <c:v>6000</c:v>
                      </c:pt>
                      <c:pt idx="218">
                        <c:v>20000</c:v>
                      </c:pt>
                      <c:pt idx="219">
                        <c:v>12000</c:v>
                      </c:pt>
                      <c:pt idx="220">
                        <c:v>14000</c:v>
                      </c:pt>
                      <c:pt idx="221">
                        <c:v>12000</c:v>
                      </c:pt>
                      <c:pt idx="222">
                        <c:v>10000</c:v>
                      </c:pt>
                      <c:pt idx="223">
                        <c:v>4000</c:v>
                      </c:pt>
                      <c:pt idx="224">
                        <c:v>8000</c:v>
                      </c:pt>
                      <c:pt idx="225">
                        <c:v>8000</c:v>
                      </c:pt>
                      <c:pt idx="226">
                        <c:v>12000</c:v>
                      </c:pt>
                      <c:pt idx="227">
                        <c:v>10000</c:v>
                      </c:pt>
                      <c:pt idx="228">
                        <c:v>6000</c:v>
                      </c:pt>
                      <c:pt idx="229">
                        <c:v>2000</c:v>
                      </c:pt>
                      <c:pt idx="230">
                        <c:v>6000</c:v>
                      </c:pt>
                      <c:pt idx="231">
                        <c:v>8000</c:v>
                      </c:pt>
                      <c:pt idx="232">
                        <c:v>2000</c:v>
                      </c:pt>
                      <c:pt idx="233">
                        <c:v>14000</c:v>
                      </c:pt>
                      <c:pt idx="234">
                        <c:v>6000</c:v>
                      </c:pt>
                      <c:pt idx="235">
                        <c:v>4000</c:v>
                      </c:pt>
                      <c:pt idx="236">
                        <c:v>8000</c:v>
                      </c:pt>
                    </c:numCache>
                  </c16:filteredLitCache>
                </c:ext>
              </c:extLst>
              <c:f/>
              <c:numCache>
                <c:formatCode>General</c:formatCode>
                <c:ptCount val="12"/>
                <c:pt idx="0">
                  <c:v>0</c:v>
                </c:pt>
                <c:pt idx="1">
                  <c:v>8000</c:v>
                </c:pt>
                <c:pt idx="2">
                  <c:v>10000</c:v>
                </c:pt>
                <c:pt idx="3">
                  <c:v>2000</c:v>
                </c:pt>
                <c:pt idx="4">
                  <c:v>6000</c:v>
                </c:pt>
                <c:pt idx="5">
                  <c:v>6000</c:v>
                </c:pt>
                <c:pt idx="6">
                  <c:v>14000</c:v>
                </c:pt>
                <c:pt idx="7">
                  <c:v>2000</c:v>
                </c:pt>
                <c:pt idx="8">
                  <c:v>0</c:v>
                </c:pt>
                <c:pt idx="9">
                  <c:v>4000</c:v>
                </c:pt>
                <c:pt idx="10">
                  <c:v>8000</c:v>
                </c:pt>
                <c:pt idx="11">
                  <c:v>14000</c:v>
                </c:pt>
              </c:numCache>
            </c:numRef>
          </c:val>
          <c:extLst>
            <c:ext xmlns:c16="http://schemas.microsoft.com/office/drawing/2014/chart" uri="{C3380CC4-5D6E-409C-BE32-E72D297353CC}">
              <c16:uniqueId val="{00000000-BF42-4E74-966D-4B7CFBB2284C}"/>
            </c:ext>
          </c:extLst>
        </c:ser>
        <c:dLbls>
          <c:dLblPos val="outEnd"/>
          <c:showLegendKey val="0"/>
          <c:showVal val="1"/>
          <c:showCatName val="0"/>
          <c:showSerName val="0"/>
          <c:showPercent val="0"/>
          <c:showBubbleSize val="0"/>
        </c:dLbls>
        <c:gapWidth val="219"/>
        <c:overlap val="-27"/>
        <c:axId val="1668661856"/>
        <c:axId val="1104038192"/>
      </c:barChart>
      <c:catAx>
        <c:axId val="16686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4038192"/>
        <c:crosses val="autoZero"/>
        <c:auto val="1"/>
        <c:lblAlgn val="ctr"/>
        <c:lblOffset val="100"/>
        <c:noMultiLvlLbl val="0"/>
      </c:catAx>
      <c:valAx>
        <c:axId val="110403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86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TABLES!PivotTable28</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Login Time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TABLES'!$E$27</c:f>
              <c:strCache>
                <c:ptCount val="1"/>
                <c:pt idx="0">
                  <c:v>Total</c:v>
                </c:pt>
              </c:strCache>
            </c:strRef>
          </c:tx>
          <c:spPr>
            <a:solidFill>
              <a:schemeClr val="accent1"/>
            </a:solidFill>
            <a:ln>
              <a:noFill/>
            </a:ln>
            <a:effectLst/>
          </c:spPr>
          <c:invertIfNegative val="0"/>
          <c:cat>
            <c:strRef>
              <c:f>'PIVOT TABLES'!$D$28:$D$30</c:f>
              <c:strCache>
                <c:ptCount val="2"/>
                <c:pt idx="0">
                  <c:v>Long Time Login</c:v>
                </c:pt>
                <c:pt idx="1">
                  <c:v>Short Time Login</c:v>
                </c:pt>
              </c:strCache>
            </c:strRef>
          </c:cat>
          <c:val>
            <c:numRef>
              <c:f>'PIVOT TABLES'!$E$28:$E$30</c:f>
              <c:numCache>
                <c:formatCode>General</c:formatCode>
                <c:ptCount val="2"/>
                <c:pt idx="0">
                  <c:v>345</c:v>
                </c:pt>
                <c:pt idx="1">
                  <c:v>655</c:v>
                </c:pt>
              </c:numCache>
            </c:numRef>
          </c:val>
          <c:extLst>
            <c:ext xmlns:c16="http://schemas.microsoft.com/office/drawing/2014/chart" uri="{C3380CC4-5D6E-409C-BE32-E72D297353CC}">
              <c16:uniqueId val="{00000000-C316-481C-B3F1-9A88FF8FC5A4}"/>
            </c:ext>
          </c:extLst>
        </c:ser>
        <c:dLbls>
          <c:showLegendKey val="0"/>
          <c:showVal val="0"/>
          <c:showCatName val="0"/>
          <c:showSerName val="0"/>
          <c:showPercent val="0"/>
          <c:showBubbleSize val="0"/>
        </c:dLbls>
        <c:gapWidth val="219"/>
        <c:overlap val="-27"/>
        <c:axId val="577701744"/>
        <c:axId val="1104039632"/>
      </c:barChart>
      <c:catAx>
        <c:axId val="5777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39632"/>
        <c:crosses val="autoZero"/>
        <c:auto val="1"/>
        <c:lblAlgn val="ctr"/>
        <c:lblOffset val="100"/>
        <c:noMultiLvlLbl val="0"/>
      </c:catAx>
      <c:valAx>
        <c:axId val="11040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77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Revenue </a:t>
            </a:r>
            <a:r>
              <a:rPr lang="en-IN" sz="1400" b="1" i="0" u="none" strike="noStrike" baseline="0">
                <a:solidFill>
                  <a:schemeClr val="tx1"/>
                </a:solidFill>
                <a:effectLst/>
              </a:rPr>
              <a:t>by</a:t>
            </a:r>
            <a:r>
              <a:rPr lang="en-IN" sz="1400" b="1" i="0" u="none" strike="noStrike" baseline="0">
                <a:effectLst/>
              </a:rPr>
              <a:t> Course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0167495080782"/>
          <c:y val="0.27474566298092629"/>
          <c:w val="0.84106761909902616"/>
          <c:h val="0.47418386732830053"/>
        </c:manualLayout>
      </c:layout>
      <c:barChart>
        <c:barDir val="col"/>
        <c:grouping val="stacked"/>
        <c:varyColors val="0"/>
        <c:ser>
          <c:idx val="0"/>
          <c:order val="0"/>
          <c:tx>
            <c:v>Series1</c:v>
          </c:tx>
          <c:spPr>
            <a:solidFill>
              <a:schemeClr val="accent4"/>
            </a:solidFill>
            <a:ln>
              <a:noFill/>
            </a:ln>
            <a:effectLst/>
          </c:spPr>
          <c:invertIfNegative val="0"/>
          <c:cat>
            <c:strLit>
              <c:ptCount val="8"/>
              <c:pt idx="0">
                <c:v>Advanced Excel</c:v>
              </c:pt>
              <c:pt idx="1">
                <c:v>Data Analytics</c:v>
              </c:pt>
              <c:pt idx="2">
                <c:v>Machine Learning</c:v>
              </c:pt>
              <c:pt idx="3">
                <c:v>Power BI</c:v>
              </c:pt>
              <c:pt idx="4">
                <c:v>Python</c:v>
              </c:pt>
              <c:pt idx="5">
                <c:v>SQL</c:v>
              </c:pt>
              <c:pt idx="6">
                <c:v>Statistics</c:v>
              </c:pt>
              <c:pt idx="7">
                <c:v>Tableau</c:v>
              </c:pt>
            </c:strLit>
          </c:cat>
          <c:val>
            <c:numLit>
              <c:formatCode>General</c:formatCode>
              <c:ptCount val="8"/>
              <c:pt idx="0">
                <c:v>2144000</c:v>
              </c:pt>
              <c:pt idx="1">
                <c:v>1772750</c:v>
              </c:pt>
              <c:pt idx="2">
                <c:v>1725820</c:v>
              </c:pt>
              <c:pt idx="3">
                <c:v>1912160</c:v>
              </c:pt>
              <c:pt idx="4">
                <c:v>1636560</c:v>
              </c:pt>
              <c:pt idx="5">
                <c:v>1904140</c:v>
              </c:pt>
              <c:pt idx="6">
                <c:v>1728000</c:v>
              </c:pt>
              <c:pt idx="7">
                <c:v>1773970</c:v>
              </c:pt>
            </c:numLit>
          </c:val>
          <c:extLst>
            <c:ext xmlns:c16="http://schemas.microsoft.com/office/drawing/2014/chart" uri="{C3380CC4-5D6E-409C-BE32-E72D297353CC}">
              <c16:uniqueId val="{00000000-A398-4014-BFAB-F77CE4A4491C}"/>
            </c:ext>
          </c:extLst>
        </c:ser>
        <c:dLbls>
          <c:showLegendKey val="0"/>
          <c:showVal val="0"/>
          <c:showCatName val="0"/>
          <c:showSerName val="0"/>
          <c:showPercent val="0"/>
          <c:showBubbleSize val="0"/>
        </c:dLbls>
        <c:gapWidth val="219"/>
        <c:overlap val="100"/>
        <c:axId val="1112611040"/>
        <c:axId val="1104043952"/>
      </c:barChart>
      <c:catAx>
        <c:axId val="11126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4043952"/>
        <c:crosses val="autoZero"/>
        <c:auto val="1"/>
        <c:lblAlgn val="ctr"/>
        <c:lblOffset val="100"/>
        <c:noMultiLvlLbl val="0"/>
      </c:catAx>
      <c:valAx>
        <c:axId val="110404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26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TABLES!PivotTable14</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Performance 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pivotFmt>
    </c:pivotFmts>
    <c:plotArea>
      <c:layout/>
      <c:pieChart>
        <c:varyColors val="1"/>
        <c:ser>
          <c:idx val="0"/>
          <c:order val="0"/>
          <c:tx>
            <c:strRef>
              <c:f>'PIVOT TABLES'!$E$18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F6-4976-A651-594E0552E68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F6-4976-A651-594E0552E68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F6-4976-A651-594E0552E68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BF6-4976-A651-594E0552E6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TABLES'!$D$19:$D$22</c:f>
              <c:strCache>
                <c:ptCount val="3"/>
                <c:pt idx="0">
                  <c:v>Average</c:v>
                </c:pt>
                <c:pt idx="1">
                  <c:v>Excellent</c:v>
                </c:pt>
                <c:pt idx="2">
                  <c:v>Good</c:v>
                </c:pt>
              </c:strCache>
            </c:strRef>
          </c:cat>
          <c:val>
            <c:numRef>
              <c:f>'PIVOT TABLES'!$E$19:$E$22</c:f>
              <c:numCache>
                <c:formatCode>General</c:formatCode>
                <c:ptCount val="3"/>
                <c:pt idx="0">
                  <c:v>216</c:v>
                </c:pt>
                <c:pt idx="1">
                  <c:v>177</c:v>
                </c:pt>
                <c:pt idx="2">
                  <c:v>229</c:v>
                </c:pt>
              </c:numCache>
            </c:numRef>
          </c:val>
          <c:extLst>
            <c:ext xmlns:c16="http://schemas.microsoft.com/office/drawing/2014/chart" uri="{C3380CC4-5D6E-409C-BE32-E72D297353CC}">
              <c16:uniqueId val="{00000008-EBF6-4976-A651-594E0552E689}"/>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Course Enrollment by Gender</a:t>
            </a:r>
          </a:p>
        </c:rich>
      </c:tx>
      <c:layout>
        <c:manualLayout>
          <c:xMode val="edge"/>
          <c:yMode val="edge"/>
          <c:x val="0.19188420760417471"/>
          <c:y val="1.90128868448787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6="http://schemas.microsoft.com/office/drawing/2014/chart" uri="{F5D05F6E-A05E-4728-AFD3-386EB277150F}">
                  <c16:filteredLitCache>
                    <c:strCache>
                      <c:ptCount val="3"/>
                      <c:pt idx="0">
                        <c:v>Female Advanced Excel</c:v>
                      </c:pt>
                      <c:pt idx="1">
                        <c:v>Female Data Analytics</c:v>
                      </c:pt>
                      <c:pt idx="2">
                        <c:v>Female Machine Learning</c:v>
                      </c:pt>
                    </c:strCache>
                  </c16:filteredLitCache>
                </c:ext>
              </c:extLst>
              <c:f/>
              <c:strCache>
                <c:ptCount val="3"/>
                <c:pt idx="0">
                  <c:v>Male Advanced Excel</c:v>
                </c:pt>
                <c:pt idx="1">
                  <c:v>Male Data Analytics</c:v>
                </c:pt>
                <c:pt idx="2">
                  <c:v>Male Machine Learning</c:v>
                </c:pt>
              </c:strCache>
            </c:strRef>
          </c:cat>
          <c:val>
            <c:numRef>
              <c:extLst>
                <c:ext xmlns:c16="http://schemas.microsoft.com/office/drawing/2014/chart" uri="{F5D05F6E-A05E-4728-AFD3-386EB277150F}">
                  <c16:filteredLitCache>
                    <c:numCache>
                      <c:formatCode>General</c:formatCode>
                      <c:ptCount val="3"/>
                      <c:pt idx="0">
                        <c:v>71</c:v>
                      </c:pt>
                      <c:pt idx="1">
                        <c:v>51</c:v>
                      </c:pt>
                      <c:pt idx="2">
                        <c:v>46</c:v>
                      </c:pt>
                    </c:numCache>
                  </c16:filteredLitCache>
                </c:ext>
              </c:extLst>
              <c:f/>
              <c:numCache>
                <c:formatCode>General</c:formatCode>
                <c:ptCount val="3"/>
                <c:pt idx="0">
                  <c:v>79</c:v>
                </c:pt>
                <c:pt idx="1">
                  <c:v>65</c:v>
                </c:pt>
                <c:pt idx="2">
                  <c:v>65</c:v>
                </c:pt>
              </c:numCache>
            </c:numRef>
          </c:val>
          <c:extLst>
            <c:ext xmlns:c16="http://schemas.microsoft.com/office/drawing/2014/chart" uri="{C3380CC4-5D6E-409C-BE32-E72D297353CC}">
              <c16:uniqueId val="{00000000-5767-4BBF-BC1E-CAA79235F609}"/>
            </c:ext>
          </c:extLst>
        </c:ser>
        <c:dLbls>
          <c:dLblPos val="inEnd"/>
          <c:showLegendKey val="0"/>
          <c:showVal val="1"/>
          <c:showCatName val="0"/>
          <c:showSerName val="0"/>
          <c:showPercent val="0"/>
          <c:showBubbleSize val="0"/>
        </c:dLbls>
        <c:gapWidth val="65"/>
        <c:axId val="577711024"/>
        <c:axId val="1104007952"/>
      </c:barChart>
      <c:catAx>
        <c:axId val="577711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4007952"/>
        <c:crosses val="autoZero"/>
        <c:auto val="1"/>
        <c:lblAlgn val="ctr"/>
        <c:lblOffset val="100"/>
        <c:noMultiLvlLbl val="0"/>
      </c:catAx>
      <c:valAx>
        <c:axId val="1104007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771102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Pending Balance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extLst>
                <c:ext xmlns:c16="http://schemas.microsoft.com/office/drawing/2014/chart" uri="{F5D05F6E-A05E-4728-AFD3-386EB277150F}">
                  <c16:filteredLitCache>
                    <c:strCache>
                      <c:ptCount val="225"/>
                      <c:pt idx="8">
                        <c:v>Aarthi Raman</c:v>
                      </c:pt>
                      <c:pt idx="9">
                        <c:v>Aarthi Reddy</c:v>
                      </c:pt>
                      <c:pt idx="10">
                        <c:v>Aarthi Sharma</c:v>
                      </c:pt>
                      <c:pt idx="11">
                        <c:v>Aarthi Singh</c:v>
                      </c:pt>
                      <c:pt idx="13">
                        <c:v>Ajay Babu</c:v>
                      </c:pt>
                      <c:pt idx="14">
                        <c:v>Ajay Devi</c:v>
                      </c:pt>
                      <c:pt idx="15">
                        <c:v>Ajay Iyer</c:v>
                      </c:pt>
                      <c:pt idx="16">
                        <c:v>Ajay Krishnan</c:v>
                      </c:pt>
                      <c:pt idx="17">
                        <c:v>Ajay Kumar</c:v>
                      </c:pt>
                      <c:pt idx="18">
                        <c:v>Ajay Lakshmi</c:v>
                      </c:pt>
                      <c:pt idx="19">
                        <c:v>Ajay Raj</c:v>
                      </c:pt>
                      <c:pt idx="20">
                        <c:v>Ajay Raman</c:v>
                      </c:pt>
                      <c:pt idx="21">
                        <c:v>Ajay Reddy</c:v>
                      </c:pt>
                      <c:pt idx="23">
                        <c:v>Ajay Singh</c:v>
                      </c:pt>
                      <c:pt idx="24">
                        <c:v>Akash Anand</c:v>
                      </c:pt>
                      <c:pt idx="25">
                        <c:v>Akash Babu</c:v>
                      </c:pt>
                      <c:pt idx="26">
                        <c:v>Akash Devi</c:v>
                      </c:pt>
                      <c:pt idx="27">
                        <c:v>Akash Iyer</c:v>
                      </c:pt>
                      <c:pt idx="28">
                        <c:v>Akash Krishnan</c:v>
                      </c:pt>
                      <c:pt idx="29">
                        <c:v>Akash Kumar</c:v>
                      </c:pt>
                      <c:pt idx="30">
                        <c:v>Akash Lakshmi</c:v>
                      </c:pt>
                      <c:pt idx="31">
                        <c:v>Akash Raj</c:v>
                      </c:pt>
                      <c:pt idx="32">
                        <c:v>Akash Raman</c:v>
                      </c:pt>
                      <c:pt idx="33">
                        <c:v>Akash Reddy</c:v>
                      </c:pt>
                      <c:pt idx="34">
                        <c:v>Akash Sharma</c:v>
                      </c:pt>
                      <c:pt idx="36">
                        <c:v>Anitha Anand</c:v>
                      </c:pt>
                      <c:pt idx="37">
                        <c:v>Anitha Babu</c:v>
                      </c:pt>
                      <c:pt idx="38">
                        <c:v>Anitha Devi</c:v>
                      </c:pt>
                      <c:pt idx="39">
                        <c:v>Anitha Krishnan</c:v>
                      </c:pt>
                      <c:pt idx="40">
                        <c:v>Anitha Kumar</c:v>
                      </c:pt>
                      <c:pt idx="41">
                        <c:v>Anitha Lakshmi</c:v>
                      </c:pt>
                      <c:pt idx="42">
                        <c:v>Anitha Raj</c:v>
                      </c:pt>
                      <c:pt idx="43">
                        <c:v>Anitha Raman</c:v>
                      </c:pt>
                      <c:pt idx="44">
                        <c:v>Anitha Reddy</c:v>
                      </c:pt>
                      <c:pt idx="45">
                        <c:v>Anitha Sharma</c:v>
                      </c:pt>
                      <c:pt idx="46">
                        <c:v>Anitha Singh</c:v>
                      </c:pt>
                      <c:pt idx="47">
                        <c:v>Arun Anand</c:v>
                      </c:pt>
                      <c:pt idx="48">
                        <c:v>Arun Babu</c:v>
                      </c:pt>
                      <c:pt idx="49">
                        <c:v>Arun Devi</c:v>
                      </c:pt>
                      <c:pt idx="50">
                        <c:v>Arun Iyer</c:v>
                      </c:pt>
                      <c:pt idx="51">
                        <c:v>Arun Krishnan</c:v>
                      </c:pt>
                      <c:pt idx="52">
                        <c:v>Arun Kumar</c:v>
                      </c:pt>
                      <c:pt idx="53">
                        <c:v>Arun Lakshmi</c:v>
                      </c:pt>
                      <c:pt idx="54">
                        <c:v>Arun Raj</c:v>
                      </c:pt>
                      <c:pt idx="55">
                        <c:v>Arun Raman</c:v>
                      </c:pt>
                      <c:pt idx="56">
                        <c:v>Arun Reddy</c:v>
                      </c:pt>
                      <c:pt idx="57">
                        <c:v>Arun Singh</c:v>
                      </c:pt>
                      <c:pt idx="58">
                        <c:v>Deepika Anand</c:v>
                      </c:pt>
                      <c:pt idx="59">
                        <c:v>Deepika Babu</c:v>
                      </c:pt>
                      <c:pt idx="60">
                        <c:v>Deepika Devi</c:v>
                      </c:pt>
                      <c:pt idx="61">
                        <c:v>Deepika Iyer</c:v>
                      </c:pt>
                      <c:pt idx="62">
                        <c:v>Deepika Krishnan</c:v>
                      </c:pt>
                      <c:pt idx="63">
                        <c:v>Deepika Kumar</c:v>
                      </c:pt>
                      <c:pt idx="64">
                        <c:v>Deepika Lakshmi</c:v>
                      </c:pt>
                      <c:pt idx="65">
                        <c:v>Deepika Raman</c:v>
                      </c:pt>
                      <c:pt idx="66">
                        <c:v>Deepika Reddy</c:v>
                      </c:pt>
                      <c:pt idx="67">
                        <c:v>Deepika Sharma</c:v>
                      </c:pt>
                      <c:pt idx="68">
                        <c:v>Deepika Singh</c:v>
                      </c:pt>
                      <c:pt idx="70">
                        <c:v>Divya Babu</c:v>
                      </c:pt>
                      <c:pt idx="71">
                        <c:v>Divya Devi</c:v>
                      </c:pt>
                      <c:pt idx="72">
                        <c:v>Divya Iyer</c:v>
                      </c:pt>
                      <c:pt idx="73">
                        <c:v>Divya Krishnan</c:v>
                      </c:pt>
                      <c:pt idx="74">
                        <c:v>Divya Kumar</c:v>
                      </c:pt>
                      <c:pt idx="75">
                        <c:v>Divya Lakshmi</c:v>
                      </c:pt>
                      <c:pt idx="76">
                        <c:v>Divya Raj</c:v>
                      </c:pt>
                      <c:pt idx="77">
                        <c:v>Divya Raman</c:v>
                      </c:pt>
                      <c:pt idx="78">
                        <c:v>Divya Reddy</c:v>
                      </c:pt>
                      <c:pt idx="79">
                        <c:v>Divya Sharma</c:v>
                      </c:pt>
                      <c:pt idx="80">
                        <c:v>Divya Singh</c:v>
                      </c:pt>
                      <c:pt idx="81">
                        <c:v>Harish Anand</c:v>
                      </c:pt>
                      <c:pt idx="82">
                        <c:v>Harish Babu</c:v>
                      </c:pt>
                      <c:pt idx="83">
                        <c:v>Harish Devi</c:v>
                      </c:pt>
                      <c:pt idx="84">
                        <c:v>Harish Iyer</c:v>
                      </c:pt>
                      <c:pt idx="85">
                        <c:v>Harish Krishnan</c:v>
                      </c:pt>
                      <c:pt idx="86">
                        <c:v>Harish Kumar</c:v>
                      </c:pt>
                      <c:pt idx="87">
                        <c:v>Harish Lakshmi</c:v>
                      </c:pt>
                      <c:pt idx="88">
                        <c:v>Harish Raj</c:v>
                      </c:pt>
                      <c:pt idx="89">
                        <c:v>Harish Raman</c:v>
                      </c:pt>
                      <c:pt idx="90">
                        <c:v>Harish Reddy</c:v>
                      </c:pt>
                      <c:pt idx="91">
                        <c:v>Harish Sharma</c:v>
                      </c:pt>
                      <c:pt idx="92">
                        <c:v>Harish Singh</c:v>
                      </c:pt>
                      <c:pt idx="93">
                        <c:v>Kavin Anand</c:v>
                      </c:pt>
                      <c:pt idx="94">
                        <c:v>Kavin Babu</c:v>
                      </c:pt>
                      <c:pt idx="95">
                        <c:v>Kavin Devi</c:v>
                      </c:pt>
                      <c:pt idx="96">
                        <c:v>Kavin Iyer</c:v>
                      </c:pt>
                      <c:pt idx="97">
                        <c:v>Kavin Krishnan</c:v>
                      </c:pt>
                      <c:pt idx="98">
                        <c:v>Kavin Kumar</c:v>
                      </c:pt>
                      <c:pt idx="99">
                        <c:v>Kavin Lakshmi</c:v>
                      </c:pt>
                      <c:pt idx="100">
                        <c:v>Kavin Raj</c:v>
                      </c:pt>
                      <c:pt idx="101">
                        <c:v>Kavin Raman</c:v>
                      </c:pt>
                      <c:pt idx="102">
                        <c:v>Kavin Reddy</c:v>
                      </c:pt>
                      <c:pt idx="103">
                        <c:v>Kavin Sharma</c:v>
                      </c:pt>
                      <c:pt idx="104">
                        <c:v>Kavin Singh</c:v>
                      </c:pt>
                      <c:pt idx="105">
                        <c:v>Keerthi Anand</c:v>
                      </c:pt>
                      <c:pt idx="106">
                        <c:v>Keerthi Babu</c:v>
                      </c:pt>
                      <c:pt idx="107">
                        <c:v>Keerthi Devi</c:v>
                      </c:pt>
                      <c:pt idx="108">
                        <c:v>Keerthi Iyer</c:v>
                      </c:pt>
                      <c:pt idx="109">
                        <c:v>Keerthi Krishnan</c:v>
                      </c:pt>
                      <c:pt idx="110">
                        <c:v>Keerthi Kumar</c:v>
                      </c:pt>
                      <c:pt idx="111">
                        <c:v>Keerthi Lakshmi</c:v>
                      </c:pt>
                      <c:pt idx="112">
                        <c:v>Keerthi Raj</c:v>
                      </c:pt>
                      <c:pt idx="113">
                        <c:v>Keerthi Raman</c:v>
                      </c:pt>
                      <c:pt idx="114">
                        <c:v>Keerthi Reddy</c:v>
                      </c:pt>
                      <c:pt idx="115">
                        <c:v>Keerthi Sharma</c:v>
                      </c:pt>
                      <c:pt idx="116">
                        <c:v>Keerthi Singh</c:v>
                      </c:pt>
                      <c:pt idx="117">
                        <c:v>Lavanya Anand</c:v>
                      </c:pt>
                      <c:pt idx="118">
                        <c:v>Lavanya Babu</c:v>
                      </c:pt>
                      <c:pt idx="119">
                        <c:v>Lavanya Devi</c:v>
                      </c:pt>
                      <c:pt idx="120">
                        <c:v>Lavanya Iyer</c:v>
                      </c:pt>
                      <c:pt idx="121">
                        <c:v>Lavanya Krishnan</c:v>
                      </c:pt>
                      <c:pt idx="122">
                        <c:v>Lavanya Kumar</c:v>
                      </c:pt>
                      <c:pt idx="123">
                        <c:v>Lavanya Lakshmi</c:v>
                      </c:pt>
                      <c:pt idx="124">
                        <c:v>Lavanya Raj</c:v>
                      </c:pt>
                      <c:pt idx="125">
                        <c:v>Lavanya Raman</c:v>
                      </c:pt>
                      <c:pt idx="126">
                        <c:v>Lavanya Reddy</c:v>
                      </c:pt>
                      <c:pt idx="127">
                        <c:v>Lavanya Sharma</c:v>
                      </c:pt>
                      <c:pt idx="128">
                        <c:v>Lavanya Singh</c:v>
                      </c:pt>
                      <c:pt idx="129">
                        <c:v>Meena Anand</c:v>
                      </c:pt>
                      <c:pt idx="130">
                        <c:v>Meena Babu</c:v>
                      </c:pt>
                      <c:pt idx="131">
                        <c:v>Meena Devi</c:v>
                      </c:pt>
                      <c:pt idx="132">
                        <c:v>Meena Iyer</c:v>
                      </c:pt>
                      <c:pt idx="133">
                        <c:v>Meena Krishnan</c:v>
                      </c:pt>
                      <c:pt idx="134">
                        <c:v>Meena Kumar</c:v>
                      </c:pt>
                      <c:pt idx="135">
                        <c:v>Meena Lakshmi</c:v>
                      </c:pt>
                      <c:pt idx="136">
                        <c:v>Meena Raj</c:v>
                      </c:pt>
                      <c:pt idx="137">
                        <c:v>Meena Raman</c:v>
                      </c:pt>
                      <c:pt idx="138">
                        <c:v>Meena Reddy</c:v>
                      </c:pt>
                      <c:pt idx="139">
                        <c:v>Meena Sharma</c:v>
                      </c:pt>
                      <c:pt idx="140">
                        <c:v>Meena Singh</c:v>
                      </c:pt>
                      <c:pt idx="141">
                        <c:v>Nisha Anand</c:v>
                      </c:pt>
                      <c:pt idx="142">
                        <c:v>Nisha Babu</c:v>
                      </c:pt>
                      <c:pt idx="143">
                        <c:v>Nisha Devi</c:v>
                      </c:pt>
                      <c:pt idx="144">
                        <c:v>Nisha Iyer</c:v>
                      </c:pt>
                      <c:pt idx="145">
                        <c:v>Nisha Krishnan</c:v>
                      </c:pt>
                      <c:pt idx="146">
                        <c:v>Nisha Kumar</c:v>
                      </c:pt>
                      <c:pt idx="147">
                        <c:v>Nisha Lakshmi</c:v>
                      </c:pt>
                      <c:pt idx="148">
                        <c:v>Nisha Raj</c:v>
                      </c:pt>
                      <c:pt idx="149">
                        <c:v>Nisha Raman</c:v>
                      </c:pt>
                      <c:pt idx="150">
                        <c:v>Nisha Reddy</c:v>
                      </c:pt>
                      <c:pt idx="151">
                        <c:v>Nisha Sharma</c:v>
                      </c:pt>
                      <c:pt idx="152">
                        <c:v>Nisha Singh</c:v>
                      </c:pt>
                      <c:pt idx="153">
                        <c:v>Priya Anand</c:v>
                      </c:pt>
                      <c:pt idx="154">
                        <c:v>Priya Babu</c:v>
                      </c:pt>
                      <c:pt idx="155">
                        <c:v>Priya Devi</c:v>
                      </c:pt>
                      <c:pt idx="156">
                        <c:v>Priya Iyer</c:v>
                      </c:pt>
                      <c:pt idx="157">
                        <c:v>Priya Krishnan</c:v>
                      </c:pt>
                      <c:pt idx="158">
                        <c:v>Priya Kumar</c:v>
                      </c:pt>
                      <c:pt idx="159">
                        <c:v>Priya Lakshmi</c:v>
                      </c:pt>
                      <c:pt idx="160">
                        <c:v>Priya Raj</c:v>
                      </c:pt>
                      <c:pt idx="161">
                        <c:v>Priya Raman</c:v>
                      </c:pt>
                      <c:pt idx="162">
                        <c:v>Priya Reddy</c:v>
                      </c:pt>
                      <c:pt idx="163">
                        <c:v>Priya Sharma</c:v>
                      </c:pt>
                      <c:pt idx="164">
                        <c:v>Priya Singh</c:v>
                      </c:pt>
                      <c:pt idx="165">
                        <c:v>Rahul Anand</c:v>
                      </c:pt>
                      <c:pt idx="166">
                        <c:v>Rahul Babu</c:v>
                      </c:pt>
                      <c:pt idx="167">
                        <c:v>Rahul Devi</c:v>
                      </c:pt>
                      <c:pt idx="168">
                        <c:v>Rahul Iyer</c:v>
                      </c:pt>
                      <c:pt idx="169">
                        <c:v>Rahul Krishnan</c:v>
                      </c:pt>
                      <c:pt idx="170">
                        <c:v>Rahul Kumar</c:v>
                      </c:pt>
                      <c:pt idx="171">
                        <c:v>Rahul Lakshmi</c:v>
                      </c:pt>
                      <c:pt idx="172">
                        <c:v>Rahul Raj</c:v>
                      </c:pt>
                      <c:pt idx="173">
                        <c:v>Rahul Raman</c:v>
                      </c:pt>
                      <c:pt idx="174">
                        <c:v>Rahul Reddy</c:v>
                      </c:pt>
                      <c:pt idx="175">
                        <c:v>Rahul Sharma</c:v>
                      </c:pt>
                      <c:pt idx="176">
                        <c:v>Rahul Singh</c:v>
                      </c:pt>
                      <c:pt idx="177">
                        <c:v>Rohit Anand</c:v>
                      </c:pt>
                      <c:pt idx="178">
                        <c:v>Rohit Babu</c:v>
                      </c:pt>
                      <c:pt idx="179">
                        <c:v>Rohit Devi</c:v>
                      </c:pt>
                      <c:pt idx="180">
                        <c:v>Rohit Iyer</c:v>
                      </c:pt>
                      <c:pt idx="181">
                        <c:v>Rohit Krishnan</c:v>
                      </c:pt>
                      <c:pt idx="182">
                        <c:v>Rohit Kumar</c:v>
                      </c:pt>
                      <c:pt idx="183">
                        <c:v>Rohit Lakshmi</c:v>
                      </c:pt>
                      <c:pt idx="184">
                        <c:v>Rohit Raj</c:v>
                      </c:pt>
                      <c:pt idx="185">
                        <c:v>Rohit Raman</c:v>
                      </c:pt>
                      <c:pt idx="186">
                        <c:v>Rohit Reddy</c:v>
                      </c:pt>
                      <c:pt idx="187">
                        <c:v>Rohit Sharma</c:v>
                      </c:pt>
                      <c:pt idx="188">
                        <c:v>Rohit Singh</c:v>
                      </c:pt>
                      <c:pt idx="189">
                        <c:v>Sneha Anand</c:v>
                      </c:pt>
                      <c:pt idx="190">
                        <c:v>Sneha Babu</c:v>
                      </c:pt>
                      <c:pt idx="191">
                        <c:v>Sneha Devi</c:v>
                      </c:pt>
                      <c:pt idx="192">
                        <c:v>Sneha Iyer</c:v>
                      </c:pt>
                      <c:pt idx="193">
                        <c:v>Sneha Krishnan</c:v>
                      </c:pt>
                      <c:pt idx="194">
                        <c:v>Sneha Kumar</c:v>
                      </c:pt>
                      <c:pt idx="195">
                        <c:v>Sneha Lakshmi</c:v>
                      </c:pt>
                      <c:pt idx="196">
                        <c:v>Sneha Raj</c:v>
                      </c:pt>
                      <c:pt idx="197">
                        <c:v>Sneha Raman</c:v>
                      </c:pt>
                      <c:pt idx="198">
                        <c:v>Sneha Reddy</c:v>
                      </c:pt>
                      <c:pt idx="199">
                        <c:v>Sneha Sharma</c:v>
                      </c:pt>
                      <c:pt idx="200">
                        <c:v>Sneha Singh</c:v>
                      </c:pt>
                      <c:pt idx="201">
                        <c:v>Surya Anand</c:v>
                      </c:pt>
                      <c:pt idx="202">
                        <c:v>Surya Babu</c:v>
                      </c:pt>
                      <c:pt idx="203">
                        <c:v>Surya Devi</c:v>
                      </c:pt>
                      <c:pt idx="204">
                        <c:v>Surya Iyer</c:v>
                      </c:pt>
                      <c:pt idx="205">
                        <c:v>Surya Krishnan</c:v>
                      </c:pt>
                      <c:pt idx="206">
                        <c:v>Surya Kumar</c:v>
                      </c:pt>
                      <c:pt idx="207">
                        <c:v>Surya Lakshmi</c:v>
                      </c:pt>
                      <c:pt idx="208">
                        <c:v>Surya Raj</c:v>
                      </c:pt>
                      <c:pt idx="209">
                        <c:v>Surya Raman</c:v>
                      </c:pt>
                      <c:pt idx="210">
                        <c:v>Surya Reddy</c:v>
                      </c:pt>
                      <c:pt idx="211">
                        <c:v>Surya Sharma</c:v>
                      </c:pt>
                      <c:pt idx="212">
                        <c:v>Surya Singh</c:v>
                      </c:pt>
                      <c:pt idx="213">
                        <c:v>Vignesh Anand</c:v>
                      </c:pt>
                      <c:pt idx="214">
                        <c:v>Vignesh Babu</c:v>
                      </c:pt>
                      <c:pt idx="215">
                        <c:v>Vignesh Devi</c:v>
                      </c:pt>
                      <c:pt idx="216">
                        <c:v>Vignesh Iyer</c:v>
                      </c:pt>
                      <c:pt idx="217">
                        <c:v>Vignesh Krishnan</c:v>
                      </c:pt>
                      <c:pt idx="218">
                        <c:v>Vignesh Kumar</c:v>
                      </c:pt>
                      <c:pt idx="219">
                        <c:v>Vignesh Lakshmi</c:v>
                      </c:pt>
                      <c:pt idx="220">
                        <c:v>Vignesh Raj</c:v>
                      </c:pt>
                      <c:pt idx="221">
                        <c:v>Vignesh Raman</c:v>
                      </c:pt>
                      <c:pt idx="222">
                        <c:v>Vignesh Reddy</c:v>
                      </c:pt>
                      <c:pt idx="223">
                        <c:v>Vignesh Sharma</c:v>
                      </c:pt>
                      <c:pt idx="224">
                        <c:v>Vignesh Singh</c:v>
                      </c:pt>
                      <c:pt idx="225">
                        <c:v>Vimal Anand</c:v>
                      </c:pt>
                      <c:pt idx="226">
                        <c:v>Vimal Babu</c:v>
                      </c:pt>
                      <c:pt idx="227">
                        <c:v>Vimal Devi</c:v>
                      </c:pt>
                      <c:pt idx="228">
                        <c:v>Vimal Iyer</c:v>
                      </c:pt>
                      <c:pt idx="229">
                        <c:v>Vimal Krishnan</c:v>
                      </c:pt>
                      <c:pt idx="230">
                        <c:v>Vimal Kumar</c:v>
                      </c:pt>
                      <c:pt idx="231">
                        <c:v>Vimal Lakshmi</c:v>
                      </c:pt>
                      <c:pt idx="232">
                        <c:v>Vimal Raj</c:v>
                      </c:pt>
                      <c:pt idx="233">
                        <c:v>Vimal Raman</c:v>
                      </c:pt>
                      <c:pt idx="234">
                        <c:v>Vimal Reddy</c:v>
                      </c:pt>
                      <c:pt idx="235">
                        <c:v>Vimal Sharma</c:v>
                      </c:pt>
                      <c:pt idx="236">
                        <c:v>Vimal Singh</c:v>
                      </c:pt>
                    </c:strCache>
                  </c16:filteredLitCache>
                </c:ext>
              </c:extLst>
              <c:f/>
              <c:strCache>
                <c:ptCount val="12"/>
                <c:pt idx="0">
                  <c:v>Aarthi Anand</c:v>
                </c:pt>
                <c:pt idx="1">
                  <c:v>Aarthi Babu</c:v>
                </c:pt>
                <c:pt idx="2">
                  <c:v>Aarthi Devi</c:v>
                </c:pt>
                <c:pt idx="3">
                  <c:v>Aarthi Iyer</c:v>
                </c:pt>
                <c:pt idx="4">
                  <c:v>Aarthi Krishnan</c:v>
                </c:pt>
                <c:pt idx="5">
                  <c:v>Aarthi Kumar</c:v>
                </c:pt>
                <c:pt idx="6">
                  <c:v>Aarthi Lakshmi</c:v>
                </c:pt>
                <c:pt idx="7">
                  <c:v>Aarthi Raj</c:v>
                </c:pt>
                <c:pt idx="8">
                  <c:v>Ajay Anand</c:v>
                </c:pt>
                <c:pt idx="9">
                  <c:v>Ajay Sharma</c:v>
                </c:pt>
                <c:pt idx="10">
                  <c:v>Akash Singh</c:v>
                </c:pt>
                <c:pt idx="11">
                  <c:v>Divya Anand</c:v>
                </c:pt>
              </c:strCache>
            </c:strRef>
          </c:cat>
          <c:val>
            <c:numRef>
              <c:extLst>
                <c:ext xmlns:c16="http://schemas.microsoft.com/office/drawing/2014/chart" uri="{F5D05F6E-A05E-4728-AFD3-386EB277150F}">
                  <c16:filteredLitCache>
                    <c:numCache>
                      <c:formatCode>General</c:formatCode>
                      <c:ptCount val="225"/>
                      <c:pt idx="8">
                        <c:v>12000</c:v>
                      </c:pt>
                      <c:pt idx="9">
                        <c:v>8000</c:v>
                      </c:pt>
                      <c:pt idx="10">
                        <c:v>14000</c:v>
                      </c:pt>
                      <c:pt idx="11">
                        <c:v>4000</c:v>
                      </c:pt>
                      <c:pt idx="13">
                        <c:v>4000</c:v>
                      </c:pt>
                      <c:pt idx="14">
                        <c:v>10000</c:v>
                      </c:pt>
                      <c:pt idx="15">
                        <c:v>10000</c:v>
                      </c:pt>
                      <c:pt idx="16">
                        <c:v>18000</c:v>
                      </c:pt>
                      <c:pt idx="17">
                        <c:v>8000</c:v>
                      </c:pt>
                      <c:pt idx="18">
                        <c:v>16000</c:v>
                      </c:pt>
                      <c:pt idx="19">
                        <c:v>6000</c:v>
                      </c:pt>
                      <c:pt idx="20">
                        <c:v>2000</c:v>
                      </c:pt>
                      <c:pt idx="21">
                        <c:v>8000</c:v>
                      </c:pt>
                      <c:pt idx="23">
                        <c:v>4000</c:v>
                      </c:pt>
                      <c:pt idx="24">
                        <c:v>0</c:v>
                      </c:pt>
                      <c:pt idx="25">
                        <c:v>18000</c:v>
                      </c:pt>
                      <c:pt idx="26">
                        <c:v>6000</c:v>
                      </c:pt>
                      <c:pt idx="27">
                        <c:v>12000</c:v>
                      </c:pt>
                      <c:pt idx="28">
                        <c:v>10000</c:v>
                      </c:pt>
                      <c:pt idx="29">
                        <c:v>20000</c:v>
                      </c:pt>
                      <c:pt idx="30">
                        <c:v>2000</c:v>
                      </c:pt>
                      <c:pt idx="31">
                        <c:v>4000</c:v>
                      </c:pt>
                      <c:pt idx="32">
                        <c:v>4000</c:v>
                      </c:pt>
                      <c:pt idx="33">
                        <c:v>6000</c:v>
                      </c:pt>
                      <c:pt idx="34">
                        <c:v>0</c:v>
                      </c:pt>
                      <c:pt idx="36">
                        <c:v>14000</c:v>
                      </c:pt>
                      <c:pt idx="37">
                        <c:v>4000</c:v>
                      </c:pt>
                      <c:pt idx="38">
                        <c:v>6000</c:v>
                      </c:pt>
                      <c:pt idx="39">
                        <c:v>8000</c:v>
                      </c:pt>
                      <c:pt idx="40">
                        <c:v>18000</c:v>
                      </c:pt>
                      <c:pt idx="41">
                        <c:v>8000</c:v>
                      </c:pt>
                      <c:pt idx="42">
                        <c:v>26000</c:v>
                      </c:pt>
                      <c:pt idx="43">
                        <c:v>6000</c:v>
                      </c:pt>
                      <c:pt idx="44">
                        <c:v>2000</c:v>
                      </c:pt>
                      <c:pt idx="45">
                        <c:v>8000</c:v>
                      </c:pt>
                      <c:pt idx="46">
                        <c:v>10000</c:v>
                      </c:pt>
                      <c:pt idx="47">
                        <c:v>4000</c:v>
                      </c:pt>
                      <c:pt idx="48">
                        <c:v>26000</c:v>
                      </c:pt>
                      <c:pt idx="49">
                        <c:v>12000</c:v>
                      </c:pt>
                      <c:pt idx="50">
                        <c:v>8000</c:v>
                      </c:pt>
                      <c:pt idx="51">
                        <c:v>6000</c:v>
                      </c:pt>
                      <c:pt idx="52">
                        <c:v>12000</c:v>
                      </c:pt>
                      <c:pt idx="53">
                        <c:v>14000</c:v>
                      </c:pt>
                      <c:pt idx="54">
                        <c:v>14000</c:v>
                      </c:pt>
                      <c:pt idx="55">
                        <c:v>8000</c:v>
                      </c:pt>
                      <c:pt idx="56">
                        <c:v>8000</c:v>
                      </c:pt>
                      <c:pt idx="57">
                        <c:v>12000</c:v>
                      </c:pt>
                      <c:pt idx="58">
                        <c:v>12000</c:v>
                      </c:pt>
                      <c:pt idx="59">
                        <c:v>10000</c:v>
                      </c:pt>
                      <c:pt idx="60">
                        <c:v>14000</c:v>
                      </c:pt>
                      <c:pt idx="61">
                        <c:v>4000</c:v>
                      </c:pt>
                      <c:pt idx="62">
                        <c:v>6000</c:v>
                      </c:pt>
                      <c:pt idx="63">
                        <c:v>8000</c:v>
                      </c:pt>
                      <c:pt idx="64">
                        <c:v>16000</c:v>
                      </c:pt>
                      <c:pt idx="65">
                        <c:v>12000</c:v>
                      </c:pt>
                      <c:pt idx="66">
                        <c:v>18000</c:v>
                      </c:pt>
                      <c:pt idx="67">
                        <c:v>12000</c:v>
                      </c:pt>
                      <c:pt idx="68">
                        <c:v>8000</c:v>
                      </c:pt>
                      <c:pt idx="70">
                        <c:v>14000</c:v>
                      </c:pt>
                      <c:pt idx="71">
                        <c:v>2000</c:v>
                      </c:pt>
                      <c:pt idx="72">
                        <c:v>16000</c:v>
                      </c:pt>
                      <c:pt idx="73">
                        <c:v>2000</c:v>
                      </c:pt>
                      <c:pt idx="74">
                        <c:v>8000</c:v>
                      </c:pt>
                      <c:pt idx="75">
                        <c:v>10000</c:v>
                      </c:pt>
                      <c:pt idx="76">
                        <c:v>6000</c:v>
                      </c:pt>
                      <c:pt idx="77">
                        <c:v>6000</c:v>
                      </c:pt>
                      <c:pt idx="78">
                        <c:v>4000</c:v>
                      </c:pt>
                      <c:pt idx="79">
                        <c:v>6000</c:v>
                      </c:pt>
                      <c:pt idx="80">
                        <c:v>14000</c:v>
                      </c:pt>
                      <c:pt idx="81">
                        <c:v>8000</c:v>
                      </c:pt>
                      <c:pt idx="82">
                        <c:v>4000</c:v>
                      </c:pt>
                      <c:pt idx="83">
                        <c:v>6000</c:v>
                      </c:pt>
                      <c:pt idx="84">
                        <c:v>4000</c:v>
                      </c:pt>
                      <c:pt idx="85">
                        <c:v>16000</c:v>
                      </c:pt>
                      <c:pt idx="86">
                        <c:v>8000</c:v>
                      </c:pt>
                      <c:pt idx="87">
                        <c:v>4000</c:v>
                      </c:pt>
                      <c:pt idx="88">
                        <c:v>8000</c:v>
                      </c:pt>
                      <c:pt idx="89">
                        <c:v>18000</c:v>
                      </c:pt>
                      <c:pt idx="90">
                        <c:v>4000</c:v>
                      </c:pt>
                      <c:pt idx="91">
                        <c:v>4000</c:v>
                      </c:pt>
                      <c:pt idx="92">
                        <c:v>6000</c:v>
                      </c:pt>
                      <c:pt idx="93">
                        <c:v>12000</c:v>
                      </c:pt>
                      <c:pt idx="94">
                        <c:v>10000</c:v>
                      </c:pt>
                      <c:pt idx="95">
                        <c:v>10000</c:v>
                      </c:pt>
                      <c:pt idx="96">
                        <c:v>8000</c:v>
                      </c:pt>
                      <c:pt idx="97">
                        <c:v>8000</c:v>
                      </c:pt>
                      <c:pt idx="98">
                        <c:v>18000</c:v>
                      </c:pt>
                      <c:pt idx="99">
                        <c:v>10000</c:v>
                      </c:pt>
                      <c:pt idx="100">
                        <c:v>6000</c:v>
                      </c:pt>
                      <c:pt idx="101">
                        <c:v>6000</c:v>
                      </c:pt>
                      <c:pt idx="102">
                        <c:v>4000</c:v>
                      </c:pt>
                      <c:pt idx="103">
                        <c:v>12000</c:v>
                      </c:pt>
                      <c:pt idx="104">
                        <c:v>8000</c:v>
                      </c:pt>
                      <c:pt idx="105">
                        <c:v>6000</c:v>
                      </c:pt>
                      <c:pt idx="106">
                        <c:v>6000</c:v>
                      </c:pt>
                      <c:pt idx="107">
                        <c:v>4000</c:v>
                      </c:pt>
                      <c:pt idx="108">
                        <c:v>0</c:v>
                      </c:pt>
                      <c:pt idx="109">
                        <c:v>12000</c:v>
                      </c:pt>
                      <c:pt idx="110">
                        <c:v>2000</c:v>
                      </c:pt>
                      <c:pt idx="111">
                        <c:v>2000</c:v>
                      </c:pt>
                      <c:pt idx="112">
                        <c:v>8000</c:v>
                      </c:pt>
                      <c:pt idx="113">
                        <c:v>12000</c:v>
                      </c:pt>
                      <c:pt idx="114">
                        <c:v>10000</c:v>
                      </c:pt>
                      <c:pt idx="115">
                        <c:v>2000</c:v>
                      </c:pt>
                      <c:pt idx="116">
                        <c:v>8000</c:v>
                      </c:pt>
                      <c:pt idx="117">
                        <c:v>4000</c:v>
                      </c:pt>
                      <c:pt idx="118">
                        <c:v>2000</c:v>
                      </c:pt>
                      <c:pt idx="119">
                        <c:v>0</c:v>
                      </c:pt>
                      <c:pt idx="120">
                        <c:v>22000</c:v>
                      </c:pt>
                      <c:pt idx="121">
                        <c:v>10000</c:v>
                      </c:pt>
                      <c:pt idx="122">
                        <c:v>8000</c:v>
                      </c:pt>
                      <c:pt idx="123">
                        <c:v>8000</c:v>
                      </c:pt>
                      <c:pt idx="124">
                        <c:v>12000</c:v>
                      </c:pt>
                      <c:pt idx="125">
                        <c:v>16000</c:v>
                      </c:pt>
                      <c:pt idx="126">
                        <c:v>6000</c:v>
                      </c:pt>
                      <c:pt idx="127">
                        <c:v>8000</c:v>
                      </c:pt>
                      <c:pt idx="128">
                        <c:v>10000</c:v>
                      </c:pt>
                      <c:pt idx="129">
                        <c:v>0</c:v>
                      </c:pt>
                      <c:pt idx="130">
                        <c:v>16000</c:v>
                      </c:pt>
                      <c:pt idx="131">
                        <c:v>38000</c:v>
                      </c:pt>
                      <c:pt idx="132">
                        <c:v>20000</c:v>
                      </c:pt>
                      <c:pt idx="133">
                        <c:v>14000</c:v>
                      </c:pt>
                      <c:pt idx="134">
                        <c:v>12000</c:v>
                      </c:pt>
                      <c:pt idx="135">
                        <c:v>6000</c:v>
                      </c:pt>
                      <c:pt idx="136">
                        <c:v>14000</c:v>
                      </c:pt>
                      <c:pt idx="137">
                        <c:v>14000</c:v>
                      </c:pt>
                      <c:pt idx="138">
                        <c:v>4000</c:v>
                      </c:pt>
                      <c:pt idx="139">
                        <c:v>8000</c:v>
                      </c:pt>
                      <c:pt idx="140">
                        <c:v>10000</c:v>
                      </c:pt>
                      <c:pt idx="141">
                        <c:v>4000</c:v>
                      </c:pt>
                      <c:pt idx="142">
                        <c:v>0</c:v>
                      </c:pt>
                      <c:pt idx="143">
                        <c:v>6000</c:v>
                      </c:pt>
                      <c:pt idx="144">
                        <c:v>16000</c:v>
                      </c:pt>
                      <c:pt idx="145">
                        <c:v>6000</c:v>
                      </c:pt>
                      <c:pt idx="146">
                        <c:v>12000</c:v>
                      </c:pt>
                      <c:pt idx="147">
                        <c:v>8000</c:v>
                      </c:pt>
                      <c:pt idx="148">
                        <c:v>8000</c:v>
                      </c:pt>
                      <c:pt idx="149">
                        <c:v>16000</c:v>
                      </c:pt>
                      <c:pt idx="150">
                        <c:v>8000</c:v>
                      </c:pt>
                      <c:pt idx="151">
                        <c:v>12000</c:v>
                      </c:pt>
                      <c:pt idx="152">
                        <c:v>2000</c:v>
                      </c:pt>
                      <c:pt idx="153">
                        <c:v>6000</c:v>
                      </c:pt>
                      <c:pt idx="154">
                        <c:v>10000</c:v>
                      </c:pt>
                      <c:pt idx="155">
                        <c:v>4000</c:v>
                      </c:pt>
                      <c:pt idx="156">
                        <c:v>4000</c:v>
                      </c:pt>
                      <c:pt idx="157">
                        <c:v>4000</c:v>
                      </c:pt>
                      <c:pt idx="158">
                        <c:v>6000</c:v>
                      </c:pt>
                      <c:pt idx="159">
                        <c:v>4000</c:v>
                      </c:pt>
                      <c:pt idx="160">
                        <c:v>14000</c:v>
                      </c:pt>
                      <c:pt idx="161">
                        <c:v>10000</c:v>
                      </c:pt>
                      <c:pt idx="162">
                        <c:v>14000</c:v>
                      </c:pt>
                      <c:pt idx="163">
                        <c:v>4000</c:v>
                      </c:pt>
                      <c:pt idx="164">
                        <c:v>8000</c:v>
                      </c:pt>
                      <c:pt idx="165">
                        <c:v>10000</c:v>
                      </c:pt>
                      <c:pt idx="166">
                        <c:v>16000</c:v>
                      </c:pt>
                      <c:pt idx="167">
                        <c:v>6000</c:v>
                      </c:pt>
                      <c:pt idx="168">
                        <c:v>12000</c:v>
                      </c:pt>
                      <c:pt idx="169">
                        <c:v>6000</c:v>
                      </c:pt>
                      <c:pt idx="170">
                        <c:v>4000</c:v>
                      </c:pt>
                      <c:pt idx="171">
                        <c:v>4000</c:v>
                      </c:pt>
                      <c:pt idx="172">
                        <c:v>0</c:v>
                      </c:pt>
                      <c:pt idx="173">
                        <c:v>0</c:v>
                      </c:pt>
                      <c:pt idx="174">
                        <c:v>14000</c:v>
                      </c:pt>
                      <c:pt idx="175">
                        <c:v>4000</c:v>
                      </c:pt>
                      <c:pt idx="176">
                        <c:v>8000</c:v>
                      </c:pt>
                      <c:pt idx="177">
                        <c:v>8000</c:v>
                      </c:pt>
                      <c:pt idx="178">
                        <c:v>8000</c:v>
                      </c:pt>
                      <c:pt idx="179">
                        <c:v>22000</c:v>
                      </c:pt>
                      <c:pt idx="180">
                        <c:v>8000</c:v>
                      </c:pt>
                      <c:pt idx="181">
                        <c:v>6000</c:v>
                      </c:pt>
                      <c:pt idx="182">
                        <c:v>16000</c:v>
                      </c:pt>
                      <c:pt idx="183">
                        <c:v>4000</c:v>
                      </c:pt>
                      <c:pt idx="184">
                        <c:v>8000</c:v>
                      </c:pt>
                      <c:pt idx="185">
                        <c:v>12000</c:v>
                      </c:pt>
                      <c:pt idx="186">
                        <c:v>8000</c:v>
                      </c:pt>
                      <c:pt idx="187">
                        <c:v>18000</c:v>
                      </c:pt>
                      <c:pt idx="188">
                        <c:v>2000</c:v>
                      </c:pt>
                      <c:pt idx="189">
                        <c:v>10000</c:v>
                      </c:pt>
                      <c:pt idx="190">
                        <c:v>18000</c:v>
                      </c:pt>
                      <c:pt idx="191">
                        <c:v>8000</c:v>
                      </c:pt>
                      <c:pt idx="192">
                        <c:v>22000</c:v>
                      </c:pt>
                      <c:pt idx="193">
                        <c:v>4000</c:v>
                      </c:pt>
                      <c:pt idx="194">
                        <c:v>4000</c:v>
                      </c:pt>
                      <c:pt idx="195">
                        <c:v>10000</c:v>
                      </c:pt>
                      <c:pt idx="196">
                        <c:v>2000</c:v>
                      </c:pt>
                      <c:pt idx="197">
                        <c:v>14000</c:v>
                      </c:pt>
                      <c:pt idx="198">
                        <c:v>4000</c:v>
                      </c:pt>
                      <c:pt idx="199">
                        <c:v>10000</c:v>
                      </c:pt>
                      <c:pt idx="200">
                        <c:v>12000</c:v>
                      </c:pt>
                      <c:pt idx="201">
                        <c:v>14000</c:v>
                      </c:pt>
                      <c:pt idx="202">
                        <c:v>6000</c:v>
                      </c:pt>
                      <c:pt idx="203">
                        <c:v>10000</c:v>
                      </c:pt>
                      <c:pt idx="204">
                        <c:v>4000</c:v>
                      </c:pt>
                      <c:pt idx="205">
                        <c:v>24000</c:v>
                      </c:pt>
                      <c:pt idx="206">
                        <c:v>10000</c:v>
                      </c:pt>
                      <c:pt idx="207">
                        <c:v>4000</c:v>
                      </c:pt>
                      <c:pt idx="208">
                        <c:v>8000</c:v>
                      </c:pt>
                      <c:pt idx="209">
                        <c:v>28000</c:v>
                      </c:pt>
                      <c:pt idx="210">
                        <c:v>6000</c:v>
                      </c:pt>
                      <c:pt idx="211">
                        <c:v>6000</c:v>
                      </c:pt>
                      <c:pt idx="212">
                        <c:v>2000</c:v>
                      </c:pt>
                      <c:pt idx="213">
                        <c:v>4000</c:v>
                      </c:pt>
                      <c:pt idx="214">
                        <c:v>4000</c:v>
                      </c:pt>
                      <c:pt idx="215">
                        <c:v>6000</c:v>
                      </c:pt>
                      <c:pt idx="216">
                        <c:v>2000</c:v>
                      </c:pt>
                      <c:pt idx="217">
                        <c:v>6000</c:v>
                      </c:pt>
                      <c:pt idx="218">
                        <c:v>20000</c:v>
                      </c:pt>
                      <c:pt idx="219">
                        <c:v>12000</c:v>
                      </c:pt>
                      <c:pt idx="220">
                        <c:v>14000</c:v>
                      </c:pt>
                      <c:pt idx="221">
                        <c:v>12000</c:v>
                      </c:pt>
                      <c:pt idx="222">
                        <c:v>10000</c:v>
                      </c:pt>
                      <c:pt idx="223">
                        <c:v>4000</c:v>
                      </c:pt>
                      <c:pt idx="224">
                        <c:v>8000</c:v>
                      </c:pt>
                      <c:pt idx="225">
                        <c:v>8000</c:v>
                      </c:pt>
                      <c:pt idx="226">
                        <c:v>12000</c:v>
                      </c:pt>
                      <c:pt idx="227">
                        <c:v>10000</c:v>
                      </c:pt>
                      <c:pt idx="228">
                        <c:v>6000</c:v>
                      </c:pt>
                      <c:pt idx="229">
                        <c:v>2000</c:v>
                      </c:pt>
                      <c:pt idx="230">
                        <c:v>6000</c:v>
                      </c:pt>
                      <c:pt idx="231">
                        <c:v>8000</c:v>
                      </c:pt>
                      <c:pt idx="232">
                        <c:v>2000</c:v>
                      </c:pt>
                      <c:pt idx="233">
                        <c:v>14000</c:v>
                      </c:pt>
                      <c:pt idx="234">
                        <c:v>6000</c:v>
                      </c:pt>
                      <c:pt idx="235">
                        <c:v>4000</c:v>
                      </c:pt>
                      <c:pt idx="236">
                        <c:v>8000</c:v>
                      </c:pt>
                    </c:numCache>
                  </c16:filteredLitCache>
                </c:ext>
              </c:extLst>
              <c:f/>
              <c:numCache>
                <c:formatCode>General</c:formatCode>
                <c:ptCount val="12"/>
                <c:pt idx="0">
                  <c:v>0</c:v>
                </c:pt>
                <c:pt idx="1">
                  <c:v>8000</c:v>
                </c:pt>
                <c:pt idx="2">
                  <c:v>10000</c:v>
                </c:pt>
                <c:pt idx="3">
                  <c:v>2000</c:v>
                </c:pt>
                <c:pt idx="4">
                  <c:v>6000</c:v>
                </c:pt>
                <c:pt idx="5">
                  <c:v>6000</c:v>
                </c:pt>
                <c:pt idx="6">
                  <c:v>14000</c:v>
                </c:pt>
                <c:pt idx="7">
                  <c:v>2000</c:v>
                </c:pt>
                <c:pt idx="8">
                  <c:v>0</c:v>
                </c:pt>
                <c:pt idx="9">
                  <c:v>4000</c:v>
                </c:pt>
                <c:pt idx="10">
                  <c:v>8000</c:v>
                </c:pt>
                <c:pt idx="11">
                  <c:v>14000</c:v>
                </c:pt>
              </c:numCache>
            </c:numRef>
          </c:val>
          <c:extLst>
            <c:ext xmlns:c16="http://schemas.microsoft.com/office/drawing/2014/chart" uri="{C3380CC4-5D6E-409C-BE32-E72D297353CC}">
              <c16:uniqueId val="{00000000-AAC5-43E1-8535-7BF28DA55B15}"/>
            </c:ext>
          </c:extLst>
        </c:ser>
        <c:dLbls>
          <c:showLegendKey val="0"/>
          <c:showVal val="0"/>
          <c:showCatName val="0"/>
          <c:showSerName val="0"/>
          <c:showPercent val="0"/>
          <c:showBubbleSize val="0"/>
        </c:dLbls>
        <c:gapWidth val="75"/>
        <c:overlap val="-25"/>
        <c:axId val="1668661856"/>
        <c:axId val="1104038192"/>
      </c:barChart>
      <c:catAx>
        <c:axId val="16686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38192"/>
        <c:crosses val="autoZero"/>
        <c:auto val="1"/>
        <c:lblAlgn val="ctr"/>
        <c:lblOffset val="100"/>
        <c:noMultiLvlLbl val="0"/>
      </c:catAx>
      <c:valAx>
        <c:axId val="11040381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61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[Byju's Learning Analytics Dashboard.xlsx]PIVOT TABLES!PivotTable3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Course-wise Student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TABLES'!$D$6:$D$10</c:f>
              <c:strCache>
                <c:ptCount val="4"/>
                <c:pt idx="0">
                  <c:v>Advanced Excel</c:v>
                </c:pt>
                <c:pt idx="1">
                  <c:v>Data Analytics</c:v>
                </c:pt>
                <c:pt idx="2">
                  <c:v>Machine Learning</c:v>
                </c:pt>
                <c:pt idx="3">
                  <c:v>Power BI</c:v>
                </c:pt>
              </c:strCache>
            </c:strRef>
          </c:cat>
          <c:val>
            <c:numRef>
              <c:f>'PIVOT TABLES'!$E$6:$E$10</c:f>
              <c:numCache>
                <c:formatCode>General</c:formatCode>
                <c:ptCount val="4"/>
                <c:pt idx="0">
                  <c:v>150</c:v>
                </c:pt>
                <c:pt idx="1">
                  <c:v>116</c:v>
                </c:pt>
                <c:pt idx="2">
                  <c:v>111</c:v>
                </c:pt>
                <c:pt idx="3">
                  <c:v>125</c:v>
                </c:pt>
              </c:numCache>
            </c:numRef>
          </c:val>
          <c:extLst>
            <c:ext xmlns:c16="http://schemas.microsoft.com/office/drawing/2014/chart" uri="{C3380CC4-5D6E-409C-BE32-E72D297353CC}">
              <c16:uniqueId val="{00000000-4751-4056-A7BA-375D0591B911}"/>
            </c:ext>
          </c:extLst>
        </c:ser>
        <c:dLbls>
          <c:showLegendKey val="0"/>
          <c:showVal val="0"/>
          <c:showCatName val="0"/>
          <c:showSerName val="0"/>
          <c:showPercent val="0"/>
          <c:showBubbleSize val="0"/>
        </c:dLbls>
        <c:gapWidth val="150"/>
        <c:shape val="box"/>
        <c:axId val="1672780272"/>
        <c:axId val="1104030512"/>
        <c:axId val="0"/>
      </c:bar3DChart>
      <c:catAx>
        <c:axId val="167278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030512"/>
        <c:crosses val="autoZero"/>
        <c:auto val="1"/>
        <c:lblAlgn val="ctr"/>
        <c:lblOffset val="100"/>
        <c:noMultiLvlLbl val="0"/>
      </c:catAx>
      <c:valAx>
        <c:axId val="11040305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7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[Byju's Learning Analytics Dashboard.xlsx]PIVOT TABLES!PivotTable25</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Gender-wise Average Quiz Score</a:t>
            </a:r>
          </a:p>
        </c:rich>
      </c:tx>
      <c:overlay val="0"/>
      <c:spPr>
        <a:noFill/>
        <a:ln>
          <a:noFill/>
        </a:ln>
        <a:effectLst>
          <a:innerShdw blurRad="114300">
            <a:prstClr val="black"/>
          </a:inn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ctr"/>
          <c:showLegendKey val="1"/>
          <c:showVal val="1"/>
          <c:showCatName val="1"/>
          <c:showSerName val="0"/>
          <c:showPercent val="1"/>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dLbl>
          <c:idx val="0"/>
          <c:dLblPos val="ctr"/>
          <c:showLegendKey val="1"/>
          <c:showVal val="1"/>
          <c:showCatName val="1"/>
          <c:showSerName val="0"/>
          <c:showPercent val="1"/>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dLbl>
          <c:idx val="0"/>
          <c:dLblPos val="ctr"/>
          <c:showLegendKey val="1"/>
          <c:showVal val="1"/>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tint val="77000"/>
            </a:schemeClr>
          </a:solidFill>
          <a:ln>
            <a:noFill/>
          </a:ln>
          <a:effectLst>
            <a:outerShdw blurRad="254000" sx="102000" sy="102000" algn="ctr" rotWithShape="0">
              <a:prstClr val="black">
                <a:alpha val="20000"/>
              </a:prstClr>
            </a:outerShdw>
          </a:effectLst>
        </c:spPr>
      </c:pivotFmt>
      <c:pivotFmt>
        <c:idx val="27"/>
        <c:spPr>
          <a:solidFill>
            <a:schemeClr val="accent1">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TABLES'!$B$33</c:f>
              <c:strCache>
                <c:ptCount val="1"/>
                <c:pt idx="0">
                  <c:v>Total</c:v>
                </c:pt>
              </c:strCache>
            </c:strRef>
          </c:tx>
          <c:dPt>
            <c:idx val="0"/>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4E-4BE4-A396-E967D68F39F2}"/>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4E-4BE4-A396-E967D68F39F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TABLES'!$A$34:$A$35</c:f>
              <c:strCache>
                <c:ptCount val="2"/>
                <c:pt idx="0">
                  <c:v>Female</c:v>
                </c:pt>
                <c:pt idx="1">
                  <c:v>Male</c:v>
                </c:pt>
              </c:strCache>
            </c:strRef>
          </c:cat>
          <c:val>
            <c:numRef>
              <c:f>'PIVOT TABLES'!$B$34:$B$35</c:f>
              <c:numCache>
                <c:formatCode>General</c:formatCode>
                <c:ptCount val="2"/>
                <c:pt idx="0">
                  <c:v>100</c:v>
                </c:pt>
                <c:pt idx="1">
                  <c:v>100</c:v>
                </c:pt>
              </c:numCache>
            </c:numRef>
          </c:val>
          <c:extLst>
            <c:ext xmlns:c16="http://schemas.microsoft.com/office/drawing/2014/chart" uri="{C3380CC4-5D6E-409C-BE32-E72D297353CC}">
              <c16:uniqueId val="{00000004-874E-4BE4-A396-E967D68F39F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[Byju's Learning Analytics Dashboard.xlsx]PIVOT TABLES!PivotTable1</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City-wise Average quiz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TABLES'!$A$6:$A$8</c:f>
              <c:strCache>
                <c:ptCount val="2"/>
                <c:pt idx="0">
                  <c:v>Bengaluru</c:v>
                </c:pt>
                <c:pt idx="1">
                  <c:v>Coimbatore</c:v>
                </c:pt>
              </c:strCache>
            </c:strRef>
          </c:cat>
          <c:val>
            <c:numRef>
              <c:f>'PIVOT TABLES'!$B$6:$B$8</c:f>
              <c:numCache>
                <c:formatCode>General</c:formatCode>
                <c:ptCount val="2"/>
                <c:pt idx="0">
                  <c:v>66.463414634146346</c:v>
                </c:pt>
                <c:pt idx="1">
                  <c:v>71.901098901098905</c:v>
                </c:pt>
              </c:numCache>
            </c:numRef>
          </c:val>
          <c:extLst>
            <c:ext xmlns:c16="http://schemas.microsoft.com/office/drawing/2014/chart" uri="{C3380CC4-5D6E-409C-BE32-E72D297353CC}">
              <c16:uniqueId val="{00000000-8BC3-4D0D-ACA8-E9A51A34228A}"/>
            </c:ext>
          </c:extLst>
        </c:ser>
        <c:dLbls>
          <c:showLegendKey val="0"/>
          <c:showVal val="0"/>
          <c:showCatName val="0"/>
          <c:showSerName val="0"/>
          <c:showPercent val="0"/>
          <c:showBubbleSize val="0"/>
        </c:dLbls>
        <c:gapWidth val="100"/>
        <c:overlap val="-24"/>
        <c:axId val="577621008"/>
        <c:axId val="1104020432"/>
      </c:barChart>
      <c:catAx>
        <c:axId val="577621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20432"/>
        <c:crosses val="autoZero"/>
        <c:auto val="1"/>
        <c:lblAlgn val="ctr"/>
        <c:lblOffset val="100"/>
        <c:noMultiLvlLbl val="0"/>
      </c:catAx>
      <c:valAx>
        <c:axId val="11040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[Byju's Learning Analytics Dashboard.xlsx]PIVOT TABLES!PivotTable23</c:name>
    <c:fmtId val="2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Dropout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hade val="76000"/>
            </a:schemeClr>
          </a:solidFill>
          <a:ln>
            <a:noFill/>
          </a:ln>
          <a:effectLst>
            <a:outerShdw blurRad="317500" algn="ctr" rotWithShape="0">
              <a:prstClr val="black">
                <a:alpha val="25000"/>
              </a:prstClr>
            </a:outerShdw>
          </a:effectLst>
        </c:spPr>
      </c:pivotFmt>
      <c:pivotFmt>
        <c:idx val="14"/>
        <c:spPr>
          <a:solidFill>
            <a:schemeClr val="accent4">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TABLES'!$B$21</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C2-481A-96DD-97895C7B99AB}"/>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C2-481A-96DD-97895C7B99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TABLES'!$A$22:$A$24</c:f>
              <c:strCache>
                <c:ptCount val="2"/>
                <c:pt idx="0">
                  <c:v>No</c:v>
                </c:pt>
                <c:pt idx="1">
                  <c:v>Yes</c:v>
                </c:pt>
              </c:strCache>
            </c:strRef>
          </c:cat>
          <c:val>
            <c:numRef>
              <c:f>'PIVOT TABLES'!$B$22:$B$24</c:f>
              <c:numCache>
                <c:formatCode>General</c:formatCode>
                <c:ptCount val="2"/>
                <c:pt idx="0">
                  <c:v>942</c:v>
                </c:pt>
                <c:pt idx="1">
                  <c:v>58</c:v>
                </c:pt>
              </c:numCache>
            </c:numRef>
          </c:val>
          <c:extLst>
            <c:ext xmlns:c16="http://schemas.microsoft.com/office/drawing/2014/chart" uri="{C3380CC4-5D6E-409C-BE32-E72D297353CC}">
              <c16:uniqueId val="{00000004-DCC2-481A-96DD-97895C7B99A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dk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Course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Advanced Excel</c:v>
              </c:pt>
              <c:pt idx="1">
                <c:v>Data Analytics</c:v>
              </c:pt>
              <c:pt idx="2">
                <c:v>Machine Learning</c:v>
              </c:pt>
              <c:pt idx="3">
                <c:v>Power BI</c:v>
              </c:pt>
              <c:pt idx="4">
                <c:v>Python</c:v>
              </c:pt>
              <c:pt idx="5">
                <c:v>SQL</c:v>
              </c:pt>
              <c:pt idx="6">
                <c:v>Statistics</c:v>
              </c:pt>
              <c:pt idx="7">
                <c:v>Tableau</c:v>
              </c:pt>
            </c:strLit>
          </c:cat>
          <c:val>
            <c:numLit>
              <c:formatCode>General</c:formatCode>
              <c:ptCount val="8"/>
              <c:pt idx="0">
                <c:v>2144000</c:v>
              </c:pt>
              <c:pt idx="1">
                <c:v>1772750</c:v>
              </c:pt>
              <c:pt idx="2">
                <c:v>1725820</c:v>
              </c:pt>
              <c:pt idx="3">
                <c:v>1912160</c:v>
              </c:pt>
              <c:pt idx="4">
                <c:v>1636560</c:v>
              </c:pt>
              <c:pt idx="5">
                <c:v>1904140</c:v>
              </c:pt>
              <c:pt idx="6">
                <c:v>1728000</c:v>
              </c:pt>
              <c:pt idx="7">
                <c:v>1773970</c:v>
              </c:pt>
            </c:numLit>
          </c:val>
          <c:extLst>
            <c:ext xmlns:c16="http://schemas.microsoft.com/office/drawing/2014/chart" uri="{C3380CC4-5D6E-409C-BE32-E72D297353CC}">
              <c16:uniqueId val="{00000000-CC75-46FE-AA4D-812A847ECD55}"/>
            </c:ext>
          </c:extLst>
        </c:ser>
        <c:dLbls>
          <c:showLegendKey val="0"/>
          <c:showVal val="0"/>
          <c:showCatName val="0"/>
          <c:showSerName val="0"/>
          <c:showPercent val="0"/>
          <c:showBubbleSize val="0"/>
        </c:dLbls>
        <c:gapWidth val="55"/>
        <c:overlap val="100"/>
        <c:axId val="1112611040"/>
        <c:axId val="1104043952"/>
      </c:barChart>
      <c:catAx>
        <c:axId val="1112611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043952"/>
        <c:crosses val="autoZero"/>
        <c:auto val="1"/>
        <c:lblAlgn val="ctr"/>
        <c:lblOffset val="100"/>
        <c:noMultiLvlLbl val="0"/>
      </c:catAx>
      <c:valAx>
        <c:axId val="1104043952"/>
        <c:scaling>
          <c:orientation val="minMax"/>
        </c:scaling>
        <c:delete val="0"/>
        <c:axPos val="l"/>
        <c:majorGridlines>
          <c:spPr>
            <a:ln w="9525" cap="flat" cmpd="sng" algn="ctr">
              <a:solidFill>
                <a:schemeClr val="lt1">
                  <a:lumMod val="95000"/>
                  <a:alpha val="10000"/>
                </a:schemeClr>
              </a:solidFill>
              <a:round/>
            </a:ln>
            <a:effectLst>
              <a:innerShdw blurRad="63500" dist="50800" dir="16200000">
                <a:prstClr val="black">
                  <a:alpha val="50000"/>
                </a:prstClr>
              </a:inn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61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TABLES!PivotTable24</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Payment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TABLES'!$B$27</c:f>
              <c:strCache>
                <c:ptCount val="1"/>
                <c:pt idx="0">
                  <c:v>Total</c:v>
                </c:pt>
              </c:strCache>
            </c:strRef>
          </c:tx>
          <c:spPr>
            <a:solidFill>
              <a:schemeClr val="accent1"/>
            </a:solidFill>
            <a:ln>
              <a:noFill/>
            </a:ln>
            <a:effectLst/>
          </c:spPr>
          <c:invertIfNegative val="0"/>
          <c:cat>
            <c:strRef>
              <c:f>'PIVOT TABLES'!$A$28:$A$30</c:f>
              <c:strCache>
                <c:ptCount val="2"/>
                <c:pt idx="0">
                  <c:v>Paid</c:v>
                </c:pt>
                <c:pt idx="1">
                  <c:v>Pending</c:v>
                </c:pt>
              </c:strCache>
            </c:strRef>
          </c:cat>
          <c:val>
            <c:numRef>
              <c:f>'PIVOT TABLES'!$B$28:$B$30</c:f>
              <c:numCache>
                <c:formatCode>General</c:formatCode>
                <c:ptCount val="2"/>
                <c:pt idx="0">
                  <c:v>321</c:v>
                </c:pt>
                <c:pt idx="1">
                  <c:v>679</c:v>
                </c:pt>
              </c:numCache>
            </c:numRef>
          </c:val>
          <c:extLst>
            <c:ext xmlns:c16="http://schemas.microsoft.com/office/drawing/2014/chart" uri="{C3380CC4-5D6E-409C-BE32-E72D297353CC}">
              <c16:uniqueId val="{00000000-2431-4FD7-A896-7F7F38EDDE02}"/>
            </c:ext>
          </c:extLst>
        </c:ser>
        <c:dLbls>
          <c:showLegendKey val="0"/>
          <c:showVal val="0"/>
          <c:showCatName val="0"/>
          <c:showSerName val="0"/>
          <c:showPercent val="0"/>
          <c:showBubbleSize val="0"/>
        </c:dLbls>
        <c:gapWidth val="150"/>
        <c:overlap val="100"/>
        <c:axId val="1672843376"/>
        <c:axId val="1104010832"/>
      </c:barChart>
      <c:catAx>
        <c:axId val="167284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10832"/>
        <c:crosses val="autoZero"/>
        <c:auto val="1"/>
        <c:lblAlgn val="ctr"/>
        <c:lblOffset val="100"/>
        <c:noMultiLvlLbl val="0"/>
      </c:catAx>
      <c:valAx>
        <c:axId val="110401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4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 Dashboard.xlsx]PIVOT TABLES!PivotTable28</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Login Time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TABLES'!$E$27</c:f>
              <c:strCache>
                <c:ptCount val="1"/>
                <c:pt idx="0">
                  <c:v>Total</c:v>
                </c:pt>
              </c:strCache>
            </c:strRef>
          </c:tx>
          <c:spPr>
            <a:solidFill>
              <a:schemeClr val="accent1"/>
            </a:solidFill>
            <a:ln>
              <a:noFill/>
            </a:ln>
            <a:effectLst/>
          </c:spPr>
          <c:invertIfNegative val="0"/>
          <c:cat>
            <c:strRef>
              <c:f>'PIVOT TABLES'!$D$28:$D$30</c:f>
              <c:strCache>
                <c:ptCount val="2"/>
                <c:pt idx="0">
                  <c:v>Long Time Login</c:v>
                </c:pt>
                <c:pt idx="1">
                  <c:v>Short Time Login</c:v>
                </c:pt>
              </c:strCache>
            </c:strRef>
          </c:cat>
          <c:val>
            <c:numRef>
              <c:f>'PIVOT TABLES'!$E$28:$E$30</c:f>
              <c:numCache>
                <c:formatCode>General</c:formatCode>
                <c:ptCount val="2"/>
                <c:pt idx="0">
                  <c:v>345</c:v>
                </c:pt>
                <c:pt idx="1">
                  <c:v>655</c:v>
                </c:pt>
              </c:numCache>
            </c:numRef>
          </c:val>
          <c:extLst>
            <c:ext xmlns:c16="http://schemas.microsoft.com/office/drawing/2014/chart" uri="{C3380CC4-5D6E-409C-BE32-E72D297353CC}">
              <c16:uniqueId val="{00000000-13BE-430E-8FD6-CA3D3FA03CAB}"/>
            </c:ext>
          </c:extLst>
        </c:ser>
        <c:dLbls>
          <c:showLegendKey val="0"/>
          <c:showVal val="0"/>
          <c:showCatName val="0"/>
          <c:showSerName val="0"/>
          <c:showPercent val="0"/>
          <c:showBubbleSize val="0"/>
        </c:dLbls>
        <c:gapWidth val="219"/>
        <c:overlap val="-27"/>
        <c:axId val="577701744"/>
        <c:axId val="1104039632"/>
      </c:barChart>
      <c:catAx>
        <c:axId val="5777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39632"/>
        <c:crosses val="autoZero"/>
        <c:auto val="1"/>
        <c:lblAlgn val="ctr"/>
        <c:lblOffset val="100"/>
        <c:noMultiLvlLbl val="0"/>
      </c:catAx>
      <c:valAx>
        <c:axId val="11040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77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18.xml"/><Relationship Id="rId18" Type="http://schemas.openxmlformats.org/officeDocument/2006/relationships/image" Target="../media/image8.png"/><Relationship Id="rId26" Type="http://schemas.openxmlformats.org/officeDocument/2006/relationships/image" Target="../media/image16.png"/><Relationship Id="rId3" Type="http://schemas.openxmlformats.org/officeDocument/2006/relationships/chart" Target="../charts/chart12.xml"/><Relationship Id="rId21" Type="http://schemas.openxmlformats.org/officeDocument/2006/relationships/image" Target="../media/image11.svg"/><Relationship Id="rId7" Type="http://schemas.openxmlformats.org/officeDocument/2006/relationships/chart" Target="../charts/chart16.xml"/><Relationship Id="rId12" Type="http://schemas.openxmlformats.org/officeDocument/2006/relationships/chart" Target="../charts/chart17.xml"/><Relationship Id="rId17" Type="http://schemas.openxmlformats.org/officeDocument/2006/relationships/image" Target="../media/image7.svg"/><Relationship Id="rId25" Type="http://schemas.openxmlformats.org/officeDocument/2006/relationships/image" Target="../media/image15.svg"/><Relationship Id="rId33" Type="http://schemas.openxmlformats.org/officeDocument/2006/relationships/image" Target="../media/image23.emf"/><Relationship Id="rId2" Type="http://schemas.openxmlformats.org/officeDocument/2006/relationships/chart" Target="../charts/chart11.xml"/><Relationship Id="rId16" Type="http://schemas.openxmlformats.org/officeDocument/2006/relationships/image" Target="../media/image6.png"/><Relationship Id="rId20" Type="http://schemas.openxmlformats.org/officeDocument/2006/relationships/image" Target="../media/image10.png"/><Relationship Id="rId29" Type="http://schemas.openxmlformats.org/officeDocument/2006/relationships/image" Target="../media/image19.emf"/><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image" Target="../media/image5.svg"/><Relationship Id="rId24" Type="http://schemas.openxmlformats.org/officeDocument/2006/relationships/image" Target="../media/image14.png"/><Relationship Id="rId32" Type="http://schemas.openxmlformats.org/officeDocument/2006/relationships/image" Target="../media/image22.emf"/><Relationship Id="rId5" Type="http://schemas.openxmlformats.org/officeDocument/2006/relationships/chart" Target="../charts/chart14.xml"/><Relationship Id="rId15" Type="http://schemas.openxmlformats.org/officeDocument/2006/relationships/chart" Target="../charts/chart20.xml"/><Relationship Id="rId23" Type="http://schemas.openxmlformats.org/officeDocument/2006/relationships/image" Target="../media/image13.svg"/><Relationship Id="rId28" Type="http://schemas.openxmlformats.org/officeDocument/2006/relationships/image" Target="../media/image18.emf"/><Relationship Id="rId10" Type="http://schemas.openxmlformats.org/officeDocument/2006/relationships/image" Target="../media/image4.png"/><Relationship Id="rId19" Type="http://schemas.openxmlformats.org/officeDocument/2006/relationships/image" Target="../media/image9.svg"/><Relationship Id="rId31" Type="http://schemas.openxmlformats.org/officeDocument/2006/relationships/image" Target="../media/image21.emf"/><Relationship Id="rId4" Type="http://schemas.openxmlformats.org/officeDocument/2006/relationships/chart" Target="../charts/chart13.xml"/><Relationship Id="rId9" Type="http://schemas.openxmlformats.org/officeDocument/2006/relationships/image" Target="../media/image3.svg"/><Relationship Id="rId14" Type="http://schemas.openxmlformats.org/officeDocument/2006/relationships/chart" Target="../charts/chart19.xml"/><Relationship Id="rId22" Type="http://schemas.openxmlformats.org/officeDocument/2006/relationships/image" Target="../media/image12.png"/><Relationship Id="rId27" Type="http://schemas.openxmlformats.org/officeDocument/2006/relationships/image" Target="../media/image17.svg"/><Relationship Id="rId30" Type="http://schemas.openxmlformats.org/officeDocument/2006/relationships/image" Target="../media/image20.emf"/><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250798</xdr:colOff>
      <xdr:row>3</xdr:row>
      <xdr:rowOff>150411</xdr:rowOff>
    </xdr:from>
    <xdr:to>
      <xdr:col>11</xdr:col>
      <xdr:colOff>1425272</xdr:colOff>
      <xdr:row>17</xdr:row>
      <xdr:rowOff>130947</xdr:rowOff>
    </xdr:to>
    <mc:AlternateContent xmlns:mc="http://schemas.openxmlformats.org/markup-compatibility/2006" xmlns:a14="http://schemas.microsoft.com/office/drawing/2010/main">
      <mc:Choice Requires="a14">
        <xdr:graphicFrame macro="">
          <xdr:nvGraphicFramePr>
            <xdr:cNvPr id="3" name="Course_Name">
              <a:extLst>
                <a:ext uri="{FF2B5EF4-FFF2-40B4-BE49-F238E27FC236}">
                  <a16:creationId xmlns:a16="http://schemas.microsoft.com/office/drawing/2014/main" id="{6757A5E2-05BA-145D-26E3-091A1A1FAB6D}"/>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mlns="">
        <xdr:sp macro="" textlink="">
          <xdr:nvSpPr>
            <xdr:cNvPr id="0" name=""/>
            <xdr:cNvSpPr>
              <a:spLocks noTextEdit="1"/>
            </xdr:cNvSpPr>
          </xdr:nvSpPr>
          <xdr:spPr>
            <a:xfrm>
              <a:off x="11125863" y="88756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2</xdr:row>
      <xdr:rowOff>142129</xdr:rowOff>
    </xdr:from>
    <xdr:to>
      <xdr:col>16</xdr:col>
      <xdr:colOff>621858</xdr:colOff>
      <xdr:row>16</xdr:row>
      <xdr:rowOff>122665</xdr:rowOff>
    </xdr:to>
    <mc:AlternateContent xmlns:mc="http://schemas.openxmlformats.org/markup-compatibility/2006" xmlns:a14="http://schemas.microsoft.com/office/drawing/2010/main">
      <mc:Choice Requires="a14">
        <xdr:graphicFrame macro="">
          <xdr:nvGraphicFramePr>
            <xdr:cNvPr id="4" name="Student_Name">
              <a:extLst>
                <a:ext uri="{FF2B5EF4-FFF2-40B4-BE49-F238E27FC236}">
                  <a16:creationId xmlns:a16="http://schemas.microsoft.com/office/drawing/2014/main" id="{04FA19FD-F6C9-0900-4F93-D18DBB4AF4C2}"/>
                </a:ext>
              </a:extLst>
            </xdr:cNvPr>
            <xdr:cNvGraphicFramePr/>
          </xdr:nvGraphicFramePr>
          <xdr:xfrm>
            <a:off x="0" y="0"/>
            <a:ext cx="0" cy="0"/>
          </xdr:xfrm>
          <a:graphic>
            <a:graphicData uri="http://schemas.microsoft.com/office/drawing/2010/slicer">
              <sle:slicer xmlns:sle="http://schemas.microsoft.com/office/drawing/2010/slicer" name="Student_Name"/>
            </a:graphicData>
          </a:graphic>
        </xdr:graphicFrame>
      </mc:Choice>
      <mc:Fallback xmlns="">
        <xdr:sp macro="" textlink="">
          <xdr:nvSpPr>
            <xdr:cNvPr id="0" name=""/>
            <xdr:cNvSpPr>
              <a:spLocks noTextEdit="1"/>
            </xdr:cNvSpPr>
          </xdr:nvSpPr>
          <xdr:spPr>
            <a:xfrm>
              <a:off x="15416254" y="69706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159689</xdr:colOff>
      <xdr:row>17</xdr:row>
      <xdr:rowOff>84152</xdr:rowOff>
    </xdr:from>
    <xdr:to>
      <xdr:col>6</xdr:col>
      <xdr:colOff>481054</xdr:colOff>
      <xdr:row>25</xdr:row>
      <xdr:rowOff>41414</xdr:rowOff>
    </xdr:to>
    <mc:AlternateContent xmlns:mc="http://schemas.openxmlformats.org/markup-compatibility/2006" xmlns:a14="http://schemas.microsoft.com/office/drawing/2010/main">
      <mc:Choice Requires="a14">
        <xdr:graphicFrame macro="">
          <xdr:nvGraphicFramePr>
            <xdr:cNvPr id="5" name="Performance_Rating">
              <a:extLst>
                <a:ext uri="{FF2B5EF4-FFF2-40B4-BE49-F238E27FC236}">
                  <a16:creationId xmlns:a16="http://schemas.microsoft.com/office/drawing/2014/main" id="{3B191CFB-7D78-4DDB-3D87-ECC178A06E92}"/>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5087841" y="3422043"/>
              <a:ext cx="1828800" cy="141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867355</xdr:colOff>
      <xdr:row>1</xdr:row>
      <xdr:rowOff>133847</xdr:rowOff>
    </xdr:from>
    <xdr:to>
      <xdr:col>7</xdr:col>
      <xdr:colOff>78850</xdr:colOff>
      <xdr:row>15</xdr:row>
      <xdr:rowOff>114382</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3CA3B743-04CF-6041-42F6-5A257B3F1FB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795507" y="50656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459154</xdr:colOff>
      <xdr:row>3</xdr:row>
      <xdr:rowOff>169087</xdr:rowOff>
    </xdr:from>
    <xdr:ext cx="1270000" cy="1284373"/>
    <xdr:pic>
      <xdr:nvPicPr>
        <xdr:cNvPr id="9" name="Picture 8">
          <a:extLst>
            <a:ext uri="{FF2B5EF4-FFF2-40B4-BE49-F238E27FC236}">
              <a16:creationId xmlns:a16="http://schemas.microsoft.com/office/drawing/2014/main" id="{76300303-FBD6-41B2-802D-BA50D0F48091}"/>
            </a:ext>
          </a:extLst>
        </xdr:cNvPr>
        <xdr:cNvPicPr>
          <a:picLocks noChangeAspect="1"/>
        </xdr:cNvPicPr>
      </xdr:nvPicPr>
      <xdr:blipFill>
        <a:blip xmlns:r="http://schemas.openxmlformats.org/officeDocument/2006/relationships" r:embed="rId1"/>
        <a:stretch>
          <a:fillRect/>
        </a:stretch>
      </xdr:blipFill>
      <xdr:spPr>
        <a:xfrm>
          <a:off x="1064846" y="169087"/>
          <a:ext cx="1270000" cy="1284373"/>
        </a:xfrm>
        <a:prstGeom prst="rect">
          <a:avLst/>
        </a:prstGeom>
      </xdr:spPr>
    </xdr:pic>
    <xdr:clientData/>
  </xdr:oneCellAnchor>
  <xdr:twoCellAnchor>
    <xdr:from>
      <xdr:col>18</xdr:col>
      <xdr:colOff>5808404</xdr:colOff>
      <xdr:row>20</xdr:row>
      <xdr:rowOff>70884</xdr:rowOff>
    </xdr:from>
    <xdr:to>
      <xdr:col>28</xdr:col>
      <xdr:colOff>109279</xdr:colOff>
      <xdr:row>46</xdr:row>
      <xdr:rowOff>44240</xdr:rowOff>
    </xdr:to>
    <xdr:graphicFrame macro="">
      <xdr:nvGraphicFramePr>
        <xdr:cNvPr id="10" name="Chart 9">
          <a:extLst>
            <a:ext uri="{FF2B5EF4-FFF2-40B4-BE49-F238E27FC236}">
              <a16:creationId xmlns:a16="http://schemas.microsoft.com/office/drawing/2014/main" id="{9113E193-6696-4CDF-9CA4-5047FCBCE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91558</xdr:colOff>
      <xdr:row>20</xdr:row>
      <xdr:rowOff>35442</xdr:rowOff>
    </xdr:from>
    <xdr:to>
      <xdr:col>18</xdr:col>
      <xdr:colOff>5727184</xdr:colOff>
      <xdr:row>46</xdr:row>
      <xdr:rowOff>49471</xdr:rowOff>
    </xdr:to>
    <xdr:graphicFrame macro="">
      <xdr:nvGraphicFramePr>
        <xdr:cNvPr id="11" name="Chart 10">
          <a:extLst>
            <a:ext uri="{FF2B5EF4-FFF2-40B4-BE49-F238E27FC236}">
              <a16:creationId xmlns:a16="http://schemas.microsoft.com/office/drawing/2014/main" id="{8C33C6E6-2A05-44B5-BB46-6B8E93C57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228654</xdr:colOff>
      <xdr:row>17</xdr:row>
      <xdr:rowOff>111512</xdr:rowOff>
    </xdr:from>
    <xdr:to>
      <xdr:col>18</xdr:col>
      <xdr:colOff>7682</xdr:colOff>
      <xdr:row>46</xdr:row>
      <xdr:rowOff>91915</xdr:rowOff>
    </xdr:to>
    <xdr:graphicFrame macro="">
      <xdr:nvGraphicFramePr>
        <xdr:cNvPr id="12" name="Chart 11">
          <a:extLst>
            <a:ext uri="{FF2B5EF4-FFF2-40B4-BE49-F238E27FC236}">
              <a16:creationId xmlns:a16="http://schemas.microsoft.com/office/drawing/2014/main" id="{50F7C184-8477-4DCD-9BEB-68B5FCFC1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1158875</xdr:colOff>
      <xdr:row>17</xdr:row>
      <xdr:rowOff>47624</xdr:rowOff>
    </xdr:from>
    <xdr:to>
      <xdr:col>12</xdr:col>
      <xdr:colOff>95250</xdr:colOff>
      <xdr:row>46</xdr:row>
      <xdr:rowOff>111124</xdr:rowOff>
    </xdr:to>
    <xdr:graphicFrame macro="">
      <xdr:nvGraphicFramePr>
        <xdr:cNvPr id="13" name="Chart 12">
          <a:extLst>
            <a:ext uri="{FF2B5EF4-FFF2-40B4-BE49-F238E27FC236}">
              <a16:creationId xmlns:a16="http://schemas.microsoft.com/office/drawing/2014/main" id="{4432748C-0215-4D3E-962F-11183B1D2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5824280</xdr:colOff>
      <xdr:row>4</xdr:row>
      <xdr:rowOff>301256</xdr:rowOff>
    </xdr:from>
    <xdr:to>
      <xdr:col>28</xdr:col>
      <xdr:colOff>93405</xdr:colOff>
      <xdr:row>17</xdr:row>
      <xdr:rowOff>141766</xdr:rowOff>
    </xdr:to>
    <xdr:graphicFrame macro="">
      <xdr:nvGraphicFramePr>
        <xdr:cNvPr id="14" name="Chart 13">
          <a:extLst>
            <a:ext uri="{FF2B5EF4-FFF2-40B4-BE49-F238E27FC236}">
              <a16:creationId xmlns:a16="http://schemas.microsoft.com/office/drawing/2014/main" id="{ADD5CD6B-301F-4F6A-AFA7-068D99F10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107433</xdr:colOff>
      <xdr:row>4</xdr:row>
      <xdr:rowOff>318977</xdr:rowOff>
    </xdr:from>
    <xdr:to>
      <xdr:col>18</xdr:col>
      <xdr:colOff>5727184</xdr:colOff>
      <xdr:row>18</xdr:row>
      <xdr:rowOff>0</xdr:rowOff>
    </xdr:to>
    <xdr:graphicFrame macro="">
      <xdr:nvGraphicFramePr>
        <xdr:cNvPr id="16" name="Chart 15">
          <a:extLst>
            <a:ext uri="{FF2B5EF4-FFF2-40B4-BE49-F238E27FC236}">
              <a16:creationId xmlns:a16="http://schemas.microsoft.com/office/drawing/2014/main" id="{7679D1BB-39AB-479D-ADDD-3EF097971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47625</xdr:colOff>
      <xdr:row>17</xdr:row>
      <xdr:rowOff>63500</xdr:rowOff>
    </xdr:from>
    <xdr:to>
      <xdr:col>5</xdr:col>
      <xdr:colOff>1047750</xdr:colOff>
      <xdr:row>31</xdr:row>
      <xdr:rowOff>0</xdr:rowOff>
    </xdr:to>
    <xdr:graphicFrame macro="">
      <xdr:nvGraphicFramePr>
        <xdr:cNvPr id="17" name="Chart 16">
          <a:extLst>
            <a:ext uri="{FF2B5EF4-FFF2-40B4-BE49-F238E27FC236}">
              <a16:creationId xmlns:a16="http://schemas.microsoft.com/office/drawing/2014/main" id="{3BE601C7-525F-4DD5-9407-35ADB93CB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176471</xdr:colOff>
      <xdr:row>3</xdr:row>
      <xdr:rowOff>162129</xdr:rowOff>
    </xdr:from>
    <xdr:to>
      <xdr:col>35</xdr:col>
      <xdr:colOff>555625</xdr:colOff>
      <xdr:row>17</xdr:row>
      <xdr:rowOff>141769</xdr:rowOff>
    </xdr:to>
    <xdr:graphicFrame macro="">
      <xdr:nvGraphicFramePr>
        <xdr:cNvPr id="19" name="Chart 18">
          <a:extLst>
            <a:ext uri="{FF2B5EF4-FFF2-40B4-BE49-F238E27FC236}">
              <a16:creationId xmlns:a16="http://schemas.microsoft.com/office/drawing/2014/main" id="{98E83BBD-4B2F-4AA8-9D4E-5ACCF9523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172779</xdr:colOff>
      <xdr:row>20</xdr:row>
      <xdr:rowOff>70884</xdr:rowOff>
    </xdr:from>
    <xdr:to>
      <xdr:col>35</xdr:col>
      <xdr:colOff>562062</xdr:colOff>
      <xdr:row>46</xdr:row>
      <xdr:rowOff>34704</xdr:rowOff>
    </xdr:to>
    <xdr:graphicFrame macro="">
      <xdr:nvGraphicFramePr>
        <xdr:cNvPr id="20" name="Chart 19">
          <a:extLst>
            <a:ext uri="{FF2B5EF4-FFF2-40B4-BE49-F238E27FC236}">
              <a16:creationId xmlns:a16="http://schemas.microsoft.com/office/drawing/2014/main" id="{34C3F77C-56A9-40C3-8794-AC2D52871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69273</xdr:colOff>
      <xdr:row>31</xdr:row>
      <xdr:rowOff>152400</xdr:rowOff>
    </xdr:from>
    <xdr:to>
      <xdr:col>5</xdr:col>
      <xdr:colOff>1021772</xdr:colOff>
      <xdr:row>46</xdr:row>
      <xdr:rowOff>60960</xdr:rowOff>
    </xdr:to>
    <xdr:graphicFrame macro="">
      <xdr:nvGraphicFramePr>
        <xdr:cNvPr id="22" name="Chart 21">
          <a:extLst>
            <a:ext uri="{FF2B5EF4-FFF2-40B4-BE49-F238E27FC236}">
              <a16:creationId xmlns:a16="http://schemas.microsoft.com/office/drawing/2014/main" id="{938FB7C4-1FF6-4AF5-9553-8CBC61566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32748</xdr:colOff>
      <xdr:row>0</xdr:row>
      <xdr:rowOff>80660</xdr:rowOff>
    </xdr:from>
    <xdr:ext cx="1003201" cy="806245"/>
    <xdr:pic>
      <xdr:nvPicPr>
        <xdr:cNvPr id="2" name="Picture 1">
          <a:extLst>
            <a:ext uri="{FF2B5EF4-FFF2-40B4-BE49-F238E27FC236}">
              <a16:creationId xmlns:a16="http://schemas.microsoft.com/office/drawing/2014/main" id="{C363CD92-FA96-45FB-8F99-358DF90AA563}"/>
            </a:ext>
          </a:extLst>
        </xdr:cNvPr>
        <xdr:cNvPicPr>
          <a:picLocks noChangeAspect="1"/>
        </xdr:cNvPicPr>
      </xdr:nvPicPr>
      <xdr:blipFill>
        <a:blip xmlns:r="http://schemas.openxmlformats.org/officeDocument/2006/relationships" r:embed="rId1"/>
        <a:stretch>
          <a:fillRect/>
        </a:stretch>
      </xdr:blipFill>
      <xdr:spPr>
        <a:xfrm>
          <a:off x="1247531" y="80660"/>
          <a:ext cx="1003201" cy="80624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oneCellAnchor>
  <xdr:twoCellAnchor>
    <xdr:from>
      <xdr:col>0</xdr:col>
      <xdr:colOff>170729</xdr:colOff>
      <xdr:row>29</xdr:row>
      <xdr:rowOff>63370</xdr:rowOff>
    </xdr:from>
    <xdr:to>
      <xdr:col>5</xdr:col>
      <xdr:colOff>61935</xdr:colOff>
      <xdr:row>43</xdr:row>
      <xdr:rowOff>162560</xdr:rowOff>
    </xdr:to>
    <xdr:graphicFrame macro="">
      <xdr:nvGraphicFramePr>
        <xdr:cNvPr id="4" name="Chart 3">
          <a:extLst>
            <a:ext uri="{FF2B5EF4-FFF2-40B4-BE49-F238E27FC236}">
              <a16:creationId xmlns:a16="http://schemas.microsoft.com/office/drawing/2014/main" id="{167407FF-EC0F-4C75-9EB8-D4D38B1E5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329821</xdr:colOff>
      <xdr:row>2</xdr:row>
      <xdr:rowOff>130061</xdr:rowOff>
    </xdr:from>
    <xdr:to>
      <xdr:col>19</xdr:col>
      <xdr:colOff>197017</xdr:colOff>
      <xdr:row>13</xdr:row>
      <xdr:rowOff>122285</xdr:rowOff>
    </xdr:to>
    <xdr:graphicFrame macro="">
      <xdr:nvGraphicFramePr>
        <xdr:cNvPr id="5" name="Chart 4">
          <a:extLst>
            <a:ext uri="{FF2B5EF4-FFF2-40B4-BE49-F238E27FC236}">
              <a16:creationId xmlns:a16="http://schemas.microsoft.com/office/drawing/2014/main" id="{C0E2CD1A-F66B-4DB0-A819-98C2AE04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204716</xdr:colOff>
      <xdr:row>2</xdr:row>
      <xdr:rowOff>134568</xdr:rowOff>
    </xdr:from>
    <xdr:to>
      <xdr:col>12</xdr:col>
      <xdr:colOff>272955</xdr:colOff>
      <xdr:row>13</xdr:row>
      <xdr:rowOff>134568</xdr:rowOff>
    </xdr:to>
    <xdr:graphicFrame macro="">
      <xdr:nvGraphicFramePr>
        <xdr:cNvPr id="6" name="Chart 5">
          <a:extLst>
            <a:ext uri="{FF2B5EF4-FFF2-40B4-BE49-F238E27FC236}">
              <a16:creationId xmlns:a16="http://schemas.microsoft.com/office/drawing/2014/main" id="{EADB5AE1-9A4C-46AC-A66F-D8716F963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139959</xdr:colOff>
      <xdr:row>14</xdr:row>
      <xdr:rowOff>77755</xdr:rowOff>
    </xdr:from>
    <xdr:to>
      <xdr:col>11</xdr:col>
      <xdr:colOff>487051</xdr:colOff>
      <xdr:row>28</xdr:row>
      <xdr:rowOff>116634</xdr:rowOff>
    </xdr:to>
    <xdr:graphicFrame macro="">
      <xdr:nvGraphicFramePr>
        <xdr:cNvPr id="7" name="Chart 6">
          <a:extLst>
            <a:ext uri="{FF2B5EF4-FFF2-40B4-BE49-F238E27FC236}">
              <a16:creationId xmlns:a16="http://schemas.microsoft.com/office/drawing/2014/main" id="{276D820E-E84D-449B-933E-306416079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15712</xdr:colOff>
      <xdr:row>14</xdr:row>
      <xdr:rowOff>54990</xdr:rowOff>
    </xdr:from>
    <xdr:to>
      <xdr:col>19</xdr:col>
      <xdr:colOff>223520</xdr:colOff>
      <xdr:row>28</xdr:row>
      <xdr:rowOff>78555</xdr:rowOff>
    </xdr:to>
    <xdr:graphicFrame macro="">
      <xdr:nvGraphicFramePr>
        <xdr:cNvPr id="8" name="Chart 7">
          <a:extLst>
            <a:ext uri="{FF2B5EF4-FFF2-40B4-BE49-F238E27FC236}">
              <a16:creationId xmlns:a16="http://schemas.microsoft.com/office/drawing/2014/main" id="{8AC13067-CBCA-42F7-A76A-E589198D5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112073</xdr:colOff>
      <xdr:row>29</xdr:row>
      <xdr:rowOff>60542</xdr:rowOff>
    </xdr:from>
    <xdr:to>
      <xdr:col>10</xdr:col>
      <xdr:colOff>306552</xdr:colOff>
      <xdr:row>43</xdr:row>
      <xdr:rowOff>152400</xdr:rowOff>
    </xdr:to>
    <xdr:graphicFrame macro="">
      <xdr:nvGraphicFramePr>
        <xdr:cNvPr id="9" name="Chart 8">
          <a:extLst>
            <a:ext uri="{FF2B5EF4-FFF2-40B4-BE49-F238E27FC236}">
              <a16:creationId xmlns:a16="http://schemas.microsoft.com/office/drawing/2014/main" id="{5BA4CCD2-37FA-4B5E-9348-92CC446C5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154610</xdr:colOff>
      <xdr:row>0</xdr:row>
      <xdr:rowOff>43793</xdr:rowOff>
    </xdr:from>
    <xdr:to>
      <xdr:col>2</xdr:col>
      <xdr:colOff>44175</xdr:colOff>
      <xdr:row>3</xdr:row>
      <xdr:rowOff>29017</xdr:rowOff>
    </xdr:to>
    <xdr:pic>
      <xdr:nvPicPr>
        <xdr:cNvPr id="11" name="Graphic 10" descr="Classroom with solid fill">
          <a:extLst>
            <a:ext uri="{FF2B5EF4-FFF2-40B4-BE49-F238E27FC236}">
              <a16:creationId xmlns:a16="http://schemas.microsoft.com/office/drawing/2014/main" id="{5D07E779-26CB-49A6-5F15-7375A1B5BF1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4610" y="43793"/>
          <a:ext cx="1104348" cy="912876"/>
        </a:xfrm>
        <a:prstGeom prst="rect">
          <a:avLst/>
        </a:prstGeom>
      </xdr:spPr>
    </xdr:pic>
    <xdr:clientData/>
  </xdr:twoCellAnchor>
  <xdr:twoCellAnchor>
    <xdr:from>
      <xdr:col>0</xdr:col>
      <xdr:colOff>35034</xdr:colOff>
      <xdr:row>3</xdr:row>
      <xdr:rowOff>122621</xdr:rowOff>
    </xdr:from>
    <xdr:to>
      <xdr:col>4</xdr:col>
      <xdr:colOff>61310</xdr:colOff>
      <xdr:row>6</xdr:row>
      <xdr:rowOff>131379</xdr:rowOff>
    </xdr:to>
    <xdr:sp macro="" textlink="">
      <xdr:nvSpPr>
        <xdr:cNvPr id="14" name="Rectangle: Rounded Corners 13">
          <a:extLst>
            <a:ext uri="{FF2B5EF4-FFF2-40B4-BE49-F238E27FC236}">
              <a16:creationId xmlns:a16="http://schemas.microsoft.com/office/drawing/2014/main" id="{BEB2D6C3-25E4-DD37-654C-4D7C794849FD}"/>
            </a:ext>
          </a:extLst>
        </xdr:cNvPr>
        <xdr:cNvSpPr/>
      </xdr:nvSpPr>
      <xdr:spPr>
        <a:xfrm>
          <a:off x="35034" y="1147380"/>
          <a:ext cx="2478690" cy="560551"/>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r>
            <a:rPr lang="en-IN"/>
            <a:t>t</a:t>
          </a:r>
        </a:p>
      </xdr:txBody>
    </xdr:sp>
    <xdr:clientData/>
  </xdr:twoCellAnchor>
  <xdr:twoCellAnchor>
    <xdr:from>
      <xdr:col>0</xdr:col>
      <xdr:colOff>17517</xdr:colOff>
      <xdr:row>7</xdr:row>
      <xdr:rowOff>70068</xdr:rowOff>
    </xdr:from>
    <xdr:to>
      <xdr:col>4</xdr:col>
      <xdr:colOff>70069</xdr:colOff>
      <xdr:row>10</xdr:row>
      <xdr:rowOff>78828</xdr:rowOff>
    </xdr:to>
    <xdr:sp macro="" textlink="">
      <xdr:nvSpPr>
        <xdr:cNvPr id="15" name="Rectangle: Rounded Corners 14">
          <a:extLst>
            <a:ext uri="{FF2B5EF4-FFF2-40B4-BE49-F238E27FC236}">
              <a16:creationId xmlns:a16="http://schemas.microsoft.com/office/drawing/2014/main" id="{80D9BB4E-EF96-D2FA-3566-626B2C790FB2}"/>
            </a:ext>
          </a:extLst>
        </xdr:cNvPr>
        <xdr:cNvSpPr/>
      </xdr:nvSpPr>
      <xdr:spPr>
        <a:xfrm>
          <a:off x="17517" y="1830551"/>
          <a:ext cx="2504966" cy="560553"/>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xdr:from>
      <xdr:col>0</xdr:col>
      <xdr:colOff>17517</xdr:colOff>
      <xdr:row>10</xdr:row>
      <xdr:rowOff>157655</xdr:rowOff>
    </xdr:from>
    <xdr:to>
      <xdr:col>4</xdr:col>
      <xdr:colOff>43793</xdr:colOff>
      <xdr:row>14</xdr:row>
      <xdr:rowOff>1</xdr:rowOff>
    </xdr:to>
    <xdr:sp macro="" textlink="">
      <xdr:nvSpPr>
        <xdr:cNvPr id="16" name="Rectangle: Rounded Corners 15">
          <a:extLst>
            <a:ext uri="{FF2B5EF4-FFF2-40B4-BE49-F238E27FC236}">
              <a16:creationId xmlns:a16="http://schemas.microsoft.com/office/drawing/2014/main" id="{4517B446-239F-4879-A954-55CDD5D993A7}"/>
            </a:ext>
          </a:extLst>
        </xdr:cNvPr>
        <xdr:cNvSpPr/>
      </xdr:nvSpPr>
      <xdr:spPr>
        <a:xfrm>
          <a:off x="17517" y="2469931"/>
          <a:ext cx="2478690" cy="578070"/>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xdr:from>
      <xdr:col>0</xdr:col>
      <xdr:colOff>17518</xdr:colOff>
      <xdr:row>14</xdr:row>
      <xdr:rowOff>87586</xdr:rowOff>
    </xdr:from>
    <xdr:to>
      <xdr:col>4</xdr:col>
      <xdr:colOff>43794</xdr:colOff>
      <xdr:row>17</xdr:row>
      <xdr:rowOff>96345</xdr:rowOff>
    </xdr:to>
    <xdr:sp macro="" textlink="">
      <xdr:nvSpPr>
        <xdr:cNvPr id="17" name="Rectangle: Rounded Corners 16">
          <a:extLst>
            <a:ext uri="{FF2B5EF4-FFF2-40B4-BE49-F238E27FC236}">
              <a16:creationId xmlns:a16="http://schemas.microsoft.com/office/drawing/2014/main" id="{7E7DB469-E298-43C4-9E21-B8FCF2FFEFB9}"/>
            </a:ext>
          </a:extLst>
        </xdr:cNvPr>
        <xdr:cNvSpPr/>
      </xdr:nvSpPr>
      <xdr:spPr>
        <a:xfrm>
          <a:off x="17518" y="3135586"/>
          <a:ext cx="2478690" cy="560552"/>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xdr:from>
      <xdr:col>0</xdr:col>
      <xdr:colOff>11043</xdr:colOff>
      <xdr:row>18</xdr:row>
      <xdr:rowOff>33130</xdr:rowOff>
    </xdr:from>
    <xdr:to>
      <xdr:col>4</xdr:col>
      <xdr:colOff>37319</xdr:colOff>
      <xdr:row>21</xdr:row>
      <xdr:rowOff>41888</xdr:rowOff>
    </xdr:to>
    <xdr:sp macro="" textlink="">
      <xdr:nvSpPr>
        <xdr:cNvPr id="18" name="Rectangle: Rounded Corners 17">
          <a:extLst>
            <a:ext uri="{FF2B5EF4-FFF2-40B4-BE49-F238E27FC236}">
              <a16:creationId xmlns:a16="http://schemas.microsoft.com/office/drawing/2014/main" id="{C2E7D83F-F99E-492B-AF8A-52903CD32BD3}"/>
            </a:ext>
          </a:extLst>
        </xdr:cNvPr>
        <xdr:cNvSpPr/>
      </xdr:nvSpPr>
      <xdr:spPr>
        <a:xfrm>
          <a:off x="11043" y="3776869"/>
          <a:ext cx="2455841" cy="571976"/>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xdr:from>
      <xdr:col>0</xdr:col>
      <xdr:colOff>0</xdr:colOff>
      <xdr:row>21</xdr:row>
      <xdr:rowOff>166413</xdr:rowOff>
    </xdr:from>
    <xdr:to>
      <xdr:col>4</xdr:col>
      <xdr:colOff>26276</xdr:colOff>
      <xdr:row>24</xdr:row>
      <xdr:rowOff>175171</xdr:rowOff>
    </xdr:to>
    <xdr:sp macro="" textlink="">
      <xdr:nvSpPr>
        <xdr:cNvPr id="19" name="Rectangle: Rounded Corners 18">
          <a:extLst>
            <a:ext uri="{FF2B5EF4-FFF2-40B4-BE49-F238E27FC236}">
              <a16:creationId xmlns:a16="http://schemas.microsoft.com/office/drawing/2014/main" id="{F079AAB0-E380-4A64-88E5-EC3B696F3B23}"/>
            </a:ext>
          </a:extLst>
        </xdr:cNvPr>
        <xdr:cNvSpPr/>
      </xdr:nvSpPr>
      <xdr:spPr>
        <a:xfrm>
          <a:off x="0" y="4473370"/>
          <a:ext cx="2455841" cy="571975"/>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xdr:from>
      <xdr:col>0</xdr:col>
      <xdr:colOff>26275</xdr:colOff>
      <xdr:row>25</xdr:row>
      <xdr:rowOff>96345</xdr:rowOff>
    </xdr:from>
    <xdr:to>
      <xdr:col>4</xdr:col>
      <xdr:colOff>52551</xdr:colOff>
      <xdr:row>28</xdr:row>
      <xdr:rowOff>105103</xdr:rowOff>
    </xdr:to>
    <xdr:sp macro="" textlink="">
      <xdr:nvSpPr>
        <xdr:cNvPr id="20" name="Rectangle: Rounded Corners 19">
          <a:extLst>
            <a:ext uri="{FF2B5EF4-FFF2-40B4-BE49-F238E27FC236}">
              <a16:creationId xmlns:a16="http://schemas.microsoft.com/office/drawing/2014/main" id="{6380502F-F08F-4F13-B908-8F4D81E5DA1E}"/>
            </a:ext>
          </a:extLst>
        </xdr:cNvPr>
        <xdr:cNvSpPr/>
      </xdr:nvSpPr>
      <xdr:spPr>
        <a:xfrm>
          <a:off x="26275" y="5167586"/>
          <a:ext cx="2478690" cy="560551"/>
        </a:xfrm>
        <a:prstGeom prst="roundRect">
          <a:avLst>
            <a:gd name="adj" fmla="val 50000"/>
          </a:avLst>
        </a:prstGeom>
      </xdr:spPr>
      <xdr:style>
        <a:lnRef idx="2">
          <a:schemeClr val="accent1">
            <a:hueOff val="0"/>
            <a:satOff val="0"/>
            <a:lumOff val="0"/>
            <a:alphaOff val="0"/>
          </a:schemeClr>
        </a:lnRef>
        <a:fillRef idx="1">
          <a:schemeClr val="lt1">
            <a:hueOff val="0"/>
            <a:satOff val="0"/>
            <a:lumOff val="0"/>
            <a:alphaOff val="0"/>
          </a:schemeClr>
        </a:fillRef>
        <a:effectRef idx="0">
          <a:schemeClr val="lt1">
            <a:hueOff val="0"/>
            <a:satOff val="0"/>
            <a:lumOff val="0"/>
            <a:alphaOff val="0"/>
          </a:schemeClr>
        </a:effectRef>
        <a:fontRef idx="minor">
          <a:schemeClr val="dk1">
            <a:hueOff val="0"/>
            <a:satOff val="0"/>
            <a:lumOff val="0"/>
            <a:alphaOff val="0"/>
          </a:schemeClr>
        </a:fontRef>
      </xdr:style>
      <xdr:txBody>
        <a:bodyPr/>
        <a:lstStyle/>
        <a:p>
          <a:endParaRPr lang="en-IN"/>
        </a:p>
      </xdr:txBody>
    </xdr:sp>
    <xdr:clientData/>
  </xdr:twoCellAnchor>
  <xdr:twoCellAnchor editAs="oneCell">
    <xdr:from>
      <xdr:col>0</xdr:col>
      <xdr:colOff>78828</xdr:colOff>
      <xdr:row>3</xdr:row>
      <xdr:rowOff>131378</xdr:rowOff>
    </xdr:from>
    <xdr:to>
      <xdr:col>1</xdr:col>
      <xdr:colOff>78828</xdr:colOff>
      <xdr:row>6</xdr:row>
      <xdr:rowOff>175172</xdr:rowOff>
    </xdr:to>
    <xdr:pic>
      <xdr:nvPicPr>
        <xdr:cNvPr id="22" name="Graphic 21" descr="Users with solid fill">
          <a:extLst>
            <a:ext uri="{FF2B5EF4-FFF2-40B4-BE49-F238E27FC236}">
              <a16:creationId xmlns:a16="http://schemas.microsoft.com/office/drawing/2014/main" id="{2307F350-1E41-FC81-EFA1-4CFD19FCA92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828" y="1156137"/>
          <a:ext cx="613103" cy="595587"/>
        </a:xfrm>
        <a:prstGeom prst="rect">
          <a:avLst/>
        </a:prstGeom>
      </xdr:spPr>
    </xdr:pic>
    <xdr:clientData/>
  </xdr:twoCellAnchor>
  <xdr:twoCellAnchor editAs="oneCell">
    <xdr:from>
      <xdr:col>19</xdr:col>
      <xdr:colOff>374953</xdr:colOff>
      <xdr:row>0</xdr:row>
      <xdr:rowOff>38100</xdr:rowOff>
    </xdr:from>
    <xdr:to>
      <xdr:col>22</xdr:col>
      <xdr:colOff>451394</xdr:colOff>
      <xdr:row>12</xdr:row>
      <xdr:rowOff>39651</xdr:rowOff>
    </xdr:to>
    <mc:AlternateContent xmlns:mc="http://schemas.openxmlformats.org/markup-compatibility/2006" xmlns:a14="http://schemas.microsoft.com/office/drawing/2010/main">
      <mc:Choice Requires="a14">
        <xdr:graphicFrame macro="">
          <xdr:nvGraphicFramePr>
            <xdr:cNvPr id="23" name="Course_Name 1">
              <a:extLst>
                <a:ext uri="{FF2B5EF4-FFF2-40B4-BE49-F238E27FC236}">
                  <a16:creationId xmlns:a16="http://schemas.microsoft.com/office/drawing/2014/main" id="{8291B3F1-5EE7-4839-82DE-DDBD6C586990}"/>
                </a:ext>
              </a:extLst>
            </xdr:cNvPr>
            <xdr:cNvGraphicFramePr/>
          </xdr:nvGraphicFramePr>
          <xdr:xfrm>
            <a:off x="0" y="0"/>
            <a:ext cx="0" cy="0"/>
          </xdr:xfrm>
          <a:graphic>
            <a:graphicData uri="http://schemas.microsoft.com/office/drawing/2010/slicer">
              <sle:slicer xmlns:sle="http://schemas.microsoft.com/office/drawing/2010/slicer" name="Course_Name 1"/>
            </a:graphicData>
          </a:graphic>
        </xdr:graphicFrame>
      </mc:Choice>
      <mc:Fallback xmlns="">
        <xdr:sp macro="" textlink="">
          <xdr:nvSpPr>
            <xdr:cNvPr id="0" name=""/>
            <xdr:cNvSpPr>
              <a:spLocks noTextEdit="1"/>
            </xdr:cNvSpPr>
          </xdr:nvSpPr>
          <xdr:spPr>
            <a:xfrm>
              <a:off x="12095239" y="38100"/>
              <a:ext cx="1927012" cy="2559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341586</xdr:colOff>
      <xdr:row>29</xdr:row>
      <xdr:rowOff>53602</xdr:rowOff>
    </xdr:from>
    <xdr:to>
      <xdr:col>15</xdr:col>
      <xdr:colOff>122619</xdr:colOff>
      <xdr:row>43</xdr:row>
      <xdr:rowOff>134882</xdr:rowOff>
    </xdr:to>
    <xdr:graphicFrame macro="">
      <xdr:nvGraphicFramePr>
        <xdr:cNvPr id="24" name="Chart 23">
          <a:extLst>
            <a:ext uri="{FF2B5EF4-FFF2-40B4-BE49-F238E27FC236}">
              <a16:creationId xmlns:a16="http://schemas.microsoft.com/office/drawing/2014/main" id="{AC0F5A70-7067-4A8C-B1BB-700B308BB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379327</xdr:colOff>
      <xdr:row>44</xdr:row>
      <xdr:rowOff>63500</xdr:rowOff>
    </xdr:from>
    <xdr:to>
      <xdr:col>22</xdr:col>
      <xdr:colOff>497417</xdr:colOff>
      <xdr:row>61</xdr:row>
      <xdr:rowOff>148166</xdr:rowOff>
    </xdr:to>
    <xdr:graphicFrame macro="">
      <xdr:nvGraphicFramePr>
        <xdr:cNvPr id="25" name="Chart 24">
          <a:extLst>
            <a:ext uri="{FF2B5EF4-FFF2-40B4-BE49-F238E27FC236}">
              <a16:creationId xmlns:a16="http://schemas.microsoft.com/office/drawing/2014/main" id="{6689140B-8ECF-48D6-B89C-EECA47117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385838</xdr:colOff>
      <xdr:row>11</xdr:row>
      <xdr:rowOff>174777</xdr:rowOff>
    </xdr:from>
    <xdr:to>
      <xdr:col>22</xdr:col>
      <xdr:colOff>400352</xdr:colOff>
      <xdr:row>19</xdr:row>
      <xdr:rowOff>138349</xdr:rowOff>
    </xdr:to>
    <mc:AlternateContent xmlns:mc="http://schemas.openxmlformats.org/markup-compatibility/2006" xmlns:a14="http://schemas.microsoft.com/office/drawing/2010/main">
      <mc:Choice Requires="a14">
        <xdr:graphicFrame macro="">
          <xdr:nvGraphicFramePr>
            <xdr:cNvPr id="27" name="Performance_Rating 1">
              <a:extLst>
                <a:ext uri="{FF2B5EF4-FFF2-40B4-BE49-F238E27FC236}">
                  <a16:creationId xmlns:a16="http://schemas.microsoft.com/office/drawing/2014/main" id="{22C08253-514C-4C64-B4EF-EBC85DA73628}"/>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12106124" y="2551491"/>
              <a:ext cx="1865085" cy="141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291831</xdr:colOff>
      <xdr:row>44</xdr:row>
      <xdr:rowOff>52917</xdr:rowOff>
    </xdr:from>
    <xdr:to>
      <xdr:col>10</xdr:col>
      <xdr:colOff>264584</xdr:colOff>
      <xdr:row>62</xdr:row>
      <xdr:rowOff>32426</xdr:rowOff>
    </xdr:to>
    <xdr:graphicFrame macro="">
      <xdr:nvGraphicFramePr>
        <xdr:cNvPr id="28" name="Chart 27">
          <a:extLst>
            <a:ext uri="{FF2B5EF4-FFF2-40B4-BE49-F238E27FC236}">
              <a16:creationId xmlns:a16="http://schemas.microsoft.com/office/drawing/2014/main" id="{4435EC10-75E8-494A-9DFF-3B814CDA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198374</xdr:colOff>
      <xdr:row>29</xdr:row>
      <xdr:rowOff>67459</xdr:rowOff>
    </xdr:from>
    <xdr:to>
      <xdr:col>22</xdr:col>
      <xdr:colOff>563875</xdr:colOff>
      <xdr:row>43</xdr:row>
      <xdr:rowOff>105103</xdr:rowOff>
    </xdr:to>
    <xdr:graphicFrame macro="">
      <xdr:nvGraphicFramePr>
        <xdr:cNvPr id="29" name="Chart 28">
          <a:extLst>
            <a:ext uri="{FF2B5EF4-FFF2-40B4-BE49-F238E27FC236}">
              <a16:creationId xmlns:a16="http://schemas.microsoft.com/office/drawing/2014/main" id="{DBFE1126-DEF4-45CD-B83B-385D5B756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406400</xdr:colOff>
      <xdr:row>19</xdr:row>
      <xdr:rowOff>165101</xdr:rowOff>
    </xdr:from>
    <xdr:to>
      <xdr:col>22</xdr:col>
      <xdr:colOff>406400</xdr:colOff>
      <xdr:row>28</xdr:row>
      <xdr:rowOff>101601</xdr:rowOff>
    </xdr:to>
    <mc:AlternateContent xmlns:mc="http://schemas.openxmlformats.org/markup-compatibility/2006" xmlns:a14="http://schemas.microsoft.com/office/drawing/2010/main">
      <mc:Choice Requires="a14">
        <xdr:graphicFrame macro="">
          <xdr:nvGraphicFramePr>
            <xdr:cNvPr id="30" name="City 1">
              <a:extLst>
                <a:ext uri="{FF2B5EF4-FFF2-40B4-BE49-F238E27FC236}">
                  <a16:creationId xmlns:a16="http://schemas.microsoft.com/office/drawing/2014/main" id="{C6D2D1CB-9EA9-4E9B-A170-8E578BB2478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126686" y="3993244"/>
              <a:ext cx="1850571" cy="1569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99392</xdr:colOff>
      <xdr:row>7</xdr:row>
      <xdr:rowOff>44174</xdr:rowOff>
    </xdr:from>
    <xdr:to>
      <xdr:col>1</xdr:col>
      <xdr:colOff>1</xdr:colOff>
      <xdr:row>10</xdr:row>
      <xdr:rowOff>88348</xdr:rowOff>
    </xdr:to>
    <xdr:pic>
      <xdr:nvPicPr>
        <xdr:cNvPr id="32" name="Graphic 31" descr="Checkmark with solid fill">
          <a:extLst>
            <a:ext uri="{FF2B5EF4-FFF2-40B4-BE49-F238E27FC236}">
              <a16:creationId xmlns:a16="http://schemas.microsoft.com/office/drawing/2014/main" id="{9CFE36E7-3B3D-CAD7-E7E8-182F0ACAA5D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9392" y="1722783"/>
          <a:ext cx="508000" cy="607391"/>
        </a:xfrm>
        <a:prstGeom prst="rect">
          <a:avLst/>
        </a:prstGeom>
      </xdr:spPr>
    </xdr:pic>
    <xdr:clientData/>
  </xdr:twoCellAnchor>
  <xdr:twoCellAnchor editAs="oneCell">
    <xdr:from>
      <xdr:col>0</xdr:col>
      <xdr:colOff>110435</xdr:colOff>
      <xdr:row>11</xdr:row>
      <xdr:rowOff>33131</xdr:rowOff>
    </xdr:from>
    <xdr:to>
      <xdr:col>1</xdr:col>
      <xdr:colOff>44174</xdr:colOff>
      <xdr:row>13</xdr:row>
      <xdr:rowOff>132522</xdr:rowOff>
    </xdr:to>
    <xdr:pic>
      <xdr:nvPicPr>
        <xdr:cNvPr id="34" name="Graphic 33" descr="Mathematics with solid fill">
          <a:extLst>
            <a:ext uri="{FF2B5EF4-FFF2-40B4-BE49-F238E27FC236}">
              <a16:creationId xmlns:a16="http://schemas.microsoft.com/office/drawing/2014/main" id="{B4000D07-AD23-76D1-C23E-59B1EC2B1F9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435" y="2462696"/>
          <a:ext cx="541130" cy="474869"/>
        </a:xfrm>
        <a:prstGeom prst="rect">
          <a:avLst/>
        </a:prstGeom>
      </xdr:spPr>
    </xdr:pic>
    <xdr:clientData/>
  </xdr:twoCellAnchor>
  <xdr:twoCellAnchor editAs="oneCell">
    <xdr:from>
      <xdr:col>0</xdr:col>
      <xdr:colOff>0</xdr:colOff>
      <xdr:row>14</xdr:row>
      <xdr:rowOff>99392</xdr:rowOff>
    </xdr:from>
    <xdr:to>
      <xdr:col>0</xdr:col>
      <xdr:colOff>552174</xdr:colOff>
      <xdr:row>17</xdr:row>
      <xdr:rowOff>33131</xdr:rowOff>
    </xdr:to>
    <xdr:pic>
      <xdr:nvPicPr>
        <xdr:cNvPr id="36" name="Graphic 35" descr="Dollar with solid fill">
          <a:extLst>
            <a:ext uri="{FF2B5EF4-FFF2-40B4-BE49-F238E27FC236}">
              <a16:creationId xmlns:a16="http://schemas.microsoft.com/office/drawing/2014/main" id="{C33CE4BD-CA5B-B071-0052-CC530BA0C74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0" y="3092175"/>
          <a:ext cx="552174" cy="496956"/>
        </a:xfrm>
        <a:prstGeom prst="rect">
          <a:avLst/>
        </a:prstGeom>
      </xdr:spPr>
    </xdr:pic>
    <xdr:clientData/>
  </xdr:twoCellAnchor>
  <xdr:twoCellAnchor editAs="oneCell">
    <xdr:from>
      <xdr:col>0</xdr:col>
      <xdr:colOff>88348</xdr:colOff>
      <xdr:row>18</xdr:row>
      <xdr:rowOff>66261</xdr:rowOff>
    </xdr:from>
    <xdr:to>
      <xdr:col>0</xdr:col>
      <xdr:colOff>541131</xdr:colOff>
      <xdr:row>21</xdr:row>
      <xdr:rowOff>36552</xdr:rowOff>
    </xdr:to>
    <xdr:pic>
      <xdr:nvPicPr>
        <xdr:cNvPr id="38" name="Graphic 37" descr="Hourglass Finished with solid fill">
          <a:extLst>
            <a:ext uri="{FF2B5EF4-FFF2-40B4-BE49-F238E27FC236}">
              <a16:creationId xmlns:a16="http://schemas.microsoft.com/office/drawing/2014/main" id="{A2E96971-89F1-75F9-80D5-1E0EDE268D7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8348" y="3810000"/>
          <a:ext cx="452783" cy="533509"/>
        </a:xfrm>
        <a:prstGeom prst="rect">
          <a:avLst/>
        </a:prstGeom>
      </xdr:spPr>
    </xdr:pic>
    <xdr:clientData/>
  </xdr:twoCellAnchor>
  <xdr:twoCellAnchor editAs="oneCell">
    <xdr:from>
      <xdr:col>0</xdr:col>
      <xdr:colOff>121479</xdr:colOff>
      <xdr:row>21</xdr:row>
      <xdr:rowOff>143564</xdr:rowOff>
    </xdr:from>
    <xdr:to>
      <xdr:col>1</xdr:col>
      <xdr:colOff>121479</xdr:colOff>
      <xdr:row>24</xdr:row>
      <xdr:rowOff>154608</xdr:rowOff>
    </xdr:to>
    <xdr:pic>
      <xdr:nvPicPr>
        <xdr:cNvPr id="40" name="Graphic 39" descr="Money with solid fill">
          <a:extLst>
            <a:ext uri="{FF2B5EF4-FFF2-40B4-BE49-F238E27FC236}">
              <a16:creationId xmlns:a16="http://schemas.microsoft.com/office/drawing/2014/main" id="{33C378E2-E114-6C6C-BAF0-99EFADF547A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1479" y="4450521"/>
          <a:ext cx="607391" cy="574261"/>
        </a:xfrm>
        <a:prstGeom prst="rect">
          <a:avLst/>
        </a:prstGeom>
      </xdr:spPr>
    </xdr:pic>
    <xdr:clientData/>
  </xdr:twoCellAnchor>
  <xdr:twoCellAnchor editAs="oneCell">
    <xdr:from>
      <xdr:col>0</xdr:col>
      <xdr:colOff>66260</xdr:colOff>
      <xdr:row>25</xdr:row>
      <xdr:rowOff>110435</xdr:rowOff>
    </xdr:from>
    <xdr:to>
      <xdr:col>1</xdr:col>
      <xdr:colOff>121478</xdr:colOff>
      <xdr:row>28</xdr:row>
      <xdr:rowOff>110436</xdr:rowOff>
    </xdr:to>
    <xdr:pic>
      <xdr:nvPicPr>
        <xdr:cNvPr id="42" name="Graphic 41" descr="Close with solid fill">
          <a:extLst>
            <a:ext uri="{FF2B5EF4-FFF2-40B4-BE49-F238E27FC236}">
              <a16:creationId xmlns:a16="http://schemas.microsoft.com/office/drawing/2014/main" id="{23AB2A67-BCE3-6ECD-CCE3-4D6BFC76B771}"/>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6260" y="5168348"/>
          <a:ext cx="662609" cy="563218"/>
        </a:xfrm>
        <a:prstGeom prst="rect">
          <a:avLst/>
        </a:prstGeom>
      </xdr:spPr>
    </xdr:pic>
    <xdr:clientData/>
  </xdr:twoCellAnchor>
  <xdr:twoCellAnchor editAs="oneCell">
    <xdr:from>
      <xdr:col>0</xdr:col>
      <xdr:colOff>0</xdr:colOff>
      <xdr:row>3</xdr:row>
      <xdr:rowOff>70885</xdr:rowOff>
    </xdr:from>
    <xdr:to>
      <xdr:col>4</xdr:col>
      <xdr:colOff>90985</xdr:colOff>
      <xdr:row>7</xdr:row>
      <xdr:rowOff>1</xdr:rowOff>
    </xdr:to>
    <xdr:pic>
      <xdr:nvPicPr>
        <xdr:cNvPr id="3" name="Picture 2">
          <a:extLst>
            <a:ext uri="{FF2B5EF4-FFF2-40B4-BE49-F238E27FC236}">
              <a16:creationId xmlns:a16="http://schemas.microsoft.com/office/drawing/2014/main" id="{A0A353A6-C194-B2DA-CE23-4B9BA76836E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992109"/>
          <a:ext cx="2547582" cy="656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22748</xdr:rowOff>
    </xdr:from>
    <xdr:to>
      <xdr:col>4</xdr:col>
      <xdr:colOff>102358</xdr:colOff>
      <xdr:row>10</xdr:row>
      <xdr:rowOff>113732</xdr:rowOff>
    </xdr:to>
    <xdr:pic>
      <xdr:nvPicPr>
        <xdr:cNvPr id="10" name="Picture 9">
          <a:extLst>
            <a:ext uri="{FF2B5EF4-FFF2-40B4-BE49-F238E27FC236}">
              <a16:creationId xmlns:a16="http://schemas.microsoft.com/office/drawing/2014/main" id="{C60D3455-10EC-BFEC-33C5-81F16381662D}"/>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0" y="1671852"/>
          <a:ext cx="2558955" cy="636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10</xdr:row>
      <xdr:rowOff>147850</xdr:rowOff>
    </xdr:from>
    <xdr:to>
      <xdr:col>4</xdr:col>
      <xdr:colOff>68240</xdr:colOff>
      <xdr:row>14</xdr:row>
      <xdr:rowOff>56864</xdr:rowOff>
    </xdr:to>
    <xdr:pic>
      <xdr:nvPicPr>
        <xdr:cNvPr id="12" name="Picture 11">
          <a:extLst>
            <a:ext uri="{FF2B5EF4-FFF2-40B4-BE49-F238E27FC236}">
              <a16:creationId xmlns:a16="http://schemas.microsoft.com/office/drawing/2014/main" id="{092AEEDD-6664-4DE6-5AF4-CC1E6A4E9673}"/>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 y="2342865"/>
          <a:ext cx="2524836" cy="636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56866</xdr:rowOff>
    </xdr:from>
    <xdr:to>
      <xdr:col>4</xdr:col>
      <xdr:colOff>68238</xdr:colOff>
      <xdr:row>17</xdr:row>
      <xdr:rowOff>136478</xdr:rowOff>
    </xdr:to>
    <xdr:pic>
      <xdr:nvPicPr>
        <xdr:cNvPr id="21" name="Picture 20">
          <a:extLst>
            <a:ext uri="{FF2B5EF4-FFF2-40B4-BE49-F238E27FC236}">
              <a16:creationId xmlns:a16="http://schemas.microsoft.com/office/drawing/2014/main" id="{7CDF2AD4-0C6B-EC2A-ADC9-DA8C0B764D98}"/>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0" y="2979762"/>
          <a:ext cx="2524835" cy="625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22746</xdr:colOff>
      <xdr:row>21</xdr:row>
      <xdr:rowOff>113732</xdr:rowOff>
    </xdr:from>
    <xdr:to>
      <xdr:col>4</xdr:col>
      <xdr:colOff>68238</xdr:colOff>
      <xdr:row>25</xdr:row>
      <xdr:rowOff>22747</xdr:rowOff>
    </xdr:to>
    <xdr:pic>
      <xdr:nvPicPr>
        <xdr:cNvPr id="26" name="Picture 25">
          <a:extLst>
            <a:ext uri="{FF2B5EF4-FFF2-40B4-BE49-F238E27FC236}">
              <a16:creationId xmlns:a16="http://schemas.microsoft.com/office/drawing/2014/main" id="{C12CCB3C-8BA4-E173-BCA3-EBD6B94A4F88}"/>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2746" y="4310419"/>
          <a:ext cx="2502089" cy="636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6049</xdr:colOff>
      <xdr:row>17</xdr:row>
      <xdr:rowOff>159224</xdr:rowOff>
    </xdr:from>
    <xdr:to>
      <xdr:col>4</xdr:col>
      <xdr:colOff>56867</xdr:colOff>
      <xdr:row>21</xdr:row>
      <xdr:rowOff>68238</xdr:rowOff>
    </xdr:to>
    <xdr:pic>
      <xdr:nvPicPr>
        <xdr:cNvPr id="31" name="Picture 30">
          <a:extLst>
            <a:ext uri="{FF2B5EF4-FFF2-40B4-BE49-F238E27FC236}">
              <a16:creationId xmlns:a16="http://schemas.microsoft.com/office/drawing/2014/main" id="{5FA036A8-62AE-FA1F-61BD-9D8C1FC58A86}"/>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049" y="3618462"/>
          <a:ext cx="2494056" cy="634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25</xdr:row>
      <xdr:rowOff>56865</xdr:rowOff>
    </xdr:from>
    <xdr:to>
      <xdr:col>4</xdr:col>
      <xdr:colOff>79612</xdr:colOff>
      <xdr:row>28</xdr:row>
      <xdr:rowOff>136477</xdr:rowOff>
    </xdr:to>
    <xdr:pic>
      <xdr:nvPicPr>
        <xdr:cNvPr id="33" name="Picture 32">
          <a:extLst>
            <a:ext uri="{FF2B5EF4-FFF2-40B4-BE49-F238E27FC236}">
              <a16:creationId xmlns:a16="http://schemas.microsoft.com/office/drawing/2014/main" id="{1F4BAA8D-E6F3-09FE-C525-FCE4414360D5}"/>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 y="4981432"/>
          <a:ext cx="2536208" cy="625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a A" refreshedDate="46214.76818402778" createdVersion="8" refreshedVersion="8" minRefreshableVersion="3" recordCount="1001" xr:uid="{8F8CECED-6385-4EDF-9D70-EA98DEB2FC02}">
  <cacheSource type="worksheet">
    <worksheetSource ref="A1:X1048576" sheet="RAW_DATA"/>
  </cacheSource>
  <cacheFields count="24">
    <cacheField name="Student_ID" numFmtId="0">
      <sharedItems containsBlank="1" count="1001">
        <s v="ST0001"/>
        <s v="ST0002"/>
        <s v="ST0003"/>
        <s v="ST0004"/>
        <s v="ST0005"/>
        <s v="ST0006"/>
        <s v="ST0007"/>
        <s v="ST0008"/>
        <s v="ST0009"/>
        <s v="ST0010"/>
        <s v="ST0011"/>
        <s v="ST0012"/>
        <s v="ST0013"/>
        <s v="ST0014"/>
        <s v="ST0015"/>
        <s v="ST0016"/>
        <s v="ST0017"/>
        <s v="ST0018"/>
        <s v="ST0019"/>
        <s v="ST0020"/>
        <s v="ST0021"/>
        <s v="ST0022"/>
        <s v="ST0023"/>
        <s v="ST0024"/>
        <s v="ST0025"/>
        <s v="ST0026"/>
        <s v="ST0027"/>
        <s v="ST0028"/>
        <s v="ST0029"/>
        <s v="ST0030"/>
        <s v="ST0031"/>
        <s v="ST0032"/>
        <s v="ST0033"/>
        <s v="ST0034"/>
        <s v="ST0035"/>
        <s v="ST0036"/>
        <s v="ST0037"/>
        <s v="ST0038"/>
        <s v="ST0039"/>
        <s v="ST0040"/>
        <s v="ST0041"/>
        <s v="ST0042"/>
        <s v="ST0043"/>
        <s v="ST0044"/>
        <s v="ST0045"/>
        <s v="ST0046"/>
        <s v="ST0047"/>
        <s v="ST0048"/>
        <s v="ST0049"/>
        <s v="ST0050"/>
        <s v="ST0051"/>
        <s v="ST0052"/>
        <s v="ST0053"/>
        <s v="ST0054"/>
        <s v="ST0055"/>
        <s v="ST0056"/>
        <s v="ST0057"/>
        <s v="ST0058"/>
        <s v="ST0059"/>
        <s v="ST0060"/>
        <s v="ST0061"/>
        <s v="ST0062"/>
        <s v="ST0063"/>
        <s v="ST0064"/>
        <s v="ST0065"/>
        <s v="ST0066"/>
        <s v="ST0067"/>
        <s v="ST0068"/>
        <s v="ST0069"/>
        <s v="ST0070"/>
        <s v="ST0071"/>
        <s v="ST0072"/>
        <s v="ST0073"/>
        <s v="ST0074"/>
        <s v="ST0075"/>
        <s v="ST0076"/>
        <s v="ST0077"/>
        <s v="ST0078"/>
        <s v="ST0079"/>
        <s v="ST0080"/>
        <s v="ST0081"/>
        <s v="ST0082"/>
        <s v="ST0083"/>
        <s v="ST0084"/>
        <s v="ST0085"/>
        <s v="ST0086"/>
        <s v="ST0087"/>
        <s v="ST0088"/>
        <s v="ST0089"/>
        <s v="ST0090"/>
        <s v="ST0091"/>
        <s v="ST0092"/>
        <s v="ST0093"/>
        <s v="ST0094"/>
        <s v="ST0095"/>
        <s v="ST0096"/>
        <s v="ST0097"/>
        <s v="ST0098"/>
        <s v="ST0099"/>
        <s v="ST0100"/>
        <s v="ST0101"/>
        <s v="ST0102"/>
        <s v="ST0103"/>
        <s v="ST0104"/>
        <s v="ST0105"/>
        <s v="ST0106"/>
        <s v="ST0107"/>
        <s v="ST0108"/>
        <s v="ST0109"/>
        <s v="ST0110"/>
        <s v="ST0111"/>
        <s v="ST0112"/>
        <s v="ST0113"/>
        <s v="ST0114"/>
        <s v="ST0115"/>
        <s v="ST0116"/>
        <s v="ST0117"/>
        <s v="ST0118"/>
        <s v="ST0119"/>
        <s v="ST0120"/>
        <s v="ST0121"/>
        <s v="ST0122"/>
        <s v="ST0123"/>
        <s v="ST0124"/>
        <s v="ST0125"/>
        <s v="ST0126"/>
        <s v="ST0127"/>
        <s v="ST0128"/>
        <s v="ST0129"/>
        <s v="ST0130"/>
        <s v="ST0131"/>
        <s v="ST0132"/>
        <s v="ST0133"/>
        <s v="ST0134"/>
        <s v="ST0135"/>
        <s v="ST0136"/>
        <s v="ST0137"/>
        <s v="ST0138"/>
        <s v="ST0139"/>
        <s v="ST0140"/>
        <s v="ST0141"/>
        <s v="ST0142"/>
        <s v="ST0143"/>
        <s v="ST0144"/>
        <s v="ST0145"/>
        <s v="ST0146"/>
        <s v="ST0147"/>
        <s v="ST0148"/>
        <s v="ST0149"/>
        <s v="ST0150"/>
        <s v="ST0151"/>
        <s v="ST0152"/>
        <s v="ST0153"/>
        <s v="ST0154"/>
        <s v="ST0155"/>
        <s v="ST0156"/>
        <s v="ST0157"/>
        <s v="ST0158"/>
        <s v="ST0159"/>
        <s v="ST0160"/>
        <s v="ST0161"/>
        <s v="ST0162"/>
        <s v="ST0163"/>
        <s v="ST0164"/>
        <s v="ST0165"/>
        <s v="ST0166"/>
        <s v="ST0167"/>
        <s v="ST0168"/>
        <s v="ST0169"/>
        <s v="ST0170"/>
        <s v="ST0171"/>
        <s v="ST0172"/>
        <s v="ST0173"/>
        <s v="ST0174"/>
        <s v="ST0175"/>
        <s v="ST0176"/>
        <s v="ST0177"/>
        <s v="ST0178"/>
        <s v="ST0179"/>
        <s v="ST0180"/>
        <s v="ST0181"/>
        <s v="ST0182"/>
        <s v="ST0183"/>
        <s v="ST0184"/>
        <s v="ST0185"/>
        <s v="ST0186"/>
        <s v="ST0187"/>
        <s v="ST0188"/>
        <s v="ST0189"/>
        <s v="ST0190"/>
        <s v="ST0191"/>
        <s v="ST0192"/>
        <s v="ST0193"/>
        <s v="ST0194"/>
        <s v="ST0195"/>
        <s v="ST0196"/>
        <s v="ST0197"/>
        <s v="ST0198"/>
        <s v="ST0199"/>
        <s v="ST0200"/>
        <s v="ST0201"/>
        <s v="ST0202"/>
        <s v="ST0203"/>
        <s v="ST0204"/>
        <s v="ST0205"/>
        <s v="ST0206"/>
        <s v="ST0207"/>
        <s v="ST0208"/>
        <s v="ST0209"/>
        <s v="ST0210"/>
        <s v="ST0211"/>
        <s v="ST0212"/>
        <s v="ST0213"/>
        <s v="ST0214"/>
        <s v="ST0215"/>
        <s v="ST0216"/>
        <s v="ST0217"/>
        <s v="ST0218"/>
        <s v="ST0219"/>
        <s v="ST0220"/>
        <s v="ST0221"/>
        <s v="ST0222"/>
        <s v="ST0223"/>
        <s v="ST0224"/>
        <s v="ST0225"/>
        <s v="ST0226"/>
        <s v="ST0227"/>
        <s v="ST0228"/>
        <s v="ST0229"/>
        <s v="ST0230"/>
        <s v="ST0231"/>
        <s v="ST0232"/>
        <s v="ST0233"/>
        <s v="ST0234"/>
        <s v="ST0235"/>
        <s v="ST0236"/>
        <s v="ST0237"/>
        <s v="ST0238"/>
        <s v="ST0239"/>
        <s v="ST0240"/>
        <s v="ST0241"/>
        <s v="ST0242"/>
        <s v="ST0243"/>
        <s v="ST0244"/>
        <s v="ST0245"/>
        <s v="ST0246"/>
        <s v="ST0247"/>
        <s v="ST0248"/>
        <s v="ST0249"/>
        <s v="ST0250"/>
        <s v="ST0251"/>
        <s v="ST0252"/>
        <s v="ST0253"/>
        <s v="ST0254"/>
        <s v="ST0255"/>
        <s v="ST0256"/>
        <s v="ST0257"/>
        <s v="ST0258"/>
        <s v="ST0259"/>
        <s v="ST0260"/>
        <s v="ST0261"/>
        <s v="ST0262"/>
        <s v="ST0263"/>
        <s v="ST0264"/>
        <s v="ST0265"/>
        <s v="ST0266"/>
        <s v="ST0267"/>
        <s v="ST0268"/>
        <s v="ST0269"/>
        <s v="ST0270"/>
        <s v="ST0271"/>
        <s v="ST0272"/>
        <s v="ST0273"/>
        <s v="ST0274"/>
        <s v="ST0275"/>
        <s v="ST0276"/>
        <s v="ST0277"/>
        <s v="ST0278"/>
        <s v="ST0279"/>
        <s v="ST0280"/>
        <s v="ST0281"/>
        <s v="ST0282"/>
        <s v="ST0283"/>
        <s v="ST0284"/>
        <s v="ST0285"/>
        <s v="ST0286"/>
        <s v="ST0287"/>
        <s v="ST0288"/>
        <s v="ST0289"/>
        <s v="ST0290"/>
        <s v="ST0291"/>
        <s v="ST0292"/>
        <s v="ST0293"/>
        <s v="ST0294"/>
        <s v="ST0295"/>
        <s v="ST0296"/>
        <s v="ST0297"/>
        <s v="ST0298"/>
        <s v="ST0299"/>
        <s v="ST0300"/>
        <s v="ST0301"/>
        <s v="ST0302"/>
        <s v="ST0303"/>
        <s v="ST0304"/>
        <s v="ST0305"/>
        <s v="ST0306"/>
        <s v="ST0307"/>
        <s v="ST0308"/>
        <s v="ST0309"/>
        <s v="ST0310"/>
        <s v="ST0311"/>
        <s v="ST0312"/>
        <s v="ST0313"/>
        <s v="ST0314"/>
        <s v="ST0315"/>
        <s v="ST0316"/>
        <s v="ST0317"/>
        <s v="ST0318"/>
        <s v="ST0319"/>
        <s v="ST0320"/>
        <s v="ST0321"/>
        <s v="ST0322"/>
        <s v="ST0323"/>
        <s v="ST0324"/>
        <s v="ST0325"/>
        <s v="ST0326"/>
        <s v="ST0327"/>
        <s v="ST0328"/>
        <s v="ST0329"/>
        <s v="ST0330"/>
        <s v="ST0331"/>
        <s v="ST0332"/>
        <s v="ST0333"/>
        <s v="ST0334"/>
        <s v="ST0335"/>
        <s v="ST0336"/>
        <s v="ST0337"/>
        <s v="ST0338"/>
        <s v="ST0339"/>
        <s v="ST0340"/>
        <s v="ST0341"/>
        <s v="ST0342"/>
        <s v="ST0343"/>
        <s v="ST0344"/>
        <s v="ST0345"/>
        <s v="ST0346"/>
        <s v="ST0347"/>
        <s v="ST0348"/>
        <s v="ST0349"/>
        <s v="ST0350"/>
        <s v="ST0351"/>
        <s v="ST0352"/>
        <s v="ST0353"/>
        <s v="ST0354"/>
        <s v="ST0355"/>
        <s v="ST0356"/>
        <s v="ST0357"/>
        <s v="ST0358"/>
        <s v="ST0359"/>
        <s v="ST0360"/>
        <s v="ST0361"/>
        <s v="ST0362"/>
        <s v="ST0363"/>
        <s v="ST0364"/>
        <s v="ST0365"/>
        <s v="ST0366"/>
        <s v="ST0367"/>
        <s v="ST0368"/>
        <s v="ST0369"/>
        <s v="ST0370"/>
        <s v="ST0371"/>
        <s v="ST0372"/>
        <s v="ST0373"/>
        <s v="ST0374"/>
        <s v="ST0375"/>
        <s v="ST0376"/>
        <s v="ST0377"/>
        <s v="ST0378"/>
        <s v="ST0379"/>
        <s v="ST0380"/>
        <s v="ST0381"/>
        <s v="ST0382"/>
        <s v="ST0383"/>
        <s v="ST0384"/>
        <s v="ST0385"/>
        <s v="ST0386"/>
        <s v="ST0387"/>
        <s v="ST0388"/>
        <s v="ST0389"/>
        <s v="ST0390"/>
        <s v="ST0391"/>
        <s v="ST0392"/>
        <s v="ST0393"/>
        <s v="ST0394"/>
        <s v="ST0395"/>
        <s v="ST0396"/>
        <s v="ST0397"/>
        <s v="ST0398"/>
        <s v="ST0399"/>
        <s v="ST0400"/>
        <s v="ST0401"/>
        <s v="ST0402"/>
        <s v="ST0403"/>
        <s v="ST0404"/>
        <s v="ST0405"/>
        <s v="ST0406"/>
        <s v="ST0407"/>
        <s v="ST0408"/>
        <s v="ST0409"/>
        <s v="ST0410"/>
        <s v="ST0411"/>
        <s v="ST0412"/>
        <s v="ST0413"/>
        <s v="ST0414"/>
        <s v="ST0415"/>
        <s v="ST0416"/>
        <s v="ST0417"/>
        <s v="ST0418"/>
        <s v="ST0419"/>
        <s v="ST0420"/>
        <s v="ST0421"/>
        <s v="ST0422"/>
        <s v="ST0423"/>
        <s v="ST0424"/>
        <s v="ST0425"/>
        <s v="ST0426"/>
        <s v="ST0427"/>
        <s v="ST0428"/>
        <s v="ST0429"/>
        <s v="ST0430"/>
        <s v="ST0431"/>
        <s v="ST0432"/>
        <s v="ST0433"/>
        <s v="ST0434"/>
        <s v="ST0435"/>
        <s v="ST0436"/>
        <s v="ST0437"/>
        <s v="ST0438"/>
        <s v="ST0439"/>
        <s v="ST0440"/>
        <s v="ST0441"/>
        <s v="ST0442"/>
        <s v="ST0443"/>
        <s v="ST0444"/>
        <s v="ST0445"/>
        <s v="ST0446"/>
        <s v="ST0447"/>
        <s v="ST0448"/>
        <s v="ST0449"/>
        <s v="ST0450"/>
        <s v="ST0451"/>
        <s v="ST0452"/>
        <s v="ST0453"/>
        <s v="ST0454"/>
        <s v="ST0455"/>
        <s v="ST0456"/>
        <s v="ST0457"/>
        <s v="ST0458"/>
        <s v="ST0459"/>
        <s v="ST0460"/>
        <s v="ST0461"/>
        <s v="ST0462"/>
        <s v="ST0463"/>
        <s v="ST0464"/>
        <s v="ST0465"/>
        <s v="ST0466"/>
        <s v="ST0467"/>
        <s v="ST0468"/>
        <s v="ST0469"/>
        <s v="ST0470"/>
        <s v="ST0471"/>
        <s v="ST0472"/>
        <s v="ST0473"/>
        <s v="ST0474"/>
        <s v="ST0475"/>
        <s v="ST0476"/>
        <s v="ST0477"/>
        <s v="ST0478"/>
        <s v="ST0479"/>
        <s v="ST0480"/>
        <s v="ST0481"/>
        <s v="ST0482"/>
        <s v="ST0483"/>
        <s v="ST0484"/>
        <s v="ST0485"/>
        <s v="ST0486"/>
        <s v="ST0487"/>
        <s v="ST0488"/>
        <s v="ST0489"/>
        <s v="ST0490"/>
        <s v="ST0491"/>
        <s v="ST0492"/>
        <s v="ST0493"/>
        <s v="ST0494"/>
        <s v="ST0495"/>
        <s v="ST0496"/>
        <s v="ST0497"/>
        <s v="ST0498"/>
        <s v="ST0499"/>
        <s v="ST0500"/>
        <s v="ST0501"/>
        <s v="ST0502"/>
        <s v="ST0503"/>
        <s v="ST0504"/>
        <s v="ST0505"/>
        <s v="ST0506"/>
        <s v="ST0507"/>
        <s v="ST0508"/>
        <s v="ST0509"/>
        <s v="ST0510"/>
        <s v="ST0511"/>
        <s v="ST0512"/>
        <s v="ST0513"/>
        <s v="ST0514"/>
        <s v="ST0515"/>
        <s v="ST0516"/>
        <s v="ST0517"/>
        <s v="ST0518"/>
        <s v="ST0519"/>
        <s v="ST0520"/>
        <s v="ST0521"/>
        <s v="ST0522"/>
        <s v="ST0523"/>
        <s v="ST0524"/>
        <s v="ST0525"/>
        <s v="ST0526"/>
        <s v="ST0527"/>
        <s v="ST0528"/>
        <s v="ST0529"/>
        <s v="ST0530"/>
        <s v="ST0531"/>
        <s v="ST0532"/>
        <s v="ST0533"/>
        <s v="ST0534"/>
        <s v="ST0535"/>
        <s v="ST0536"/>
        <s v="ST0537"/>
        <s v="ST0538"/>
        <s v="ST0539"/>
        <s v="ST0540"/>
        <s v="ST0541"/>
        <s v="ST0542"/>
        <s v="ST0543"/>
        <s v="ST0544"/>
        <s v="ST0545"/>
        <s v="ST0546"/>
        <s v="ST0547"/>
        <s v="ST0548"/>
        <s v="ST0549"/>
        <s v="ST0550"/>
        <s v="ST0551"/>
        <s v="ST0552"/>
        <s v="ST0553"/>
        <s v="ST0554"/>
        <s v="ST0555"/>
        <s v="ST0556"/>
        <s v="ST0557"/>
        <s v="ST0558"/>
        <s v="ST0559"/>
        <s v="ST0560"/>
        <s v="ST0561"/>
        <s v="ST0562"/>
        <s v="ST0563"/>
        <s v="ST0564"/>
        <s v="ST0565"/>
        <s v="ST0566"/>
        <s v="ST0567"/>
        <s v="ST0568"/>
        <s v="ST0569"/>
        <s v="ST0570"/>
        <s v="ST0571"/>
        <s v="ST0572"/>
        <s v="ST0573"/>
        <s v="ST0574"/>
        <s v="ST0575"/>
        <s v="ST0576"/>
        <s v="ST0577"/>
        <s v="ST0578"/>
        <s v="ST0579"/>
        <s v="ST0580"/>
        <s v="ST0581"/>
        <s v="ST0582"/>
        <s v="ST0583"/>
        <s v="ST0584"/>
        <s v="ST0585"/>
        <s v="ST0586"/>
        <s v="ST0587"/>
        <s v="ST0588"/>
        <s v="ST0589"/>
        <s v="ST0590"/>
        <s v="ST0591"/>
        <s v="ST0592"/>
        <s v="ST0593"/>
        <s v="ST0594"/>
        <s v="ST0595"/>
        <s v="ST0596"/>
        <s v="ST0597"/>
        <s v="ST0598"/>
        <s v="ST0599"/>
        <s v="ST0600"/>
        <s v="ST0601"/>
        <s v="ST0602"/>
        <s v="ST0603"/>
        <s v="ST0604"/>
        <s v="ST0605"/>
        <s v="ST0606"/>
        <s v="ST0607"/>
        <s v="ST0608"/>
        <s v="ST0609"/>
        <s v="ST0610"/>
        <s v="ST0611"/>
        <s v="ST0612"/>
        <s v="ST0613"/>
        <s v="ST0614"/>
        <s v="ST0615"/>
        <s v="ST0616"/>
        <s v="ST0617"/>
        <s v="ST0618"/>
        <s v="ST0619"/>
        <s v="ST0620"/>
        <s v="ST0621"/>
        <s v="ST0622"/>
        <s v="ST0623"/>
        <s v="ST0624"/>
        <s v="ST0625"/>
        <s v="ST0626"/>
        <s v="ST0627"/>
        <s v="ST0628"/>
        <s v="ST0629"/>
        <s v="ST0630"/>
        <s v="ST0631"/>
        <s v="ST0632"/>
        <s v="ST0633"/>
        <s v="ST0634"/>
        <s v="ST0635"/>
        <s v="ST0636"/>
        <s v="ST0637"/>
        <s v="ST0638"/>
        <s v="ST0639"/>
        <s v="ST0640"/>
        <s v="ST0641"/>
        <s v="ST0642"/>
        <s v="ST0643"/>
        <s v="ST0644"/>
        <s v="ST0645"/>
        <s v="ST0646"/>
        <s v="ST0647"/>
        <s v="ST0648"/>
        <s v="ST0649"/>
        <s v="ST0650"/>
        <s v="ST0651"/>
        <s v="ST0652"/>
        <s v="ST0653"/>
        <s v="ST0654"/>
        <s v="ST0655"/>
        <s v="ST0656"/>
        <s v="ST0657"/>
        <s v="ST0658"/>
        <s v="ST0659"/>
        <s v="ST0660"/>
        <s v="ST0661"/>
        <s v="ST0662"/>
        <s v="ST0663"/>
        <s v="ST0664"/>
        <s v="ST0665"/>
        <s v="ST0666"/>
        <s v="ST0667"/>
        <s v="ST0668"/>
        <s v="ST0669"/>
        <s v="ST0670"/>
        <s v="ST0671"/>
        <s v="ST0672"/>
        <s v="ST0673"/>
        <s v="ST0674"/>
        <s v="ST0675"/>
        <s v="ST0676"/>
        <s v="ST0677"/>
        <s v="ST0678"/>
        <s v="ST0679"/>
        <s v="ST0680"/>
        <s v="ST0681"/>
        <s v="ST0682"/>
        <s v="ST0683"/>
        <s v="ST0684"/>
        <s v="ST0685"/>
        <s v="ST0686"/>
        <s v="ST0687"/>
        <s v="ST0688"/>
        <s v="ST0689"/>
        <s v="ST0690"/>
        <s v="ST0691"/>
        <s v="ST0692"/>
        <s v="ST0693"/>
        <s v="ST0694"/>
        <s v="ST0695"/>
        <s v="ST0696"/>
        <s v="ST0697"/>
        <s v="ST0698"/>
        <s v="ST0699"/>
        <s v="ST0700"/>
        <s v="ST0701"/>
        <s v="ST0702"/>
        <s v="ST0703"/>
        <s v="ST0704"/>
        <s v="ST0705"/>
        <s v="ST0706"/>
        <s v="ST0707"/>
        <s v="ST0708"/>
        <s v="ST0709"/>
        <s v="ST0710"/>
        <s v="ST0711"/>
        <s v="ST0712"/>
        <s v="ST0713"/>
        <s v="ST0714"/>
        <s v="ST0715"/>
        <s v="ST0716"/>
        <s v="ST0717"/>
        <s v="ST0718"/>
        <s v="ST0719"/>
        <s v="ST0720"/>
        <s v="ST0721"/>
        <s v="ST0722"/>
        <s v="ST0723"/>
        <s v="ST0724"/>
        <s v="ST0725"/>
        <s v="ST0726"/>
        <s v="ST0727"/>
        <s v="ST0728"/>
        <s v="ST0729"/>
        <s v="ST0730"/>
        <s v="ST0731"/>
        <s v="ST0732"/>
        <s v="ST0733"/>
        <s v="ST0734"/>
        <s v="ST0735"/>
        <s v="ST0736"/>
        <s v="ST0737"/>
        <s v="ST0738"/>
        <s v="ST0739"/>
        <s v="ST0740"/>
        <s v="ST0741"/>
        <s v="ST0742"/>
        <s v="ST0743"/>
        <s v="ST0744"/>
        <s v="ST0745"/>
        <s v="ST0746"/>
        <s v="ST0747"/>
        <s v="ST0748"/>
        <s v="ST0749"/>
        <s v="ST0750"/>
        <s v="ST0751"/>
        <s v="ST0752"/>
        <s v="ST0753"/>
        <s v="ST0754"/>
        <s v="ST0755"/>
        <s v="ST0756"/>
        <s v="ST0757"/>
        <s v="ST0758"/>
        <s v="ST0759"/>
        <s v="ST0760"/>
        <s v="ST0761"/>
        <s v="ST0762"/>
        <s v="ST0763"/>
        <s v="ST0764"/>
        <s v="ST0765"/>
        <s v="ST0766"/>
        <s v="ST0767"/>
        <s v="ST0768"/>
        <s v="ST0769"/>
        <s v="ST0770"/>
        <s v="ST0771"/>
        <s v="ST0772"/>
        <s v="ST0773"/>
        <s v="ST0774"/>
        <s v="ST0775"/>
        <s v="ST0776"/>
        <s v="ST0777"/>
        <s v="ST0778"/>
        <s v="ST0779"/>
        <s v="ST0780"/>
        <s v="ST0781"/>
        <s v="ST0782"/>
        <s v="ST0783"/>
        <s v="ST0784"/>
        <s v="ST0785"/>
        <s v="ST0786"/>
        <s v="ST0787"/>
        <s v="ST0788"/>
        <s v="ST0789"/>
        <s v="ST0790"/>
        <s v="ST0791"/>
        <s v="ST0792"/>
        <s v="ST0793"/>
        <s v="ST0794"/>
        <s v="ST0795"/>
        <s v="ST0796"/>
        <s v="ST0797"/>
        <s v="ST0798"/>
        <s v="ST0799"/>
        <s v="ST0800"/>
        <s v="ST0801"/>
        <s v="ST0802"/>
        <s v="ST0803"/>
        <s v="ST0804"/>
        <s v="ST0805"/>
        <s v="ST0806"/>
        <s v="ST0807"/>
        <s v="ST0808"/>
        <s v="ST0809"/>
        <s v="ST0810"/>
        <s v="ST0811"/>
        <s v="ST0812"/>
        <s v="ST0813"/>
        <s v="ST0814"/>
        <s v="ST0815"/>
        <s v="ST0816"/>
        <s v="ST0817"/>
        <s v="ST0818"/>
        <s v="ST0819"/>
        <s v="ST0820"/>
        <s v="ST0821"/>
        <s v="ST0822"/>
        <s v="ST0823"/>
        <s v="ST0824"/>
        <s v="ST0825"/>
        <s v="ST0826"/>
        <s v="ST0827"/>
        <s v="ST0828"/>
        <s v="ST0829"/>
        <s v="ST0830"/>
        <s v="ST0831"/>
        <s v="ST0832"/>
        <s v="ST0833"/>
        <s v="ST0834"/>
        <s v="ST0835"/>
        <s v="ST0836"/>
        <s v="ST0837"/>
        <s v="ST0838"/>
        <s v="ST0839"/>
        <s v="ST0840"/>
        <s v="ST0841"/>
        <s v="ST0842"/>
        <s v="ST0843"/>
        <s v="ST0844"/>
        <s v="ST0845"/>
        <s v="ST0846"/>
        <s v="ST0847"/>
        <s v="ST0848"/>
        <s v="ST0849"/>
        <s v="ST0850"/>
        <s v="ST0851"/>
        <s v="ST0852"/>
        <s v="ST0853"/>
        <s v="ST0854"/>
        <s v="ST0855"/>
        <s v="ST0856"/>
        <s v="ST0857"/>
        <s v="ST0858"/>
        <s v="ST0859"/>
        <s v="ST0860"/>
        <s v="ST0861"/>
        <s v="ST0862"/>
        <s v="ST0863"/>
        <s v="ST0864"/>
        <s v="ST0865"/>
        <s v="ST0866"/>
        <s v="ST0867"/>
        <s v="ST0868"/>
        <s v="ST0869"/>
        <s v="ST0870"/>
        <s v="ST0871"/>
        <s v="ST0872"/>
        <s v="ST0873"/>
        <s v="ST0874"/>
        <s v="ST0875"/>
        <s v="ST0876"/>
        <s v="ST0877"/>
        <s v="ST0878"/>
        <s v="ST0879"/>
        <s v="ST0880"/>
        <s v="ST0881"/>
        <s v="ST0882"/>
        <s v="ST0883"/>
        <s v="ST0884"/>
        <s v="ST0885"/>
        <s v="ST0886"/>
        <s v="ST0887"/>
        <s v="ST0888"/>
        <s v="ST0889"/>
        <s v="ST0890"/>
        <s v="ST0891"/>
        <s v="ST0892"/>
        <s v="ST0893"/>
        <s v="ST0894"/>
        <s v="ST0895"/>
        <s v="ST0896"/>
        <s v="ST0897"/>
        <s v="ST0898"/>
        <s v="ST0899"/>
        <s v="ST0900"/>
        <s v="ST0901"/>
        <s v="ST0902"/>
        <s v="ST0903"/>
        <s v="ST0904"/>
        <s v="ST0905"/>
        <s v="ST0906"/>
        <s v="ST0907"/>
        <s v="ST0908"/>
        <s v="ST0909"/>
        <s v="ST0910"/>
        <s v="ST0911"/>
        <s v="ST0912"/>
        <s v="ST0913"/>
        <s v="ST0914"/>
        <s v="ST0915"/>
        <s v="ST0916"/>
        <s v="ST0917"/>
        <s v="ST0918"/>
        <s v="ST0919"/>
        <s v="ST0920"/>
        <s v="ST0921"/>
        <s v="ST0922"/>
        <s v="ST0923"/>
        <s v="ST0924"/>
        <s v="ST0925"/>
        <s v="ST0926"/>
        <s v="ST0927"/>
        <s v="ST0928"/>
        <s v="ST0929"/>
        <s v="ST0930"/>
        <s v="ST0931"/>
        <s v="ST0932"/>
        <s v="ST0933"/>
        <s v="ST0934"/>
        <s v="ST0935"/>
        <s v="ST0936"/>
        <s v="ST0937"/>
        <s v="ST0938"/>
        <s v="ST0939"/>
        <s v="ST0940"/>
        <s v="ST0941"/>
        <s v="ST0942"/>
        <s v="ST0943"/>
        <s v="ST0944"/>
        <s v="ST0945"/>
        <s v="ST0946"/>
        <s v="ST0947"/>
        <s v="ST0948"/>
        <s v="ST0949"/>
        <s v="ST0950"/>
        <s v="ST0951"/>
        <s v="ST0952"/>
        <s v="ST0953"/>
        <s v="ST0954"/>
        <s v="ST0955"/>
        <s v="ST0956"/>
        <s v="ST0957"/>
        <s v="ST0958"/>
        <s v="ST0959"/>
        <s v="ST0960"/>
        <s v="ST0961"/>
        <s v="ST0962"/>
        <s v="ST0963"/>
        <s v="ST0964"/>
        <s v="ST0965"/>
        <s v="ST0966"/>
        <s v="ST0967"/>
        <s v="ST0968"/>
        <s v="ST0969"/>
        <s v="ST0970"/>
        <s v="ST0971"/>
        <s v="ST0972"/>
        <s v="ST0973"/>
        <s v="ST0974"/>
        <s v="ST0975"/>
        <s v="ST0976"/>
        <s v="ST0977"/>
        <s v="ST0978"/>
        <s v="ST0979"/>
        <s v="ST0980"/>
        <s v="ST0981"/>
        <s v="ST0982"/>
        <s v="ST0983"/>
        <s v="ST0984"/>
        <s v="ST0985"/>
        <s v="ST0986"/>
        <s v="ST0987"/>
        <s v="ST0988"/>
        <s v="ST0989"/>
        <s v="ST0990"/>
        <s v="ST0991"/>
        <s v="ST0992"/>
        <s v="ST0993"/>
        <s v="ST0994"/>
        <s v="ST0995"/>
        <s v="ST0996"/>
        <s v="ST0997"/>
        <s v="ST0998"/>
        <s v="ST0999"/>
        <s v="ST1000"/>
        <m/>
      </sharedItems>
    </cacheField>
    <cacheField name="Student_Name" numFmtId="0">
      <sharedItems containsBlank="1" count="238">
        <s v="Anitha Lakshmi"/>
        <s v="Priya Lakshmi"/>
        <s v="Priya Babu"/>
        <s v="Lavanya Reddy"/>
        <s v="Ajay Iyer"/>
        <s v="Divya Babu"/>
        <s v="Vimal Anand"/>
        <s v="Meena Reddy"/>
        <s v="Aarthi Kumar"/>
        <s v="Deepika Lakshmi"/>
        <s v="Divya Sharma"/>
        <s v="Rohit Babu"/>
        <s v="Rahul Iyer"/>
        <s v="Deepika Sharma"/>
        <s v="Lavanya Lakshmi"/>
        <s v="Anitha Krishnan"/>
        <s v="Meena Devi"/>
        <s v="Meena Raj"/>
        <s v="Sneha Iyer"/>
        <s v="Rohit Reddy"/>
        <s v="Deepika Devi"/>
        <s v="Rahul Devi"/>
        <s v="Deepika Anand"/>
        <s v="Rahul Kumar"/>
        <s v="Sneha Sharma"/>
        <s v="Ajay Lakshmi"/>
        <s v="Nisha Reddy"/>
        <s v="Vignesh Raj"/>
        <s v="Aarthi Lakshmi"/>
        <s v="Surya Iyer"/>
        <s v="Sneha Krishnan"/>
        <s v="Ajay Kumar"/>
        <s v="Arun Lakshmi"/>
        <s v="Anitha Raj"/>
        <s v="Deepika Krishnan"/>
        <s v="Priya Sharma"/>
        <s v="Nisha Iyer"/>
        <s v="Meena Kumar"/>
        <s v="Vignesh Lakshmi"/>
        <s v="Lavanya Raman"/>
        <s v="Kavin Babu"/>
        <s v="Arun Iyer"/>
        <s v="Meena Babu"/>
        <s v="Vimal Raman"/>
        <s v="Aarthi Sharma"/>
        <s v="Vignesh Reddy"/>
        <s v="Kavin Raman"/>
        <s v="Priya Krishnan"/>
        <s v="Keerthi Raman"/>
        <s v="Anitha Anand"/>
        <s v="Akash Sharma"/>
        <s v="Aarthi Reddy"/>
        <s v="Keerthi Singh"/>
        <s v="Rahul Sharma"/>
        <s v="Lavanya Raj"/>
        <s v="Kavin Lakshmi"/>
        <s v="Meena Anand"/>
        <s v="Nisha Kumar"/>
        <s v="Vignesh Sharma"/>
        <s v="Rahul Anand"/>
        <s v="Ajay Krishnan"/>
        <s v="Kavin Devi"/>
        <s v="Arun Raj"/>
        <s v="Harish Raman"/>
        <s v="Ajay Sharma"/>
        <s v="Akash Reddy"/>
        <s v="Keerthi Krishnan"/>
        <s v="Surya Babu"/>
        <s v="Vignesh Krishnan"/>
        <s v="Rohit Lakshmi"/>
        <s v="Nisha Anand"/>
        <s v="Rahul Singh"/>
        <s v="Kavin Iyer"/>
        <s v="Akash Babu"/>
        <s v="Rohit Sharma"/>
        <s v="Arun Devi"/>
        <s v="Rohit Raj"/>
        <s v="Deepika Babu"/>
        <s v="Vimal Babu"/>
        <s v="Keerthi Babu"/>
        <s v="Akash Raman"/>
        <s v="Nisha Raj"/>
        <s v="Aarthi Devi"/>
        <s v="Arun Babu"/>
        <s v="Arun Anand"/>
        <s v="Nisha Sharma"/>
        <s v="Keerthi Raj"/>
        <s v="Akash Kumar"/>
        <s v="Meena Krishnan"/>
        <s v="Lavanya Anand"/>
        <s v="Rohit Devi"/>
        <s v="Surya Sharma"/>
        <s v="Meena Singh"/>
        <s v="Priya Anand"/>
        <s v="Kavin Krishnan"/>
        <s v="Surya Raman"/>
        <s v="Surya Krishnan"/>
        <s v="Nisha Krishnan"/>
        <s v="Rohit Anand"/>
        <s v="Aarthi Iyer"/>
        <s v="Rohit Iyer"/>
        <s v="Keerthi Kumar"/>
        <s v="Kavin Kumar"/>
        <s v="Surya Raj"/>
        <s v="Vignesh Devi"/>
        <s v="Divya Krishnan"/>
        <s v="Rohit Kumar"/>
        <s v="Surya Anand"/>
        <s v="Harish Iyer"/>
        <s v="Aarthi Babu"/>
        <s v="Rahul Reddy"/>
        <s v="Arun Singh"/>
        <s v="Vimal Devi"/>
        <s v="Nisha Lakshmi"/>
        <s v="Deepika Singh"/>
        <s v="Rahul Babu"/>
        <s v="Kavin Anand"/>
        <s v="Sneha Devi"/>
        <s v="Divya Iyer"/>
        <s v="Lavanya Sharma"/>
        <s v="Anitha Kumar"/>
        <s v="Arun Krishnan"/>
        <s v="Keerthi Lakshmi"/>
        <s v="Vimal Kumar"/>
        <s v="Aarthi Singh"/>
        <s v="Ajay Devi"/>
        <s v="Vimal Lakshmi"/>
        <s v="Arun Raman"/>
        <s v="Vignesh Raman"/>
        <s v="Surya Kumar"/>
        <s v="Anitha Babu"/>
        <s v="Kavin Sharma"/>
        <s v="Harish Kumar"/>
        <s v="Akash Iyer"/>
        <s v="Lavanya Krishnan"/>
        <s v="Anitha Singh"/>
        <s v="Lavanya Iyer"/>
        <s v="Priya Reddy"/>
        <s v="Deepika Iyer"/>
        <s v="Surya Reddy"/>
        <s v="Nisha Raman"/>
        <s v="Sneha Kumar"/>
        <s v="Akash Raj"/>
        <s v="Sneha Raj"/>
        <s v="Priya Iyer"/>
        <s v="Lavanya Devi"/>
        <s v="Sneha Raman"/>
        <s v="Harish Reddy"/>
        <s v="Rahul Krishnan"/>
        <s v="Harish Sharma"/>
        <s v="Surya Singh"/>
        <s v="Deepika Reddy"/>
        <s v="Akash Krishnan"/>
        <s v="Harish Anand"/>
        <s v="Keerthi Iyer"/>
        <s v="Aarthi Anand"/>
        <s v="Divya Raj"/>
        <s v="Anitha Sharma"/>
        <s v="Kavin Reddy"/>
        <s v="Anitha Raman"/>
        <s v="Rohit Singh"/>
        <s v="Vimal Iyer"/>
        <s v="Lavanya Kumar"/>
        <s v="Keerthi Reddy"/>
        <s v="Meena Sharma"/>
        <s v="Sneha Singh"/>
        <s v="Akash Singh"/>
        <s v="Sneha Lakshmi"/>
        <s v="Sneha Babu"/>
        <s v="Vimal Reddy"/>
        <s v="Ajay Babu"/>
        <s v="Divya Devi"/>
        <s v="Priya Devi"/>
        <s v="Vimal Raj"/>
        <s v="Ajay Reddy"/>
        <s v="Keerthi Devi"/>
        <s v="Vimal Sharma"/>
        <s v="Divya Singh"/>
        <s v="Priya Raj"/>
        <s v="Sneha Anand"/>
        <s v="Surya Devi"/>
        <s v="Priya Singh"/>
        <s v="Vignesh Anand"/>
        <s v="Arun Reddy"/>
        <s v="Rohit Raman"/>
        <s v="Ajay Singh"/>
        <s v="Harish Lakshmi"/>
        <s v="Deepika Kumar"/>
        <s v="Sneha Reddy"/>
        <s v="Surya Lakshmi"/>
        <s v="Kavin Singh"/>
        <s v="Arun Kumar"/>
        <s v="Harish Babu"/>
        <s v="Aarthi Raman"/>
        <s v="Priya Raman"/>
        <s v="Anitha Devi"/>
        <s v="Divya Raman"/>
        <s v="Harish Singh"/>
        <s v="Rahul Raman"/>
        <s v="Divya Reddy"/>
        <s v="Meena Iyer"/>
        <s v="Harish Krishnan"/>
        <s v="Kavin Raj"/>
        <s v="Nisha Devi"/>
        <s v="Meena Lakshmi"/>
        <s v="Divya Lakshmi"/>
        <s v="Divya Anand"/>
        <s v="Anitha Reddy"/>
        <s v="Akash Devi"/>
        <s v="Vignesh Iyer"/>
        <s v="Akash Anand"/>
        <s v="Ajay Raj"/>
        <s v="Rahul Raj"/>
        <s v="Deepika Raman"/>
        <s v="Akash Lakshmi"/>
        <s v="Harish Devi"/>
        <s v="Keerthi Anand"/>
        <s v="Vimal Singh"/>
        <s v="Lavanya Singh"/>
        <s v="Keerthi Sharma"/>
        <s v="Nisha Babu"/>
        <s v="Rohit Krishnan"/>
        <s v="Aarthi Raj"/>
        <s v="Vimal Krishnan"/>
        <s v="Ajay Raman"/>
        <s v="Vignesh Singh"/>
        <s v="Vignesh Kumar"/>
        <s v="Rahul Lakshmi"/>
        <s v="Harish Raj"/>
        <s v="Meena Raman"/>
        <s v="Divya Kumar"/>
        <s v="Priya Kumar"/>
        <s v="Ajay Anand"/>
        <s v="Aarthi Krishnan"/>
        <s v="Lavanya Babu"/>
        <s v="Nisha Singh"/>
        <s v="Vignesh Babu"/>
        <m/>
      </sharedItems>
    </cacheField>
    <cacheField name="Age" numFmtId="0">
      <sharedItems containsString="0" containsBlank="1" containsNumber="1" containsInteger="1" minValue="18" maxValue="28" count="12">
        <n v="28"/>
        <n v="27"/>
        <n v="23"/>
        <n v="18"/>
        <n v="20"/>
        <n v="19"/>
        <n v="26"/>
        <n v="21"/>
        <n v="22"/>
        <n v="24"/>
        <n v="25"/>
        <m/>
      </sharedItems>
    </cacheField>
    <cacheField name="Gender" numFmtId="0">
      <sharedItems containsBlank="1" count="3">
        <s v="Female"/>
        <s v="Male"/>
        <m/>
      </sharedItems>
    </cacheField>
    <cacheField name="City" numFmtId="0">
      <sharedItems containsBlank="1"/>
    </cacheField>
    <cacheField name="Course_Name" numFmtId="0">
      <sharedItems containsBlank="1" count="9">
        <s v="Power BI"/>
        <s v="SQL"/>
        <s v="Tableau"/>
        <s v="Data Analytics"/>
        <s v="Python"/>
        <s v="Advanced Excel"/>
        <s v="Machine Learning"/>
        <s v="Statistics"/>
        <m/>
      </sharedItems>
    </cacheField>
    <cacheField name="Instructor" numFmtId="0">
      <sharedItems containsBlank="1"/>
    </cacheField>
    <cacheField name="Quiz_Score" numFmtId="0">
      <sharedItems containsString="0" containsBlank="1" containsNumber="1" containsInteger="1" minValue="35" maxValue="100"/>
    </cacheField>
    <cacheField name="Attendance_%" numFmtId="0">
      <sharedItems containsString="0" containsBlank="1" containsNumber="1" containsInteger="1" minValue="60" maxValue="100"/>
    </cacheField>
    <cacheField name="Performance_Rating" numFmtId="0">
      <sharedItems containsBlank="1" count="5">
        <s v="Poor"/>
        <s v="Good"/>
        <s v="Excellent"/>
        <s v="Average"/>
        <m/>
      </sharedItems>
    </cacheField>
    <cacheField name="Course_Fee" numFmtId="0">
      <sharedItems containsString="0" containsBlank="1" containsNumber="1" containsInteger="1" minValue="10000" maxValue="20000"/>
    </cacheField>
    <cacheField name="Paid" numFmtId="0">
      <sharedItems containsString="0" containsBlank="1" containsNumber="1" containsInteger="1" minValue="6030" maxValue="23600"/>
    </cacheField>
    <cacheField name="Balance" numFmtId="0">
      <sharedItems containsString="0" containsBlank="1" containsNumber="1" containsInteger="1" minValue="0" maxValue="4000"/>
    </cacheField>
    <cacheField name="Payment_Status" numFmtId="0">
      <sharedItems containsBlank="1" count="3">
        <s v="Pending"/>
        <s v="Paid"/>
        <m/>
      </sharedItems>
    </cacheField>
    <cacheField name="Dropout_Student" numFmtId="0">
      <sharedItems containsBlank="1"/>
    </cacheField>
    <cacheField name="Course_Start_Date" numFmtId="0">
      <sharedItems containsNonDate="0" containsDate="1" containsString="0" containsBlank="1" minDate="2025-01-01T00:00:00" maxDate="2026-01-01T00:00:00"/>
    </cacheField>
    <cacheField name="Course_End_Date" numFmtId="0">
      <sharedItems containsNonDate="0" containsDate="1" containsString="0" containsBlank="1" minDate="2025-01-31T00:00:00" maxDate="2026-06-25T00:00:00"/>
    </cacheField>
    <cacheField name="Login_Time" numFmtId="0">
      <sharedItems containsNonDate="0" containsDate="1" containsString="0" containsBlank="1" minDate="1899-12-30T08:00:00" maxDate="1899-12-30T11:00:00"/>
    </cacheField>
    <cacheField name="Logout_Time" numFmtId="0">
      <sharedItems containsNonDate="0" containsDate="1" containsString="0" containsBlank="1" minDate="1899-12-30T09:06:00" maxDate="1899-12-30T15:53:00"/>
    </cacheField>
    <cacheField name="Grade" numFmtId="0">
      <sharedItems containsBlank="1"/>
    </cacheField>
    <cacheField name="Convert_Login_Time" numFmtId="0">
      <sharedItems containsBlank="1"/>
    </cacheField>
    <cacheField name="Course_Deadline_Check" numFmtId="0">
      <sharedItems containsBlank="1"/>
    </cacheField>
    <cacheField name="HOUR_and_MINUTE" numFmtId="0">
      <sharedItems containsBlank="1"/>
    </cacheField>
    <cacheField name="Login_Status" numFmtId="0">
      <sharedItems containsBlank="1" count="3">
        <s v="Long Time Login"/>
        <s v="Short Time Login"/>
        <m/>
      </sharedItems>
    </cacheField>
  </cacheFields>
  <extLst>
    <ext xmlns:x14="http://schemas.microsoft.com/office/spreadsheetml/2009/9/main" uri="{725AE2AE-9491-48be-B2B4-4EB974FC3084}">
      <x14:pivotCacheDefinition pivotCacheId="19501305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a A" refreshedDate="46217.450616203707" createdVersion="8" refreshedVersion="8" minRefreshableVersion="3" recordCount="1000" xr:uid="{B0CAEAD1-9449-4C62-9325-7195BEED4421}">
  <cacheSource type="worksheet">
    <worksheetSource name="Dataset"/>
  </cacheSource>
  <cacheFields count="24">
    <cacheField name="Student_ID" numFmtId="0">
      <sharedItems count="1000">
        <s v="ST0001"/>
        <s v="ST0002"/>
        <s v="ST0003"/>
        <s v="ST0004"/>
        <s v="ST0005"/>
        <s v="ST0006"/>
        <s v="ST0007"/>
        <s v="ST0008"/>
        <s v="ST0009"/>
        <s v="ST0010"/>
        <s v="ST0011"/>
        <s v="ST0012"/>
        <s v="ST0013"/>
        <s v="ST0014"/>
        <s v="ST0015"/>
        <s v="ST0016"/>
        <s v="ST0017"/>
        <s v="ST0018"/>
        <s v="ST0019"/>
        <s v="ST0020"/>
        <s v="ST0021"/>
        <s v="ST0022"/>
        <s v="ST0023"/>
        <s v="ST0024"/>
        <s v="ST0025"/>
        <s v="ST0026"/>
        <s v="ST0027"/>
        <s v="ST0028"/>
        <s v="ST0029"/>
        <s v="ST0030"/>
        <s v="ST0031"/>
        <s v="ST0032"/>
        <s v="ST0033"/>
        <s v="ST0034"/>
        <s v="ST0035"/>
        <s v="ST0036"/>
        <s v="ST0037"/>
        <s v="ST0038"/>
        <s v="ST0039"/>
        <s v="ST0040"/>
        <s v="ST0041"/>
        <s v="ST0042"/>
        <s v="ST0043"/>
        <s v="ST0044"/>
        <s v="ST0045"/>
        <s v="ST0046"/>
        <s v="ST0047"/>
        <s v="ST0048"/>
        <s v="ST0049"/>
        <s v="ST0050"/>
        <s v="ST0051"/>
        <s v="ST0052"/>
        <s v="ST0053"/>
        <s v="ST0054"/>
        <s v="ST0055"/>
        <s v="ST0056"/>
        <s v="ST0057"/>
        <s v="ST0058"/>
        <s v="ST0059"/>
        <s v="ST0060"/>
        <s v="ST0061"/>
        <s v="ST0062"/>
        <s v="ST0063"/>
        <s v="ST0064"/>
        <s v="ST0065"/>
        <s v="ST0066"/>
        <s v="ST0067"/>
        <s v="ST0068"/>
        <s v="ST0069"/>
        <s v="ST0070"/>
        <s v="ST0071"/>
        <s v="ST0072"/>
        <s v="ST0073"/>
        <s v="ST0074"/>
        <s v="ST0075"/>
        <s v="ST0076"/>
        <s v="ST0077"/>
        <s v="ST0078"/>
        <s v="ST0079"/>
        <s v="ST0080"/>
        <s v="ST0081"/>
        <s v="ST0082"/>
        <s v="ST0083"/>
        <s v="ST0084"/>
        <s v="ST0085"/>
        <s v="ST0086"/>
        <s v="ST0087"/>
        <s v="ST0088"/>
        <s v="ST0089"/>
        <s v="ST0090"/>
        <s v="ST0091"/>
        <s v="ST0092"/>
        <s v="ST0093"/>
        <s v="ST0094"/>
        <s v="ST0095"/>
        <s v="ST0096"/>
        <s v="ST0097"/>
        <s v="ST0098"/>
        <s v="ST0099"/>
        <s v="ST0100"/>
        <s v="ST0101"/>
        <s v="ST0102"/>
        <s v="ST0103"/>
        <s v="ST0104"/>
        <s v="ST0105"/>
        <s v="ST0106"/>
        <s v="ST0107"/>
        <s v="ST0108"/>
        <s v="ST0109"/>
        <s v="ST0110"/>
        <s v="ST0111"/>
        <s v="ST0112"/>
        <s v="ST0113"/>
        <s v="ST0114"/>
        <s v="ST0115"/>
        <s v="ST0116"/>
        <s v="ST0117"/>
        <s v="ST0118"/>
        <s v="ST0119"/>
        <s v="ST0120"/>
        <s v="ST0121"/>
        <s v="ST0122"/>
        <s v="ST0123"/>
        <s v="ST0124"/>
        <s v="ST0125"/>
        <s v="ST0126"/>
        <s v="ST0127"/>
        <s v="ST0128"/>
        <s v="ST0129"/>
        <s v="ST0130"/>
        <s v="ST0131"/>
        <s v="ST0132"/>
        <s v="ST0133"/>
        <s v="ST0134"/>
        <s v="ST0135"/>
        <s v="ST0136"/>
        <s v="ST0137"/>
        <s v="ST0138"/>
        <s v="ST0139"/>
        <s v="ST0140"/>
        <s v="ST0141"/>
        <s v="ST0142"/>
        <s v="ST0143"/>
        <s v="ST0144"/>
        <s v="ST0145"/>
        <s v="ST0146"/>
        <s v="ST0147"/>
        <s v="ST0148"/>
        <s v="ST0149"/>
        <s v="ST0150"/>
        <s v="ST0151"/>
        <s v="ST0152"/>
        <s v="ST0153"/>
        <s v="ST0154"/>
        <s v="ST0155"/>
        <s v="ST0156"/>
        <s v="ST0157"/>
        <s v="ST0158"/>
        <s v="ST0159"/>
        <s v="ST0160"/>
        <s v="ST0161"/>
        <s v="ST0162"/>
        <s v="ST0163"/>
        <s v="ST0164"/>
        <s v="ST0165"/>
        <s v="ST0166"/>
        <s v="ST0167"/>
        <s v="ST0168"/>
        <s v="ST0169"/>
        <s v="ST0170"/>
        <s v="ST0171"/>
        <s v="ST0172"/>
        <s v="ST0173"/>
        <s v="ST0174"/>
        <s v="ST0175"/>
        <s v="ST0176"/>
        <s v="ST0177"/>
        <s v="ST0178"/>
        <s v="ST0179"/>
        <s v="ST0180"/>
        <s v="ST0181"/>
        <s v="ST0182"/>
        <s v="ST0183"/>
        <s v="ST0184"/>
        <s v="ST0185"/>
        <s v="ST0186"/>
        <s v="ST0187"/>
        <s v="ST0188"/>
        <s v="ST0189"/>
        <s v="ST0190"/>
        <s v="ST0191"/>
        <s v="ST0192"/>
        <s v="ST0193"/>
        <s v="ST0194"/>
        <s v="ST0195"/>
        <s v="ST0196"/>
        <s v="ST0197"/>
        <s v="ST0198"/>
        <s v="ST0199"/>
        <s v="ST0200"/>
        <s v="ST0201"/>
        <s v="ST0202"/>
        <s v="ST0203"/>
        <s v="ST0204"/>
        <s v="ST0205"/>
        <s v="ST0206"/>
        <s v="ST0207"/>
        <s v="ST0208"/>
        <s v="ST0209"/>
        <s v="ST0210"/>
        <s v="ST0211"/>
        <s v="ST0212"/>
        <s v="ST0213"/>
        <s v="ST0214"/>
        <s v="ST0215"/>
        <s v="ST0216"/>
        <s v="ST0217"/>
        <s v="ST0218"/>
        <s v="ST0219"/>
        <s v="ST0220"/>
        <s v="ST0221"/>
        <s v="ST0222"/>
        <s v="ST0223"/>
        <s v="ST0224"/>
        <s v="ST0225"/>
        <s v="ST0226"/>
        <s v="ST0227"/>
        <s v="ST0228"/>
        <s v="ST0229"/>
        <s v="ST0230"/>
        <s v="ST0231"/>
        <s v="ST0232"/>
        <s v="ST0233"/>
        <s v="ST0234"/>
        <s v="ST0235"/>
        <s v="ST0236"/>
        <s v="ST0237"/>
        <s v="ST0238"/>
        <s v="ST0239"/>
        <s v="ST0240"/>
        <s v="ST0241"/>
        <s v="ST0242"/>
        <s v="ST0243"/>
        <s v="ST0244"/>
        <s v="ST0245"/>
        <s v="ST0246"/>
        <s v="ST0247"/>
        <s v="ST0248"/>
        <s v="ST0249"/>
        <s v="ST0250"/>
        <s v="ST0251"/>
        <s v="ST0252"/>
        <s v="ST0253"/>
        <s v="ST0254"/>
        <s v="ST0255"/>
        <s v="ST0256"/>
        <s v="ST0257"/>
        <s v="ST0258"/>
        <s v="ST0259"/>
        <s v="ST0260"/>
        <s v="ST0261"/>
        <s v="ST0262"/>
        <s v="ST0263"/>
        <s v="ST0264"/>
        <s v="ST0265"/>
        <s v="ST0266"/>
        <s v="ST0267"/>
        <s v="ST0268"/>
        <s v="ST0269"/>
        <s v="ST0270"/>
        <s v="ST0271"/>
        <s v="ST0272"/>
        <s v="ST0273"/>
        <s v="ST0274"/>
        <s v="ST0275"/>
        <s v="ST0276"/>
        <s v="ST0277"/>
        <s v="ST0278"/>
        <s v="ST0279"/>
        <s v="ST0280"/>
        <s v="ST0281"/>
        <s v="ST0282"/>
        <s v="ST0283"/>
        <s v="ST0284"/>
        <s v="ST0285"/>
        <s v="ST0286"/>
        <s v="ST0287"/>
        <s v="ST0288"/>
        <s v="ST0289"/>
        <s v="ST0290"/>
        <s v="ST0291"/>
        <s v="ST0292"/>
        <s v="ST0293"/>
        <s v="ST0294"/>
        <s v="ST0295"/>
        <s v="ST0296"/>
        <s v="ST0297"/>
        <s v="ST0298"/>
        <s v="ST0299"/>
        <s v="ST0300"/>
        <s v="ST0301"/>
        <s v="ST0302"/>
        <s v="ST0303"/>
        <s v="ST0304"/>
        <s v="ST0305"/>
        <s v="ST0306"/>
        <s v="ST0307"/>
        <s v="ST0308"/>
        <s v="ST0309"/>
        <s v="ST0310"/>
        <s v="ST0311"/>
        <s v="ST0312"/>
        <s v="ST0313"/>
        <s v="ST0314"/>
        <s v="ST0315"/>
        <s v="ST0316"/>
        <s v="ST0317"/>
        <s v="ST0318"/>
        <s v="ST0319"/>
        <s v="ST0320"/>
        <s v="ST0321"/>
        <s v="ST0322"/>
        <s v="ST0323"/>
        <s v="ST0324"/>
        <s v="ST0325"/>
        <s v="ST0326"/>
        <s v="ST0327"/>
        <s v="ST0328"/>
        <s v="ST0329"/>
        <s v="ST0330"/>
        <s v="ST0331"/>
        <s v="ST0332"/>
        <s v="ST0333"/>
        <s v="ST0334"/>
        <s v="ST0335"/>
        <s v="ST0336"/>
        <s v="ST0337"/>
        <s v="ST0338"/>
        <s v="ST0339"/>
        <s v="ST0340"/>
        <s v="ST0341"/>
        <s v="ST0342"/>
        <s v="ST0343"/>
        <s v="ST0344"/>
        <s v="ST0345"/>
        <s v="ST0346"/>
        <s v="ST0347"/>
        <s v="ST0348"/>
        <s v="ST0349"/>
        <s v="ST0350"/>
        <s v="ST0351"/>
        <s v="ST0352"/>
        <s v="ST0353"/>
        <s v="ST0354"/>
        <s v="ST0355"/>
        <s v="ST0356"/>
        <s v="ST0357"/>
        <s v="ST0358"/>
        <s v="ST0359"/>
        <s v="ST0360"/>
        <s v="ST0361"/>
        <s v="ST0362"/>
        <s v="ST0363"/>
        <s v="ST0364"/>
        <s v="ST0365"/>
        <s v="ST0366"/>
        <s v="ST0367"/>
        <s v="ST0368"/>
        <s v="ST0369"/>
        <s v="ST0370"/>
        <s v="ST0371"/>
        <s v="ST0372"/>
        <s v="ST0373"/>
        <s v="ST0374"/>
        <s v="ST0375"/>
        <s v="ST0376"/>
        <s v="ST0377"/>
        <s v="ST0378"/>
        <s v="ST0379"/>
        <s v="ST0380"/>
        <s v="ST0381"/>
        <s v="ST0382"/>
        <s v="ST0383"/>
        <s v="ST0384"/>
        <s v="ST0385"/>
        <s v="ST0386"/>
        <s v="ST0387"/>
        <s v="ST0388"/>
        <s v="ST0389"/>
        <s v="ST0390"/>
        <s v="ST0391"/>
        <s v="ST0392"/>
        <s v="ST0393"/>
        <s v="ST0394"/>
        <s v="ST0395"/>
        <s v="ST0396"/>
        <s v="ST0397"/>
        <s v="ST0398"/>
        <s v="ST0399"/>
        <s v="ST0400"/>
        <s v="ST0401"/>
        <s v="ST0402"/>
        <s v="ST0403"/>
        <s v="ST0404"/>
        <s v="ST0405"/>
        <s v="ST0406"/>
        <s v="ST0407"/>
        <s v="ST0408"/>
        <s v="ST0409"/>
        <s v="ST0410"/>
        <s v="ST0411"/>
        <s v="ST0412"/>
        <s v="ST0413"/>
        <s v="ST0414"/>
        <s v="ST0415"/>
        <s v="ST0416"/>
        <s v="ST0417"/>
        <s v="ST0418"/>
        <s v="ST0419"/>
        <s v="ST0420"/>
        <s v="ST0421"/>
        <s v="ST0422"/>
        <s v="ST0423"/>
        <s v="ST0424"/>
        <s v="ST0425"/>
        <s v="ST0426"/>
        <s v="ST0427"/>
        <s v="ST0428"/>
        <s v="ST0429"/>
        <s v="ST0430"/>
        <s v="ST0431"/>
        <s v="ST0432"/>
        <s v="ST0433"/>
        <s v="ST0434"/>
        <s v="ST0435"/>
        <s v="ST0436"/>
        <s v="ST0437"/>
        <s v="ST0438"/>
        <s v="ST0439"/>
        <s v="ST0440"/>
        <s v="ST0441"/>
        <s v="ST0442"/>
        <s v="ST0443"/>
        <s v="ST0444"/>
        <s v="ST0445"/>
        <s v="ST0446"/>
        <s v="ST0447"/>
        <s v="ST0448"/>
        <s v="ST0449"/>
        <s v="ST0450"/>
        <s v="ST0451"/>
        <s v="ST0452"/>
        <s v="ST0453"/>
        <s v="ST0454"/>
        <s v="ST0455"/>
        <s v="ST0456"/>
        <s v="ST0457"/>
        <s v="ST0458"/>
        <s v="ST0459"/>
        <s v="ST0460"/>
        <s v="ST0461"/>
        <s v="ST0462"/>
        <s v="ST0463"/>
        <s v="ST0464"/>
        <s v="ST0465"/>
        <s v="ST0466"/>
        <s v="ST0467"/>
        <s v="ST0468"/>
        <s v="ST0469"/>
        <s v="ST0470"/>
        <s v="ST0471"/>
        <s v="ST0472"/>
        <s v="ST0473"/>
        <s v="ST0474"/>
        <s v="ST0475"/>
        <s v="ST0476"/>
        <s v="ST0477"/>
        <s v="ST0478"/>
        <s v="ST0479"/>
        <s v="ST0480"/>
        <s v="ST0481"/>
        <s v="ST0482"/>
        <s v="ST0483"/>
        <s v="ST0484"/>
        <s v="ST0485"/>
        <s v="ST0486"/>
        <s v="ST0487"/>
        <s v="ST0488"/>
        <s v="ST0489"/>
        <s v="ST0490"/>
        <s v="ST0491"/>
        <s v="ST0492"/>
        <s v="ST0493"/>
        <s v="ST0494"/>
        <s v="ST0495"/>
        <s v="ST0496"/>
        <s v="ST0497"/>
        <s v="ST0498"/>
        <s v="ST0499"/>
        <s v="ST0500"/>
        <s v="ST0501"/>
        <s v="ST0502"/>
        <s v="ST0503"/>
        <s v="ST0504"/>
        <s v="ST0505"/>
        <s v="ST0506"/>
        <s v="ST0507"/>
        <s v="ST0508"/>
        <s v="ST0509"/>
        <s v="ST0510"/>
        <s v="ST0511"/>
        <s v="ST0512"/>
        <s v="ST0513"/>
        <s v="ST0514"/>
        <s v="ST0515"/>
        <s v="ST0516"/>
        <s v="ST0517"/>
        <s v="ST0518"/>
        <s v="ST0519"/>
        <s v="ST0520"/>
        <s v="ST0521"/>
        <s v="ST0522"/>
        <s v="ST0523"/>
        <s v="ST0524"/>
        <s v="ST0525"/>
        <s v="ST0526"/>
        <s v="ST0527"/>
        <s v="ST0528"/>
        <s v="ST0529"/>
        <s v="ST0530"/>
        <s v="ST0531"/>
        <s v="ST0532"/>
        <s v="ST0533"/>
        <s v="ST0534"/>
        <s v="ST0535"/>
        <s v="ST0536"/>
        <s v="ST0537"/>
        <s v="ST0538"/>
        <s v="ST0539"/>
        <s v="ST0540"/>
        <s v="ST0541"/>
        <s v="ST0542"/>
        <s v="ST0543"/>
        <s v="ST0544"/>
        <s v="ST0545"/>
        <s v="ST0546"/>
        <s v="ST0547"/>
        <s v="ST0548"/>
        <s v="ST0549"/>
        <s v="ST0550"/>
        <s v="ST0551"/>
        <s v="ST0552"/>
        <s v="ST0553"/>
        <s v="ST0554"/>
        <s v="ST0555"/>
        <s v="ST0556"/>
        <s v="ST0557"/>
        <s v="ST0558"/>
        <s v="ST0559"/>
        <s v="ST0560"/>
        <s v="ST0561"/>
        <s v="ST0562"/>
        <s v="ST0563"/>
        <s v="ST0564"/>
        <s v="ST0565"/>
        <s v="ST0566"/>
        <s v="ST0567"/>
        <s v="ST0568"/>
        <s v="ST0569"/>
        <s v="ST0570"/>
        <s v="ST0571"/>
        <s v="ST0572"/>
        <s v="ST0573"/>
        <s v="ST0574"/>
        <s v="ST0575"/>
        <s v="ST0576"/>
        <s v="ST0577"/>
        <s v="ST0578"/>
        <s v="ST0579"/>
        <s v="ST0580"/>
        <s v="ST0581"/>
        <s v="ST0582"/>
        <s v="ST0583"/>
        <s v="ST0584"/>
        <s v="ST0585"/>
        <s v="ST0586"/>
        <s v="ST0587"/>
        <s v="ST0588"/>
        <s v="ST0589"/>
        <s v="ST0590"/>
        <s v="ST0591"/>
        <s v="ST0592"/>
        <s v="ST0593"/>
        <s v="ST0594"/>
        <s v="ST0595"/>
        <s v="ST0596"/>
        <s v="ST0597"/>
        <s v="ST0598"/>
        <s v="ST0599"/>
        <s v="ST0600"/>
        <s v="ST0601"/>
        <s v="ST0602"/>
        <s v="ST0603"/>
        <s v="ST0604"/>
        <s v="ST0605"/>
        <s v="ST0606"/>
        <s v="ST0607"/>
        <s v="ST0608"/>
        <s v="ST0609"/>
        <s v="ST0610"/>
        <s v="ST0611"/>
        <s v="ST0612"/>
        <s v="ST0613"/>
        <s v="ST0614"/>
        <s v="ST0615"/>
        <s v="ST0616"/>
        <s v="ST0617"/>
        <s v="ST0618"/>
        <s v="ST0619"/>
        <s v="ST0620"/>
        <s v="ST0621"/>
        <s v="ST0622"/>
        <s v="ST0623"/>
        <s v="ST0624"/>
        <s v="ST0625"/>
        <s v="ST0626"/>
        <s v="ST0627"/>
        <s v="ST0628"/>
        <s v="ST0629"/>
        <s v="ST0630"/>
        <s v="ST0631"/>
        <s v="ST0632"/>
        <s v="ST0633"/>
        <s v="ST0634"/>
        <s v="ST0635"/>
        <s v="ST0636"/>
        <s v="ST0637"/>
        <s v="ST0638"/>
        <s v="ST0639"/>
        <s v="ST0640"/>
        <s v="ST0641"/>
        <s v="ST0642"/>
        <s v="ST0643"/>
        <s v="ST0644"/>
        <s v="ST0645"/>
        <s v="ST0646"/>
        <s v="ST0647"/>
        <s v="ST0648"/>
        <s v="ST0649"/>
        <s v="ST0650"/>
        <s v="ST0651"/>
        <s v="ST0652"/>
        <s v="ST0653"/>
        <s v="ST0654"/>
        <s v="ST0655"/>
        <s v="ST0656"/>
        <s v="ST0657"/>
        <s v="ST0658"/>
        <s v="ST0659"/>
        <s v="ST0660"/>
        <s v="ST0661"/>
        <s v="ST0662"/>
        <s v="ST0663"/>
        <s v="ST0664"/>
        <s v="ST0665"/>
        <s v="ST0666"/>
        <s v="ST0667"/>
        <s v="ST0668"/>
        <s v="ST0669"/>
        <s v="ST0670"/>
        <s v="ST0671"/>
        <s v="ST0672"/>
        <s v="ST0673"/>
        <s v="ST0674"/>
        <s v="ST0675"/>
        <s v="ST0676"/>
        <s v="ST0677"/>
        <s v="ST0678"/>
        <s v="ST0679"/>
        <s v="ST0680"/>
        <s v="ST0681"/>
        <s v="ST0682"/>
        <s v="ST0683"/>
        <s v="ST0684"/>
        <s v="ST0685"/>
        <s v="ST0686"/>
        <s v="ST0687"/>
        <s v="ST0688"/>
        <s v="ST0689"/>
        <s v="ST0690"/>
        <s v="ST0691"/>
        <s v="ST0692"/>
        <s v="ST0693"/>
        <s v="ST0694"/>
        <s v="ST0695"/>
        <s v="ST0696"/>
        <s v="ST0697"/>
        <s v="ST0698"/>
        <s v="ST0699"/>
        <s v="ST0700"/>
        <s v="ST0701"/>
        <s v="ST0702"/>
        <s v="ST0703"/>
        <s v="ST0704"/>
        <s v="ST0705"/>
        <s v="ST0706"/>
        <s v="ST0707"/>
        <s v="ST0708"/>
        <s v="ST0709"/>
        <s v="ST0710"/>
        <s v="ST0711"/>
        <s v="ST0712"/>
        <s v="ST0713"/>
        <s v="ST0714"/>
        <s v="ST0715"/>
        <s v="ST0716"/>
        <s v="ST0717"/>
        <s v="ST0718"/>
        <s v="ST0719"/>
        <s v="ST0720"/>
        <s v="ST0721"/>
        <s v="ST0722"/>
        <s v="ST0723"/>
        <s v="ST0724"/>
        <s v="ST0725"/>
        <s v="ST0726"/>
        <s v="ST0727"/>
        <s v="ST0728"/>
        <s v="ST0729"/>
        <s v="ST0730"/>
        <s v="ST0731"/>
        <s v="ST0732"/>
        <s v="ST0733"/>
        <s v="ST0734"/>
        <s v="ST0735"/>
        <s v="ST0736"/>
        <s v="ST0737"/>
        <s v="ST0738"/>
        <s v="ST0739"/>
        <s v="ST0740"/>
        <s v="ST0741"/>
        <s v="ST0742"/>
        <s v="ST0743"/>
        <s v="ST0744"/>
        <s v="ST0745"/>
        <s v="ST0746"/>
        <s v="ST0747"/>
        <s v="ST0748"/>
        <s v="ST0749"/>
        <s v="ST0750"/>
        <s v="ST0751"/>
        <s v="ST0752"/>
        <s v="ST0753"/>
        <s v="ST0754"/>
        <s v="ST0755"/>
        <s v="ST0756"/>
        <s v="ST0757"/>
        <s v="ST0758"/>
        <s v="ST0759"/>
        <s v="ST0760"/>
        <s v="ST0761"/>
        <s v="ST0762"/>
        <s v="ST0763"/>
        <s v="ST0764"/>
        <s v="ST0765"/>
        <s v="ST0766"/>
        <s v="ST0767"/>
        <s v="ST0768"/>
        <s v="ST0769"/>
        <s v="ST0770"/>
        <s v="ST0771"/>
        <s v="ST0772"/>
        <s v="ST0773"/>
        <s v="ST0774"/>
        <s v="ST0775"/>
        <s v="ST0776"/>
        <s v="ST0777"/>
        <s v="ST0778"/>
        <s v="ST0779"/>
        <s v="ST0780"/>
        <s v="ST0781"/>
        <s v="ST0782"/>
        <s v="ST0783"/>
        <s v="ST0784"/>
        <s v="ST0785"/>
        <s v="ST0786"/>
        <s v="ST0787"/>
        <s v="ST0788"/>
        <s v="ST0789"/>
        <s v="ST0790"/>
        <s v="ST0791"/>
        <s v="ST0792"/>
        <s v="ST0793"/>
        <s v="ST0794"/>
        <s v="ST0795"/>
        <s v="ST0796"/>
        <s v="ST0797"/>
        <s v="ST0798"/>
        <s v="ST0799"/>
        <s v="ST0800"/>
        <s v="ST0801"/>
        <s v="ST0802"/>
        <s v="ST0803"/>
        <s v="ST0804"/>
        <s v="ST0805"/>
        <s v="ST0806"/>
        <s v="ST0807"/>
        <s v="ST0808"/>
        <s v="ST0809"/>
        <s v="ST0810"/>
        <s v="ST0811"/>
        <s v="ST0812"/>
        <s v="ST0813"/>
        <s v="ST0814"/>
        <s v="ST0815"/>
        <s v="ST0816"/>
        <s v="ST0817"/>
        <s v="ST0818"/>
        <s v="ST0819"/>
        <s v="ST0820"/>
        <s v="ST0821"/>
        <s v="ST0822"/>
        <s v="ST0823"/>
        <s v="ST0824"/>
        <s v="ST0825"/>
        <s v="ST0826"/>
        <s v="ST0827"/>
        <s v="ST0828"/>
        <s v="ST0829"/>
        <s v="ST0830"/>
        <s v="ST0831"/>
        <s v="ST0832"/>
        <s v="ST0833"/>
        <s v="ST0834"/>
        <s v="ST0835"/>
        <s v="ST0836"/>
        <s v="ST0837"/>
        <s v="ST0838"/>
        <s v="ST0839"/>
        <s v="ST0840"/>
        <s v="ST0841"/>
        <s v="ST0842"/>
        <s v="ST0843"/>
        <s v="ST0844"/>
        <s v="ST0845"/>
        <s v="ST0846"/>
        <s v="ST0847"/>
        <s v="ST0848"/>
        <s v="ST0849"/>
        <s v="ST0850"/>
        <s v="ST0851"/>
        <s v="ST0852"/>
        <s v="ST0853"/>
        <s v="ST0854"/>
        <s v="ST0855"/>
        <s v="ST0856"/>
        <s v="ST0857"/>
        <s v="ST0858"/>
        <s v="ST0859"/>
        <s v="ST0860"/>
        <s v="ST0861"/>
        <s v="ST0862"/>
        <s v="ST0863"/>
        <s v="ST0864"/>
        <s v="ST0865"/>
        <s v="ST0866"/>
        <s v="ST0867"/>
        <s v="ST0868"/>
        <s v="ST0869"/>
        <s v="ST0870"/>
        <s v="ST0871"/>
        <s v="ST0872"/>
        <s v="ST0873"/>
        <s v="ST0874"/>
        <s v="ST0875"/>
        <s v="ST0876"/>
        <s v="ST0877"/>
        <s v="ST0878"/>
        <s v="ST0879"/>
        <s v="ST0880"/>
        <s v="ST0881"/>
        <s v="ST0882"/>
        <s v="ST0883"/>
        <s v="ST0884"/>
        <s v="ST0885"/>
        <s v="ST0886"/>
        <s v="ST0887"/>
        <s v="ST0888"/>
        <s v="ST0889"/>
        <s v="ST0890"/>
        <s v="ST0891"/>
        <s v="ST0892"/>
        <s v="ST0893"/>
        <s v="ST0894"/>
        <s v="ST0895"/>
        <s v="ST0896"/>
        <s v="ST0897"/>
        <s v="ST0898"/>
        <s v="ST0899"/>
        <s v="ST0900"/>
        <s v="ST0901"/>
        <s v="ST0902"/>
        <s v="ST0903"/>
        <s v="ST0904"/>
        <s v="ST0905"/>
        <s v="ST0906"/>
        <s v="ST0907"/>
        <s v="ST0908"/>
        <s v="ST0909"/>
        <s v="ST0910"/>
        <s v="ST0911"/>
        <s v="ST0912"/>
        <s v="ST0913"/>
        <s v="ST0914"/>
        <s v="ST0915"/>
        <s v="ST0916"/>
        <s v="ST0917"/>
        <s v="ST0918"/>
        <s v="ST0919"/>
        <s v="ST0920"/>
        <s v="ST0921"/>
        <s v="ST0922"/>
        <s v="ST0923"/>
        <s v="ST0924"/>
        <s v="ST0925"/>
        <s v="ST0926"/>
        <s v="ST0927"/>
        <s v="ST0928"/>
        <s v="ST0929"/>
        <s v="ST0930"/>
        <s v="ST0931"/>
        <s v="ST0932"/>
        <s v="ST0933"/>
        <s v="ST0934"/>
        <s v="ST0935"/>
        <s v="ST0936"/>
        <s v="ST0937"/>
        <s v="ST0938"/>
        <s v="ST0939"/>
        <s v="ST0940"/>
        <s v="ST0941"/>
        <s v="ST0942"/>
        <s v="ST0943"/>
        <s v="ST0944"/>
        <s v="ST0945"/>
        <s v="ST0946"/>
        <s v="ST0947"/>
        <s v="ST0948"/>
        <s v="ST0949"/>
        <s v="ST0950"/>
        <s v="ST0951"/>
        <s v="ST0952"/>
        <s v="ST0953"/>
        <s v="ST0954"/>
        <s v="ST0955"/>
        <s v="ST0956"/>
        <s v="ST0957"/>
        <s v="ST0958"/>
        <s v="ST0959"/>
        <s v="ST0960"/>
        <s v="ST0961"/>
        <s v="ST0962"/>
        <s v="ST0963"/>
        <s v="ST0964"/>
        <s v="ST0965"/>
        <s v="ST0966"/>
        <s v="ST0967"/>
        <s v="ST0968"/>
        <s v="ST0969"/>
        <s v="ST0970"/>
        <s v="ST0971"/>
        <s v="ST0972"/>
        <s v="ST0973"/>
        <s v="ST0974"/>
        <s v="ST0975"/>
        <s v="ST0976"/>
        <s v="ST0977"/>
        <s v="ST0978"/>
        <s v="ST0979"/>
        <s v="ST0980"/>
        <s v="ST0981"/>
        <s v="ST0982"/>
        <s v="ST0983"/>
        <s v="ST0984"/>
        <s v="ST0985"/>
        <s v="ST0986"/>
        <s v="ST0987"/>
        <s v="ST0988"/>
        <s v="ST0989"/>
        <s v="ST0990"/>
        <s v="ST0991"/>
        <s v="ST0992"/>
        <s v="ST0993"/>
        <s v="ST0994"/>
        <s v="ST0995"/>
        <s v="ST0996"/>
        <s v="ST0997"/>
        <s v="ST0998"/>
        <s v="ST0999"/>
        <s v="ST1000"/>
      </sharedItems>
    </cacheField>
    <cacheField name="Student_Name" numFmtId="0">
      <sharedItems count="237">
        <s v="Anitha Lakshmi"/>
        <s v="Priya Lakshmi"/>
        <s v="Priya Babu"/>
        <s v="Lavanya Reddy"/>
        <s v="Ajay Iyer"/>
        <s v="Divya Babu"/>
        <s v="Vimal Anand"/>
        <s v="Meena Reddy"/>
        <s v="Aarthi Kumar"/>
        <s v="Deepika Lakshmi"/>
        <s v="Divya Sharma"/>
        <s v="Rohit Babu"/>
        <s v="Rahul Iyer"/>
        <s v="Deepika Sharma"/>
        <s v="Lavanya Lakshmi"/>
        <s v="Anitha Krishnan"/>
        <s v="Meena Devi"/>
        <s v="Meena Raj"/>
        <s v="Sneha Iyer"/>
        <s v="Rohit Reddy"/>
        <s v="Deepika Devi"/>
        <s v="Rahul Devi"/>
        <s v="Deepika Anand"/>
        <s v="Rahul Kumar"/>
        <s v="Sneha Sharma"/>
        <s v="Ajay Lakshmi"/>
        <s v="Nisha Reddy"/>
        <s v="Vignesh Raj"/>
        <s v="Aarthi Lakshmi"/>
        <s v="Surya Iyer"/>
        <s v="Sneha Krishnan"/>
        <s v="Ajay Kumar"/>
        <s v="Arun Lakshmi"/>
        <s v="Anitha Raj"/>
        <s v="Deepika Krishnan"/>
        <s v="Priya Sharma"/>
        <s v="Nisha Iyer"/>
        <s v="Meena Kumar"/>
        <s v="Vignesh Lakshmi"/>
        <s v="Lavanya Raman"/>
        <s v="Kavin Babu"/>
        <s v="Arun Iyer"/>
        <s v="Meena Babu"/>
        <s v="Vimal Raman"/>
        <s v="Aarthi Sharma"/>
        <s v="Vignesh Reddy"/>
        <s v="Kavin Raman"/>
        <s v="Priya Krishnan"/>
        <s v="Keerthi Raman"/>
        <s v="Anitha Anand"/>
        <s v="Akash Sharma"/>
        <s v="Aarthi Reddy"/>
        <s v="Keerthi Singh"/>
        <s v="Rahul Sharma"/>
        <s v="Lavanya Raj"/>
        <s v="Kavin Lakshmi"/>
        <s v="Meena Anand"/>
        <s v="Nisha Kumar"/>
        <s v="Vignesh Sharma"/>
        <s v="Rahul Anand"/>
        <s v="Ajay Krishnan"/>
        <s v="Kavin Devi"/>
        <s v="Arun Raj"/>
        <s v="Harish Raman"/>
        <s v="Ajay Sharma"/>
        <s v="Akash Reddy"/>
        <s v="Keerthi Krishnan"/>
        <s v="Surya Babu"/>
        <s v="Vignesh Krishnan"/>
        <s v="Rohit Lakshmi"/>
        <s v="Nisha Anand"/>
        <s v="Rahul Singh"/>
        <s v="Kavin Iyer"/>
        <s v="Akash Babu"/>
        <s v="Rohit Sharma"/>
        <s v="Arun Devi"/>
        <s v="Rohit Raj"/>
        <s v="Deepika Babu"/>
        <s v="Vimal Babu"/>
        <s v="Keerthi Babu"/>
        <s v="Akash Raman"/>
        <s v="Nisha Raj"/>
        <s v="Aarthi Devi"/>
        <s v="Arun Babu"/>
        <s v="Arun Anand"/>
        <s v="Nisha Sharma"/>
        <s v="Keerthi Raj"/>
        <s v="Akash Kumar"/>
        <s v="Meena Krishnan"/>
        <s v="Lavanya Anand"/>
        <s v="Rohit Devi"/>
        <s v="Surya Sharma"/>
        <s v="Meena Singh"/>
        <s v="Priya Anand"/>
        <s v="Kavin Krishnan"/>
        <s v="Surya Raman"/>
        <s v="Surya Krishnan"/>
        <s v="Nisha Krishnan"/>
        <s v="Rohit Anand"/>
        <s v="Aarthi Iyer"/>
        <s v="Rohit Iyer"/>
        <s v="Keerthi Kumar"/>
        <s v="Kavin Kumar"/>
        <s v="Surya Raj"/>
        <s v="Vignesh Devi"/>
        <s v="Divya Krishnan"/>
        <s v="Rohit Kumar"/>
        <s v="Surya Anand"/>
        <s v="Harish Iyer"/>
        <s v="Aarthi Babu"/>
        <s v="Rahul Reddy"/>
        <s v="Arun Singh"/>
        <s v="Vimal Devi"/>
        <s v="Nisha Lakshmi"/>
        <s v="Deepika Singh"/>
        <s v="Rahul Babu"/>
        <s v="Kavin Anand"/>
        <s v="Sneha Devi"/>
        <s v="Divya Iyer"/>
        <s v="Lavanya Sharma"/>
        <s v="Anitha Kumar"/>
        <s v="Arun Krishnan"/>
        <s v="Keerthi Lakshmi"/>
        <s v="Vimal Kumar"/>
        <s v="Aarthi Singh"/>
        <s v="Ajay Devi"/>
        <s v="Vimal Lakshmi"/>
        <s v="Arun Raman"/>
        <s v="Vignesh Raman"/>
        <s v="Surya Kumar"/>
        <s v="Anitha Babu"/>
        <s v="Kavin Sharma"/>
        <s v="Harish Kumar"/>
        <s v="Akash Iyer"/>
        <s v="Lavanya Krishnan"/>
        <s v="Anitha Singh"/>
        <s v="Lavanya Iyer"/>
        <s v="Priya Reddy"/>
        <s v="Deepika Iyer"/>
        <s v="Surya Reddy"/>
        <s v="Nisha Raman"/>
        <s v="Sneha Kumar"/>
        <s v="Akash Raj"/>
        <s v="Sneha Raj"/>
        <s v="Priya Iyer"/>
        <s v="Lavanya Devi"/>
        <s v="Sneha Raman"/>
        <s v="Harish Reddy"/>
        <s v="Rahul Krishnan"/>
        <s v="Harish Sharma"/>
        <s v="Surya Singh"/>
        <s v="Deepika Reddy"/>
        <s v="Akash Krishnan"/>
        <s v="Harish Anand"/>
        <s v="Keerthi Iyer"/>
        <s v="Aarthi Anand"/>
        <s v="Divya Raj"/>
        <s v="Anitha Sharma"/>
        <s v="Kavin Reddy"/>
        <s v="Anitha Raman"/>
        <s v="Rohit Singh"/>
        <s v="Vimal Iyer"/>
        <s v="Lavanya Kumar"/>
        <s v="Keerthi Reddy"/>
        <s v="Meena Sharma"/>
        <s v="Sneha Singh"/>
        <s v="Akash Singh"/>
        <s v="Sneha Lakshmi"/>
        <s v="Sneha Babu"/>
        <s v="Vimal Reddy"/>
        <s v="Ajay Babu"/>
        <s v="Divya Devi"/>
        <s v="Priya Devi"/>
        <s v="Vimal Raj"/>
        <s v="Ajay Reddy"/>
        <s v="Keerthi Devi"/>
        <s v="Vimal Sharma"/>
        <s v="Divya Singh"/>
        <s v="Priya Raj"/>
        <s v="Sneha Anand"/>
        <s v="Surya Devi"/>
        <s v="Priya Singh"/>
        <s v="Vignesh Anand"/>
        <s v="Arun Reddy"/>
        <s v="Rohit Raman"/>
        <s v="Ajay Singh"/>
        <s v="Harish Lakshmi"/>
        <s v="Deepika Kumar"/>
        <s v="Sneha Reddy"/>
        <s v="Surya Lakshmi"/>
        <s v="Kavin Singh"/>
        <s v="Arun Kumar"/>
        <s v="Harish Babu"/>
        <s v="Aarthi Raman"/>
        <s v="Priya Raman"/>
        <s v="Anitha Devi"/>
        <s v="Divya Raman"/>
        <s v="Harish Singh"/>
        <s v="Rahul Raman"/>
        <s v="Divya Reddy"/>
        <s v="Meena Iyer"/>
        <s v="Harish Krishnan"/>
        <s v="Kavin Raj"/>
        <s v="Nisha Devi"/>
        <s v="Meena Lakshmi"/>
        <s v="Divya Lakshmi"/>
        <s v="Divya Anand"/>
        <s v="Anitha Reddy"/>
        <s v="Akash Devi"/>
        <s v="Vignesh Iyer"/>
        <s v="Akash Anand"/>
        <s v="Ajay Raj"/>
        <s v="Rahul Raj"/>
        <s v="Deepika Raman"/>
        <s v="Akash Lakshmi"/>
        <s v="Harish Devi"/>
        <s v="Keerthi Anand"/>
        <s v="Vimal Singh"/>
        <s v="Lavanya Singh"/>
        <s v="Keerthi Sharma"/>
        <s v="Nisha Babu"/>
        <s v="Rohit Krishnan"/>
        <s v="Aarthi Raj"/>
        <s v="Vimal Krishnan"/>
        <s v="Ajay Raman"/>
        <s v="Vignesh Singh"/>
        <s v="Vignesh Kumar"/>
        <s v="Rahul Lakshmi"/>
        <s v="Harish Raj"/>
        <s v="Meena Raman"/>
        <s v="Divya Kumar"/>
        <s v="Priya Kumar"/>
        <s v="Ajay Anand"/>
        <s v="Aarthi Krishnan"/>
        <s v="Lavanya Babu"/>
        <s v="Nisha Singh"/>
        <s v="Vignesh Babu"/>
      </sharedItems>
    </cacheField>
    <cacheField name="Age" numFmtId="0">
      <sharedItems containsSemiMixedTypes="0" containsString="0" containsNumber="1" containsInteger="1" minValue="18" maxValue="28"/>
    </cacheField>
    <cacheField name="Gender" numFmtId="0">
      <sharedItems count="2">
        <s v="Female"/>
        <s v="Male"/>
      </sharedItems>
    </cacheField>
    <cacheField name="City" numFmtId="0">
      <sharedItems count="12">
        <s v="Hyderabad"/>
        <s v="Tirunelveli"/>
        <s v="Madurai"/>
        <s v="Coimbatore"/>
        <s v="Bengaluru"/>
        <s v="Trichy"/>
        <s v="Erode"/>
        <s v="Salem"/>
        <s v="Chennai"/>
        <s v="Thoothukudi"/>
        <s v="Kanchipuram"/>
        <s v="Vellore"/>
      </sharedItems>
    </cacheField>
    <cacheField name="Course_Name" numFmtId="0">
      <sharedItems count="8">
        <s v="Power BI"/>
        <s v="SQL"/>
        <s v="Tableau"/>
        <s v="Data Analytics"/>
        <s v="Python"/>
        <s v="Advanced Excel"/>
        <s v="Machine Learning"/>
        <s v="Statistics"/>
      </sharedItems>
    </cacheField>
    <cacheField name="Instructor" numFmtId="0">
      <sharedItems count="8">
        <s v="David"/>
        <s v="Nandhini"/>
        <s v="Priya"/>
        <s v="Arun"/>
        <s v="John"/>
        <s v="Mani Prabhu"/>
        <s v="Karthik"/>
        <s v="Sneha"/>
      </sharedItems>
    </cacheField>
    <cacheField name="Quiz_Score" numFmtId="0">
      <sharedItems containsSemiMixedTypes="0" containsString="0" containsNumber="1" containsInteger="1" minValue="35" maxValue="100"/>
    </cacheField>
    <cacheField name="Attendance_%" numFmtId="0">
      <sharedItems containsSemiMixedTypes="0" containsString="0" containsNumber="1" containsInteger="1" minValue="60" maxValue="100"/>
    </cacheField>
    <cacheField name="Performance_Rating" numFmtId="0">
      <sharedItems count="4">
        <s v="Poor"/>
        <s v="Good"/>
        <s v="Excellent"/>
        <s v="Average"/>
      </sharedItems>
    </cacheField>
    <cacheField name="Course_Fee" numFmtId="0">
      <sharedItems containsSemiMixedTypes="0" containsString="0" containsNumber="1" containsInteger="1" minValue="10000" maxValue="20000"/>
    </cacheField>
    <cacheField name="Paid" numFmtId="0">
      <sharedItems containsSemiMixedTypes="0" containsString="0" containsNumber="1" containsInteger="1" minValue="6030" maxValue="23600"/>
    </cacheField>
    <cacheField name="Balance" numFmtId="0">
      <sharedItems containsSemiMixedTypes="0" containsString="0" containsNumber="1" containsInteger="1" minValue="0" maxValue="4000"/>
    </cacheField>
    <cacheField name="Payment_Status" numFmtId="0">
      <sharedItems count="2">
        <s v="Pending"/>
        <s v="Paid"/>
      </sharedItems>
    </cacheField>
    <cacheField name="Dropout_Student" numFmtId="0">
      <sharedItems count="2">
        <s v="No"/>
        <s v="Yes"/>
      </sharedItems>
    </cacheField>
    <cacheField name="Course_Start_Date" numFmtId="14">
      <sharedItems containsSemiMixedTypes="0" containsNonDate="0" containsDate="1" containsString="0" minDate="2025-01-01T00:00:00" maxDate="2026-01-01T00:00:00"/>
    </cacheField>
    <cacheField name="Course_End_Date" numFmtId="14">
      <sharedItems containsSemiMixedTypes="0" containsNonDate="0" containsDate="1" containsString="0" minDate="2025-01-31T00:00:00" maxDate="2026-06-25T00:00:00"/>
    </cacheField>
    <cacheField name="Login_Time" numFmtId="164">
      <sharedItems containsSemiMixedTypes="0" containsNonDate="0" containsDate="1" containsString="0" minDate="1899-12-30T08:00:00" maxDate="1899-12-30T11:00:00"/>
    </cacheField>
    <cacheField name="Logout_Time" numFmtId="164">
      <sharedItems containsSemiMixedTypes="0" containsNonDate="0" containsDate="1" containsString="0" minDate="1899-12-30T09:06:00" maxDate="1899-12-30T15:53:00"/>
    </cacheField>
    <cacheField name="Grade" numFmtId="0">
      <sharedItems/>
    </cacheField>
    <cacheField name="Convert_Login_Time" numFmtId="0">
      <sharedItems/>
    </cacheField>
    <cacheField name="Course_Deadline_Check" numFmtId="0">
      <sharedItems/>
    </cacheField>
    <cacheField name="HOUR_and_MINUTE" numFmtId="0">
      <sharedItems/>
    </cacheField>
    <cacheField name="Login_Status" numFmtId="0">
      <sharedItems count="2">
        <s v="Long Time Login"/>
        <s v="Short Time Login"/>
      </sharedItems>
    </cacheField>
  </cacheFields>
  <extLst>
    <ext xmlns:x14="http://schemas.microsoft.com/office/spreadsheetml/2009/9/main" uri="{725AE2AE-9491-48be-B2B4-4EB974FC3084}">
      <x14:pivotCacheDefinition pivotCacheId="55806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s v="Hyderabad"/>
    <x v="0"/>
    <s v="David"/>
    <n v="57"/>
    <n v="74"/>
    <x v="0"/>
    <n v="10000"/>
    <n v="7800"/>
    <n v="4000"/>
    <x v="0"/>
    <s v="No"/>
    <d v="2025-09-01T00:00:00"/>
    <d v="2025-12-30T00:00:00"/>
    <d v="1899-12-30T10:24:00"/>
    <d v="1899-12-30T14:30:00"/>
    <s v="D"/>
    <s v="10:24 AM"/>
    <s v="Delayed"/>
    <s v="4 Hours 6 Minutes"/>
    <x v="0"/>
  </r>
  <r>
    <x v="1"/>
    <x v="1"/>
    <x v="0"/>
    <x v="0"/>
    <s v="Tirunelveli"/>
    <x v="1"/>
    <s v="Nandhini"/>
    <n v="44"/>
    <n v="85"/>
    <x v="0"/>
    <n v="15000"/>
    <n v="13110"/>
    <n v="4000"/>
    <x v="0"/>
    <s v="No"/>
    <d v="2025-05-09T00:00:00"/>
    <d v="2025-08-07T00:00:00"/>
    <d v="1899-12-30T08:49:00"/>
    <d v="1899-12-30T11:47:00"/>
    <s v="D"/>
    <s v="08:49 AM"/>
    <s v="On Time"/>
    <s v="2 Hours 58 Minutes"/>
    <x v="1"/>
  </r>
  <r>
    <x v="2"/>
    <x v="2"/>
    <x v="1"/>
    <x v="1"/>
    <s v="Madurai"/>
    <x v="0"/>
    <s v="David"/>
    <n v="41"/>
    <n v="98"/>
    <x v="0"/>
    <n v="10000"/>
    <n v="7210"/>
    <n v="4000"/>
    <x v="0"/>
    <s v="No"/>
    <d v="2025-08-03T00:00:00"/>
    <d v="2026-01-30T00:00:00"/>
    <d v="1899-12-30T09:00:00"/>
    <d v="1899-12-30T13:45:00"/>
    <s v="D"/>
    <s v="09:00 AM"/>
    <s v="Delayed"/>
    <s v="4 Hours 45 Minutes"/>
    <x v="1"/>
  </r>
  <r>
    <x v="3"/>
    <x v="3"/>
    <x v="2"/>
    <x v="1"/>
    <s v="Coimbatore"/>
    <x v="2"/>
    <s v="Priya"/>
    <n v="52"/>
    <n v="80"/>
    <x v="0"/>
    <n v="15000"/>
    <n v="15930"/>
    <n v="0"/>
    <x v="1"/>
    <s v="No"/>
    <d v="2025-05-31T00:00:00"/>
    <d v="2025-08-29T00:00:00"/>
    <d v="1899-12-30T10:03:00"/>
    <d v="1899-12-30T12:40:00"/>
    <s v="D"/>
    <s v="10:03 AM"/>
    <s v="On Time"/>
    <s v="2 Hours 37 Minutes"/>
    <x v="0"/>
  </r>
  <r>
    <x v="4"/>
    <x v="4"/>
    <x v="2"/>
    <x v="0"/>
    <s v="Bengaluru"/>
    <x v="1"/>
    <s v="Nandhini"/>
    <n v="85"/>
    <n v="62"/>
    <x v="1"/>
    <n v="18000"/>
    <n v="21240"/>
    <n v="0"/>
    <x v="1"/>
    <s v="No"/>
    <d v="2025-04-18T00:00:00"/>
    <d v="2025-07-17T00:00:00"/>
    <d v="1899-12-30T09:14:00"/>
    <d v="1899-12-30T10:40:00"/>
    <s v="B"/>
    <s v="09:14 AM"/>
    <s v="On Time"/>
    <s v="1 Hours 26 Minutes"/>
    <x v="1"/>
  </r>
  <r>
    <x v="5"/>
    <x v="5"/>
    <x v="3"/>
    <x v="0"/>
    <s v="Trichy"/>
    <x v="3"/>
    <s v="Arun"/>
    <n v="76"/>
    <n v="95"/>
    <x v="1"/>
    <n v="18000"/>
    <n v="20650"/>
    <n v="0"/>
    <x v="1"/>
    <s v="No"/>
    <d v="2025-04-10T00:00:00"/>
    <d v="2025-10-07T00:00:00"/>
    <d v="1899-12-30T08:50:00"/>
    <d v="1899-12-30T10:21:00"/>
    <s v="B"/>
    <s v="08:50 AM"/>
    <s v="Delayed"/>
    <s v="1 Hours 31 Minutes"/>
    <x v="1"/>
  </r>
  <r>
    <x v="6"/>
    <x v="6"/>
    <x v="4"/>
    <x v="1"/>
    <s v="Coimbatore"/>
    <x v="4"/>
    <s v="John"/>
    <n v="43"/>
    <n v="62"/>
    <x v="0"/>
    <n v="12000"/>
    <n v="14160"/>
    <n v="0"/>
    <x v="1"/>
    <s v="No"/>
    <d v="2025-11-30T00:00:00"/>
    <d v="2026-02-28T00:00:00"/>
    <d v="1899-12-30T09:29:00"/>
    <d v="1899-12-30T13:40:00"/>
    <s v="D"/>
    <s v="09:29 AM"/>
    <s v="On Time"/>
    <s v="4 Hours 11 Minutes"/>
    <x v="1"/>
  </r>
  <r>
    <x v="7"/>
    <x v="7"/>
    <x v="5"/>
    <x v="0"/>
    <s v="Madurai"/>
    <x v="5"/>
    <s v="Mani Prabhu"/>
    <n v="98"/>
    <n v="69"/>
    <x v="2"/>
    <n v="15000"/>
    <n v="17110"/>
    <n v="0"/>
    <x v="1"/>
    <s v="No"/>
    <d v="2025-07-27T00:00:00"/>
    <d v="2025-08-26T00:00:00"/>
    <d v="1899-12-30T08:54:00"/>
    <d v="1899-12-30T12:07:00"/>
    <s v="A"/>
    <s v="08:54 AM"/>
    <s v="On Time"/>
    <s v="3 Hours 13 Minutes"/>
    <x v="1"/>
  </r>
  <r>
    <x v="8"/>
    <x v="8"/>
    <x v="5"/>
    <x v="0"/>
    <s v="Erode"/>
    <x v="6"/>
    <s v="Karthik"/>
    <n v="46"/>
    <n v="91"/>
    <x v="0"/>
    <n v="12000"/>
    <n v="12390"/>
    <n v="0"/>
    <x v="1"/>
    <s v="No"/>
    <d v="2025-12-28T00:00:00"/>
    <d v="2026-04-27T00:00:00"/>
    <d v="1899-12-30T10:20:00"/>
    <d v="1899-12-30T13:12:00"/>
    <s v="D"/>
    <s v="10:20 AM"/>
    <s v="Delayed"/>
    <s v="2 Hours 52 Minutes"/>
    <x v="0"/>
  </r>
  <r>
    <x v="9"/>
    <x v="9"/>
    <x v="2"/>
    <x v="0"/>
    <s v="Salem"/>
    <x v="6"/>
    <s v="Karthik"/>
    <n v="70"/>
    <n v="68"/>
    <x v="3"/>
    <n v="20000"/>
    <n v="20420"/>
    <n v="2000"/>
    <x v="0"/>
    <s v="No"/>
    <d v="2025-10-10T00:00:00"/>
    <d v="2026-02-07T00:00:00"/>
    <d v="1899-12-30T10:24:00"/>
    <d v="1899-12-30T15:20:00"/>
    <s v="C"/>
    <s v="10:24 AM"/>
    <s v="Delayed"/>
    <s v="4 Hours 56 Minutes"/>
    <x v="0"/>
  </r>
  <r>
    <x v="10"/>
    <x v="10"/>
    <x v="6"/>
    <x v="1"/>
    <s v="Salem"/>
    <x v="2"/>
    <s v="Priya"/>
    <n v="50"/>
    <n v="88"/>
    <x v="0"/>
    <n v="12000"/>
    <n v="9570"/>
    <n v="4000"/>
    <x v="0"/>
    <s v="No"/>
    <d v="2025-09-03T00:00:00"/>
    <d v="2026-03-02T00:00:00"/>
    <d v="1899-12-30T08:39:00"/>
    <d v="1899-12-30T11:58:00"/>
    <s v="D"/>
    <s v="08:39 AM"/>
    <s v="Delayed"/>
    <s v="3 Hours 19 Minutes"/>
    <x v="1"/>
  </r>
  <r>
    <x v="11"/>
    <x v="11"/>
    <x v="7"/>
    <x v="1"/>
    <s v="Chennai"/>
    <x v="3"/>
    <s v="Arun"/>
    <n v="99"/>
    <n v="64"/>
    <x v="2"/>
    <n v="18000"/>
    <n v="18060"/>
    <n v="2000"/>
    <x v="0"/>
    <s v="No"/>
    <d v="2025-11-17T00:00:00"/>
    <d v="2026-03-17T00:00:00"/>
    <d v="1899-12-30T08:07:00"/>
    <d v="1899-12-30T10:21:00"/>
    <s v="A"/>
    <s v="08:07 AM"/>
    <s v="Delayed"/>
    <s v="2 Hours 14 Minutes"/>
    <x v="1"/>
  </r>
  <r>
    <x v="12"/>
    <x v="12"/>
    <x v="5"/>
    <x v="0"/>
    <s v="Trichy"/>
    <x v="0"/>
    <s v="David"/>
    <n v="55"/>
    <n v="76"/>
    <x v="0"/>
    <n v="18000"/>
    <n v="20060"/>
    <n v="0"/>
    <x v="1"/>
    <s v="No"/>
    <d v="2025-09-16T00:00:00"/>
    <d v="2026-03-15T00:00:00"/>
    <d v="1899-12-30T09:00:00"/>
    <d v="1899-12-30T12:35:00"/>
    <s v="D"/>
    <s v="09:00 AM"/>
    <s v="Delayed"/>
    <s v="3 Hours 35 Minutes"/>
    <x v="1"/>
  </r>
  <r>
    <x v="13"/>
    <x v="13"/>
    <x v="6"/>
    <x v="1"/>
    <s v="Chennai"/>
    <x v="4"/>
    <s v="John"/>
    <n v="86"/>
    <n v="82"/>
    <x v="1"/>
    <n v="12000"/>
    <n v="9570"/>
    <n v="4000"/>
    <x v="0"/>
    <s v="No"/>
    <d v="2025-11-17T00:00:00"/>
    <d v="2026-05-16T00:00:00"/>
    <d v="1899-12-30T10:31:00"/>
    <d v="1899-12-30T15:09:00"/>
    <s v="B"/>
    <s v="10:31 AM"/>
    <s v="Delayed"/>
    <s v="4 Hours 38 Minutes"/>
    <x v="0"/>
  </r>
  <r>
    <x v="14"/>
    <x v="14"/>
    <x v="8"/>
    <x v="1"/>
    <s v="Madurai"/>
    <x v="1"/>
    <s v="Nandhini"/>
    <n v="63"/>
    <n v="69"/>
    <x v="3"/>
    <n v="15000"/>
    <n v="13110"/>
    <n v="4000"/>
    <x v="0"/>
    <s v="No"/>
    <d v="2025-12-18T00:00:00"/>
    <d v="2026-03-18T00:00:00"/>
    <d v="1899-12-30T09:29:00"/>
    <d v="1899-12-30T14:07:00"/>
    <s v="C"/>
    <s v="09:29 AM"/>
    <s v="On Time"/>
    <s v="4 Hours 38 Minutes"/>
    <x v="1"/>
  </r>
  <r>
    <x v="15"/>
    <x v="15"/>
    <x v="0"/>
    <x v="1"/>
    <s v="Trichy"/>
    <x v="6"/>
    <s v="Karthik"/>
    <n v="55"/>
    <n v="85"/>
    <x v="0"/>
    <n v="20000"/>
    <n v="21830"/>
    <n v="0"/>
    <x v="1"/>
    <s v="No"/>
    <d v="2025-06-30T00:00:00"/>
    <d v="2025-12-27T00:00:00"/>
    <d v="1899-12-30T10:26:00"/>
    <d v="1899-12-30T12:10:00"/>
    <s v="D"/>
    <s v="10:26 AM"/>
    <s v="Delayed"/>
    <s v="1 Hours 44 Minutes"/>
    <x v="0"/>
  </r>
  <r>
    <x v="16"/>
    <x v="16"/>
    <x v="9"/>
    <x v="0"/>
    <s v="Chennai"/>
    <x v="4"/>
    <s v="John"/>
    <n v="42"/>
    <n v="88"/>
    <x v="0"/>
    <n v="10000"/>
    <n v="6620"/>
    <n v="4000"/>
    <x v="0"/>
    <s v="No"/>
    <d v="2025-12-01T00:00:00"/>
    <d v="2026-03-31T00:00:00"/>
    <d v="1899-12-30T08:59:00"/>
    <d v="1899-12-30T13:11:00"/>
    <s v="D"/>
    <s v="08:59 AM"/>
    <s v="Delayed"/>
    <s v="4 Hours 12 Minutes"/>
    <x v="1"/>
  </r>
  <r>
    <x v="17"/>
    <x v="17"/>
    <x v="9"/>
    <x v="0"/>
    <s v="Chennai"/>
    <x v="3"/>
    <s v="Arun"/>
    <n v="65"/>
    <n v="82"/>
    <x v="3"/>
    <n v="20000"/>
    <n v="19010"/>
    <n v="4000"/>
    <x v="0"/>
    <s v="No"/>
    <d v="2025-02-02T00:00:00"/>
    <d v="2025-08-01T00:00:00"/>
    <d v="1899-12-30T08:16:00"/>
    <d v="1899-12-30T10:25:00"/>
    <s v="C"/>
    <s v="08:16 AM"/>
    <s v="Delayed"/>
    <s v="2 Hours 9 Minutes"/>
    <x v="1"/>
  </r>
  <r>
    <x v="18"/>
    <x v="18"/>
    <x v="0"/>
    <x v="1"/>
    <s v="Trichy"/>
    <x v="7"/>
    <s v="Sneha"/>
    <n v="58"/>
    <n v="65"/>
    <x v="0"/>
    <n v="10000"/>
    <n v="9210"/>
    <n v="2000"/>
    <x v="0"/>
    <s v="No"/>
    <d v="2025-04-07T00:00:00"/>
    <d v="2025-07-06T00:00:00"/>
    <d v="1899-12-30T10:24:00"/>
    <d v="1899-12-30T15:04:00"/>
    <s v="D"/>
    <s v="10:24 AM"/>
    <s v="On Time"/>
    <s v="4 Hours 40 Minutes"/>
    <x v="0"/>
  </r>
  <r>
    <x v="19"/>
    <x v="19"/>
    <x v="6"/>
    <x v="0"/>
    <s v="Bengaluru"/>
    <x v="1"/>
    <s v="Nandhini"/>
    <n v="54"/>
    <n v="67"/>
    <x v="0"/>
    <n v="10000"/>
    <n v="10620"/>
    <n v="0"/>
    <x v="1"/>
    <s v="No"/>
    <d v="2025-06-01T00:00:00"/>
    <d v="2025-08-30T00:00:00"/>
    <d v="1899-12-30T08:09:00"/>
    <d v="1899-12-30T10:22:00"/>
    <s v="D"/>
    <s v="08:09 AM"/>
    <s v="On Time"/>
    <s v="2 Hours 13 Minutes"/>
    <x v="1"/>
  </r>
  <r>
    <x v="20"/>
    <x v="20"/>
    <x v="5"/>
    <x v="0"/>
    <s v="Coimbatore"/>
    <x v="1"/>
    <s v="Nandhini"/>
    <n v="67"/>
    <n v="73"/>
    <x v="3"/>
    <n v="15000"/>
    <n v="12520"/>
    <n v="4000"/>
    <x v="0"/>
    <s v="No"/>
    <d v="2025-06-30T00:00:00"/>
    <d v="2025-09-28T00:00:00"/>
    <d v="1899-12-30T10:21:00"/>
    <d v="1899-12-30T13:41:00"/>
    <s v="C"/>
    <s v="10:21 AM"/>
    <s v="On Time"/>
    <s v="3 Hours 20 Minutes"/>
    <x v="0"/>
  </r>
  <r>
    <x v="21"/>
    <x v="21"/>
    <x v="1"/>
    <x v="0"/>
    <s v="Thoothukudi"/>
    <x v="5"/>
    <s v="Mani Prabhu"/>
    <n v="95"/>
    <n v="98"/>
    <x v="2"/>
    <n v="12000"/>
    <n v="13570"/>
    <n v="0"/>
    <x v="1"/>
    <s v="No"/>
    <d v="2025-06-24T00:00:00"/>
    <d v="2025-09-22T00:00:00"/>
    <d v="1899-12-30T09:28:00"/>
    <d v="1899-12-30T13:18:00"/>
    <s v="A"/>
    <s v="09:28 AM"/>
    <s v="On Time"/>
    <s v="3 Hours 50 Minutes"/>
    <x v="1"/>
  </r>
  <r>
    <x v="22"/>
    <x v="22"/>
    <x v="8"/>
    <x v="1"/>
    <s v="Tirunelveli"/>
    <x v="3"/>
    <s v="Arun"/>
    <n v="59"/>
    <n v="78"/>
    <x v="0"/>
    <n v="12000"/>
    <n v="8980"/>
    <n v="4000"/>
    <x v="0"/>
    <s v="No"/>
    <d v="2025-12-21T00:00:00"/>
    <d v="2026-02-19T00:00:00"/>
    <d v="1899-12-30T10:01:00"/>
    <d v="1899-12-30T11:33:00"/>
    <s v="D"/>
    <s v="10:01 AM"/>
    <s v="On Time"/>
    <s v="1 Hours 32 Minutes"/>
    <x v="0"/>
  </r>
  <r>
    <x v="23"/>
    <x v="19"/>
    <x v="8"/>
    <x v="0"/>
    <s v="Trichy"/>
    <x v="4"/>
    <s v="John"/>
    <n v="93"/>
    <n v="89"/>
    <x v="2"/>
    <n v="12000"/>
    <n v="11570"/>
    <n v="2000"/>
    <x v="0"/>
    <s v="No"/>
    <d v="2025-12-19T00:00:00"/>
    <d v="2026-04-18T00:00:00"/>
    <d v="1899-12-30T08:05:00"/>
    <d v="1899-12-30T11:42:00"/>
    <s v="A"/>
    <s v="08:05 AM"/>
    <s v="Delayed"/>
    <s v="3 Hours 37 Minutes"/>
    <x v="1"/>
  </r>
  <r>
    <x v="24"/>
    <x v="11"/>
    <x v="2"/>
    <x v="1"/>
    <s v="Coimbatore"/>
    <x v="6"/>
    <s v="Karthik"/>
    <n v="39"/>
    <n v="66"/>
    <x v="0"/>
    <n v="20000"/>
    <n v="20420"/>
    <n v="2000"/>
    <x v="0"/>
    <s v="No"/>
    <d v="2025-03-22T00:00:00"/>
    <d v="2025-07-20T00:00:00"/>
    <d v="1899-12-30T08:46:00"/>
    <d v="1899-12-30T11:07:00"/>
    <s v="D"/>
    <s v="08:46 AM"/>
    <s v="Delayed"/>
    <s v="2 Hours 21 Minutes"/>
    <x v="1"/>
  </r>
  <r>
    <x v="25"/>
    <x v="23"/>
    <x v="0"/>
    <x v="1"/>
    <s v="Salem"/>
    <x v="6"/>
    <s v="Karthik"/>
    <n v="40"/>
    <n v="98"/>
    <x v="0"/>
    <n v="20000"/>
    <n v="21010"/>
    <n v="2000"/>
    <x v="0"/>
    <s v="No"/>
    <d v="2025-06-05T00:00:00"/>
    <d v="2025-08-04T00:00:00"/>
    <d v="1899-12-30T09:14:00"/>
    <d v="1899-12-30T11:07:00"/>
    <s v="D"/>
    <s v="09:14 AM"/>
    <s v="On Time"/>
    <s v="1 Hours 53 Minutes"/>
    <x v="1"/>
  </r>
  <r>
    <x v="26"/>
    <x v="24"/>
    <x v="2"/>
    <x v="0"/>
    <s v="Madurai"/>
    <x v="1"/>
    <s v="Nandhini"/>
    <n v="50"/>
    <n v="70"/>
    <x v="0"/>
    <n v="18000"/>
    <n v="17240"/>
    <n v="4000"/>
    <x v="0"/>
    <s v="No"/>
    <d v="2025-02-10T00:00:00"/>
    <d v="2025-06-10T00:00:00"/>
    <d v="1899-12-30T10:00:00"/>
    <d v="1899-12-30T14:29:00"/>
    <s v="D"/>
    <s v="10:00 AM"/>
    <s v="Delayed"/>
    <s v="4 Hours 29 Minutes"/>
    <x v="1"/>
  </r>
  <r>
    <x v="27"/>
    <x v="25"/>
    <x v="7"/>
    <x v="1"/>
    <s v="Salem"/>
    <x v="4"/>
    <s v="John"/>
    <n v="51"/>
    <n v="76"/>
    <x v="0"/>
    <n v="20000"/>
    <n v="22420"/>
    <n v="0"/>
    <x v="1"/>
    <s v="No"/>
    <d v="2025-01-31T00:00:00"/>
    <d v="2025-05-31T00:00:00"/>
    <d v="1899-12-30T09:16:00"/>
    <d v="1899-12-30T12:50:00"/>
    <s v="D"/>
    <s v="09:16 AM"/>
    <s v="Delayed"/>
    <s v="3 Hours 34 Minutes"/>
    <x v="1"/>
  </r>
  <r>
    <x v="28"/>
    <x v="26"/>
    <x v="4"/>
    <x v="1"/>
    <s v="Coimbatore"/>
    <x v="1"/>
    <s v="Nandhini"/>
    <n v="95"/>
    <n v="92"/>
    <x v="2"/>
    <n v="15000"/>
    <n v="15700"/>
    <n v="2000"/>
    <x v="0"/>
    <s v="No"/>
    <d v="2025-12-24T00:00:00"/>
    <d v="2026-01-23T00:00:00"/>
    <d v="1899-12-30T09:11:00"/>
    <d v="1899-12-30T12:01:00"/>
    <s v="A"/>
    <s v="09:11 AM"/>
    <s v="On Time"/>
    <s v="2 Hours 50 Minutes"/>
    <x v="1"/>
  </r>
  <r>
    <x v="29"/>
    <x v="27"/>
    <x v="5"/>
    <x v="1"/>
    <s v="Salem"/>
    <x v="4"/>
    <s v="John"/>
    <n v="80"/>
    <n v="60"/>
    <x v="1"/>
    <n v="20000"/>
    <n v="20420"/>
    <n v="2000"/>
    <x v="0"/>
    <s v="No"/>
    <d v="2025-08-18T00:00:00"/>
    <d v="2025-09-17T00:00:00"/>
    <d v="1899-12-30T08:46:00"/>
    <d v="1899-12-30T12:42:00"/>
    <s v="B"/>
    <s v="08:46 AM"/>
    <s v="On Time"/>
    <s v="3 Hours 56 Minutes"/>
    <x v="1"/>
  </r>
  <r>
    <x v="30"/>
    <x v="28"/>
    <x v="4"/>
    <x v="0"/>
    <s v="Kanchipuram"/>
    <x v="1"/>
    <s v="Nandhini"/>
    <n v="59"/>
    <n v="83"/>
    <x v="0"/>
    <n v="10000"/>
    <n v="7210"/>
    <n v="4000"/>
    <x v="0"/>
    <s v="No"/>
    <d v="2025-06-02T00:00:00"/>
    <d v="2025-07-02T00:00:00"/>
    <d v="1899-12-30T08:18:00"/>
    <d v="1899-12-30T09:34:00"/>
    <s v="D"/>
    <s v="08:18 AM"/>
    <s v="On Time"/>
    <s v="1 Hours 16 Minutes"/>
    <x v="1"/>
  </r>
  <r>
    <x v="31"/>
    <x v="29"/>
    <x v="4"/>
    <x v="0"/>
    <s v="Tirunelveli"/>
    <x v="2"/>
    <s v="Priya"/>
    <n v="87"/>
    <n v="63"/>
    <x v="1"/>
    <n v="20000"/>
    <n v="23600"/>
    <n v="0"/>
    <x v="1"/>
    <s v="No"/>
    <d v="2025-02-10T00:00:00"/>
    <d v="2025-05-11T00:00:00"/>
    <d v="1899-12-30T09:49:00"/>
    <d v="1899-12-30T10:57:00"/>
    <s v="B"/>
    <s v="09:49 AM"/>
    <s v="On Time"/>
    <s v="1 Hours 8 Minutes"/>
    <x v="1"/>
  </r>
  <r>
    <x v="32"/>
    <x v="30"/>
    <x v="4"/>
    <x v="0"/>
    <s v="Thoothukudi"/>
    <x v="4"/>
    <s v="John"/>
    <n v="98"/>
    <n v="80"/>
    <x v="2"/>
    <n v="12000"/>
    <n v="11570"/>
    <n v="2000"/>
    <x v="0"/>
    <s v="No"/>
    <d v="2025-07-04T00:00:00"/>
    <d v="2025-10-02T00:00:00"/>
    <d v="1899-12-30T08:57:00"/>
    <d v="1899-12-30T09:59:00"/>
    <s v="A"/>
    <s v="08:57 AM"/>
    <s v="On Time"/>
    <s v="1 Hours 2 Minutes"/>
    <x v="1"/>
  </r>
  <r>
    <x v="33"/>
    <x v="31"/>
    <x v="5"/>
    <x v="1"/>
    <s v="Madurai"/>
    <x v="5"/>
    <s v="Mani Prabhu"/>
    <n v="80"/>
    <n v="88"/>
    <x v="1"/>
    <n v="18000"/>
    <n v="19240"/>
    <n v="2000"/>
    <x v="0"/>
    <s v="No"/>
    <d v="2025-03-21T00:00:00"/>
    <d v="2025-07-19T00:00:00"/>
    <d v="1899-12-30T08:16:00"/>
    <d v="1899-12-30T11:27:00"/>
    <s v="B"/>
    <s v="08:16 AM"/>
    <s v="Delayed"/>
    <s v="3 Hours 11 Minutes"/>
    <x v="1"/>
  </r>
  <r>
    <x v="34"/>
    <x v="32"/>
    <x v="9"/>
    <x v="1"/>
    <s v="Vellore"/>
    <x v="7"/>
    <s v="Sneha"/>
    <n v="55"/>
    <n v="100"/>
    <x v="0"/>
    <n v="15000"/>
    <n v="11930"/>
    <n v="4000"/>
    <x v="0"/>
    <s v="No"/>
    <d v="2025-05-19T00:00:00"/>
    <d v="2025-06-18T00:00:00"/>
    <d v="1899-12-30T09:13:00"/>
    <d v="1899-12-30T14:07:00"/>
    <s v="D"/>
    <s v="09:13 AM"/>
    <s v="On Time"/>
    <s v="4 Hours 54 Minutes"/>
    <x v="1"/>
  </r>
  <r>
    <x v="35"/>
    <x v="33"/>
    <x v="4"/>
    <x v="0"/>
    <s v="Trichy"/>
    <x v="2"/>
    <s v="Priya"/>
    <n v="37"/>
    <n v="60"/>
    <x v="0"/>
    <n v="20000"/>
    <n v="19600"/>
    <n v="4000"/>
    <x v="0"/>
    <s v="No"/>
    <d v="2025-02-28T00:00:00"/>
    <d v="2025-04-29T00:00:00"/>
    <d v="1899-12-30T10:58:00"/>
    <d v="1899-12-30T14:13:00"/>
    <s v="D"/>
    <s v="10:58 AM"/>
    <s v="On Time"/>
    <s v="3 Hours 15 Minutes"/>
    <x v="0"/>
  </r>
  <r>
    <x v="36"/>
    <x v="34"/>
    <x v="0"/>
    <x v="1"/>
    <s v="Vellore"/>
    <x v="1"/>
    <s v="Nandhini"/>
    <n v="37"/>
    <n v="67"/>
    <x v="0"/>
    <n v="18000"/>
    <n v="15470"/>
    <n v="4000"/>
    <x v="0"/>
    <s v="Yes"/>
    <d v="2025-11-24T00:00:00"/>
    <d v="2026-05-23T00:00:00"/>
    <d v="1899-12-30T08:27:00"/>
    <d v="1899-12-30T10:12:00"/>
    <s v="D"/>
    <s v="08:27 AM"/>
    <s v="Delayed"/>
    <s v="1 Hours 45 Minutes"/>
    <x v="1"/>
  </r>
  <r>
    <x v="37"/>
    <x v="35"/>
    <x v="7"/>
    <x v="1"/>
    <s v="Thoothukudi"/>
    <x v="3"/>
    <s v="Arun"/>
    <n v="35"/>
    <n v="76"/>
    <x v="0"/>
    <n v="18000"/>
    <n v="18650"/>
    <n v="2000"/>
    <x v="0"/>
    <s v="No"/>
    <d v="2025-02-13T00:00:00"/>
    <d v="2025-04-14T00:00:00"/>
    <d v="1899-12-30T08:26:00"/>
    <d v="1899-12-30T10:41:00"/>
    <s v="D"/>
    <s v="08:26 AM"/>
    <s v="On Time"/>
    <s v="2 Hours 15 Minutes"/>
    <x v="1"/>
  </r>
  <r>
    <x v="38"/>
    <x v="7"/>
    <x v="10"/>
    <x v="1"/>
    <s v="Thoothukudi"/>
    <x v="4"/>
    <s v="John"/>
    <n v="51"/>
    <n v="98"/>
    <x v="0"/>
    <n v="10000"/>
    <n v="8620"/>
    <n v="2000"/>
    <x v="0"/>
    <s v="No"/>
    <d v="2025-03-10T00:00:00"/>
    <d v="2025-06-08T00:00:00"/>
    <d v="1899-12-30T08:20:00"/>
    <d v="1899-12-30T11:31:00"/>
    <s v="D"/>
    <s v="08:20 AM"/>
    <s v="On Time"/>
    <s v="3 Hours 11 Minutes"/>
    <x v="1"/>
  </r>
  <r>
    <x v="39"/>
    <x v="36"/>
    <x v="10"/>
    <x v="0"/>
    <s v="Erode"/>
    <x v="3"/>
    <s v="Arun"/>
    <n v="96"/>
    <n v="61"/>
    <x v="2"/>
    <n v="15000"/>
    <n v="15700"/>
    <n v="2000"/>
    <x v="0"/>
    <s v="No"/>
    <d v="2025-05-28T00:00:00"/>
    <d v="2025-11-24T00:00:00"/>
    <d v="1899-12-30T10:50:00"/>
    <d v="1899-12-30T14:33:00"/>
    <s v="A"/>
    <s v="10:50 AM"/>
    <s v="Delayed"/>
    <s v="3 Hours 43 Minutes"/>
    <x v="0"/>
  </r>
  <r>
    <x v="40"/>
    <x v="37"/>
    <x v="2"/>
    <x v="1"/>
    <s v="Bengaluru"/>
    <x v="2"/>
    <s v="Priya"/>
    <n v="48"/>
    <n v="88"/>
    <x v="0"/>
    <n v="12000"/>
    <n v="10160"/>
    <n v="4000"/>
    <x v="0"/>
    <s v="No"/>
    <d v="2025-01-24T00:00:00"/>
    <d v="2025-05-24T00:00:00"/>
    <d v="1899-12-30T09:30:00"/>
    <d v="1899-12-30T11:45:00"/>
    <s v="D"/>
    <s v="09:30 AM"/>
    <s v="Delayed"/>
    <s v="2 Hours 15 Minutes"/>
    <x v="1"/>
  </r>
  <r>
    <x v="41"/>
    <x v="38"/>
    <x v="9"/>
    <x v="0"/>
    <s v="Erode"/>
    <x v="0"/>
    <s v="David"/>
    <n v="84"/>
    <n v="74"/>
    <x v="1"/>
    <n v="10000"/>
    <n v="7210"/>
    <n v="4000"/>
    <x v="0"/>
    <s v="No"/>
    <d v="2025-11-15T00:00:00"/>
    <d v="2026-05-14T00:00:00"/>
    <d v="1899-12-30T08:08:00"/>
    <d v="1899-12-30T09:26:00"/>
    <s v="B"/>
    <s v="08:08 AM"/>
    <s v="Delayed"/>
    <s v="1 Hours 18 Minutes"/>
    <x v="1"/>
  </r>
  <r>
    <x v="42"/>
    <x v="39"/>
    <x v="9"/>
    <x v="1"/>
    <s v="Erode"/>
    <x v="7"/>
    <s v="Sneha"/>
    <n v="87"/>
    <n v="76"/>
    <x v="1"/>
    <n v="10000"/>
    <n v="7800"/>
    <n v="4000"/>
    <x v="0"/>
    <s v="No"/>
    <d v="2025-12-09T00:00:00"/>
    <d v="2026-03-09T00:00:00"/>
    <d v="1899-12-30T10:01:00"/>
    <d v="1899-12-30T14:28:00"/>
    <s v="B"/>
    <s v="10:01 AM"/>
    <s v="On Time"/>
    <s v="4 Hours 27 Minutes"/>
    <x v="0"/>
  </r>
  <r>
    <x v="43"/>
    <x v="40"/>
    <x v="7"/>
    <x v="0"/>
    <s v="Kanchipuram"/>
    <x v="4"/>
    <s v="John"/>
    <n v="72"/>
    <n v="66"/>
    <x v="3"/>
    <n v="20000"/>
    <n v="17830"/>
    <n v="4000"/>
    <x v="0"/>
    <s v="Yes"/>
    <d v="2025-07-17T00:00:00"/>
    <d v="2025-10-15T00:00:00"/>
    <d v="1899-12-30T10:47:00"/>
    <d v="1899-12-30T13:18:00"/>
    <s v="C"/>
    <s v="10:47 AM"/>
    <s v="On Time"/>
    <s v="2 Hours 31 Minutes"/>
    <x v="0"/>
  </r>
  <r>
    <x v="44"/>
    <x v="41"/>
    <x v="10"/>
    <x v="0"/>
    <s v="Kanchipuram"/>
    <x v="2"/>
    <s v="Priya"/>
    <n v="58"/>
    <n v="88"/>
    <x v="0"/>
    <n v="18000"/>
    <n v="18060"/>
    <n v="2000"/>
    <x v="0"/>
    <s v="No"/>
    <d v="2025-04-26T00:00:00"/>
    <d v="2025-06-25T00:00:00"/>
    <d v="1899-12-30T10:24:00"/>
    <d v="1899-12-30T12:23:00"/>
    <s v="D"/>
    <s v="10:24 AM"/>
    <s v="On Time"/>
    <s v="1 Hours 59 Minutes"/>
    <x v="0"/>
  </r>
  <r>
    <x v="45"/>
    <x v="42"/>
    <x v="2"/>
    <x v="1"/>
    <s v="Salem"/>
    <x v="4"/>
    <s v="John"/>
    <n v="49"/>
    <n v="77"/>
    <x v="0"/>
    <n v="18000"/>
    <n v="16060"/>
    <n v="4000"/>
    <x v="0"/>
    <s v="No"/>
    <d v="2025-03-09T00:00:00"/>
    <d v="2025-04-08T00:00:00"/>
    <d v="1899-12-30T09:54:00"/>
    <d v="1899-12-30T14:16:00"/>
    <s v="D"/>
    <s v="09:54 AM"/>
    <s v="On Time"/>
    <s v="4 Hours 22 Minutes"/>
    <x v="1"/>
  </r>
  <r>
    <x v="46"/>
    <x v="43"/>
    <x v="5"/>
    <x v="1"/>
    <s v="Hyderabad"/>
    <x v="2"/>
    <s v="Priya"/>
    <n v="75"/>
    <n v="70"/>
    <x v="1"/>
    <n v="20000"/>
    <n v="23010"/>
    <n v="0"/>
    <x v="1"/>
    <s v="No"/>
    <d v="2025-12-11T00:00:00"/>
    <d v="2026-03-11T00:00:00"/>
    <d v="1899-12-30T08:19:00"/>
    <d v="1899-12-30T11:25:00"/>
    <s v="B"/>
    <s v="08:19 AM"/>
    <s v="On Time"/>
    <s v="3 Hours 6 Minutes"/>
    <x v="1"/>
  </r>
  <r>
    <x v="47"/>
    <x v="44"/>
    <x v="10"/>
    <x v="1"/>
    <s v="Chennai"/>
    <x v="6"/>
    <s v="Karthik"/>
    <n v="88"/>
    <n v="83"/>
    <x v="1"/>
    <n v="12000"/>
    <n v="10390"/>
    <n v="2000"/>
    <x v="0"/>
    <s v="No"/>
    <d v="2025-12-07T00:00:00"/>
    <d v="2026-02-05T00:00:00"/>
    <d v="1899-12-30T09:18:00"/>
    <d v="1899-12-30T12:26:00"/>
    <s v="B"/>
    <s v="09:18 AM"/>
    <s v="On Time"/>
    <s v="3 Hours 8 Minutes"/>
    <x v="1"/>
  </r>
  <r>
    <x v="48"/>
    <x v="45"/>
    <x v="1"/>
    <x v="1"/>
    <s v="Tirunelveli"/>
    <x v="1"/>
    <s v="Nandhini"/>
    <n v="78"/>
    <n v="74"/>
    <x v="1"/>
    <n v="20000"/>
    <n v="21010"/>
    <n v="2000"/>
    <x v="0"/>
    <s v="No"/>
    <d v="2025-03-18T00:00:00"/>
    <d v="2025-07-16T00:00:00"/>
    <d v="1899-12-30T09:35:00"/>
    <d v="1899-12-30T14:14:00"/>
    <s v="B"/>
    <s v="09:35 AM"/>
    <s v="Delayed"/>
    <s v="4 Hours 39 Minutes"/>
    <x v="1"/>
  </r>
  <r>
    <x v="49"/>
    <x v="46"/>
    <x v="7"/>
    <x v="0"/>
    <s v="Coimbatore"/>
    <x v="7"/>
    <s v="Sneha"/>
    <n v="57"/>
    <n v="78"/>
    <x v="0"/>
    <n v="15000"/>
    <n v="11930"/>
    <n v="4000"/>
    <x v="0"/>
    <s v="No"/>
    <d v="2025-11-21T00:00:00"/>
    <d v="2026-01-20T00:00:00"/>
    <d v="1899-12-30T08:02:00"/>
    <d v="1899-12-30T11:32:00"/>
    <s v="D"/>
    <s v="08:02 AM"/>
    <s v="On Time"/>
    <s v="3 Hours 30 Minutes"/>
    <x v="1"/>
  </r>
  <r>
    <x v="50"/>
    <x v="47"/>
    <x v="8"/>
    <x v="0"/>
    <s v="Trichy"/>
    <x v="2"/>
    <s v="Priya"/>
    <n v="43"/>
    <n v="73"/>
    <x v="0"/>
    <n v="18000"/>
    <n v="16650"/>
    <n v="4000"/>
    <x v="0"/>
    <s v="No"/>
    <d v="2025-03-18T00:00:00"/>
    <d v="2025-09-14T00:00:00"/>
    <d v="1899-12-30T10:52:00"/>
    <d v="1899-12-30T14:31:00"/>
    <s v="D"/>
    <s v="10:52 AM"/>
    <s v="Delayed"/>
    <s v="3 Hours 39 Minutes"/>
    <x v="0"/>
  </r>
  <r>
    <x v="51"/>
    <x v="48"/>
    <x v="8"/>
    <x v="0"/>
    <s v="Salem"/>
    <x v="7"/>
    <s v="Sneha"/>
    <n v="65"/>
    <n v="65"/>
    <x v="3"/>
    <n v="18000"/>
    <n v="19240"/>
    <n v="2000"/>
    <x v="0"/>
    <s v="No"/>
    <d v="2025-09-17T00:00:00"/>
    <d v="2025-10-17T00:00:00"/>
    <d v="1899-12-30T08:27:00"/>
    <d v="1899-12-30T10:12:00"/>
    <s v="C"/>
    <s v="08:27 AM"/>
    <s v="On Time"/>
    <s v="1 Hours 45 Minutes"/>
    <x v="1"/>
  </r>
  <r>
    <x v="52"/>
    <x v="49"/>
    <x v="2"/>
    <x v="1"/>
    <s v="Erode"/>
    <x v="1"/>
    <s v="Nandhini"/>
    <n v="94"/>
    <n v="84"/>
    <x v="2"/>
    <n v="12000"/>
    <n v="8980"/>
    <n v="4000"/>
    <x v="0"/>
    <s v="No"/>
    <d v="2025-03-06T00:00:00"/>
    <d v="2025-07-04T00:00:00"/>
    <d v="1899-12-30T08:05:00"/>
    <d v="1899-12-30T11:12:00"/>
    <s v="A"/>
    <s v="08:05 AM"/>
    <s v="Delayed"/>
    <s v="3 Hours 7 Minutes"/>
    <x v="1"/>
  </r>
  <r>
    <x v="53"/>
    <x v="50"/>
    <x v="3"/>
    <x v="0"/>
    <s v="Hyderabad"/>
    <x v="2"/>
    <s v="Priya"/>
    <n v="83"/>
    <n v="95"/>
    <x v="1"/>
    <n v="18000"/>
    <n v="20650"/>
    <n v="0"/>
    <x v="1"/>
    <s v="No"/>
    <d v="2025-09-10T00:00:00"/>
    <d v="2025-12-09T00:00:00"/>
    <d v="1899-12-30T08:39:00"/>
    <d v="1899-12-30T12:16:00"/>
    <s v="B"/>
    <s v="08:39 AM"/>
    <s v="On Time"/>
    <s v="3 Hours 37 Minutes"/>
    <x v="1"/>
  </r>
  <r>
    <x v="54"/>
    <x v="51"/>
    <x v="10"/>
    <x v="1"/>
    <s v="Coimbatore"/>
    <x v="2"/>
    <s v="Priya"/>
    <n v="52"/>
    <n v="77"/>
    <x v="0"/>
    <n v="15000"/>
    <n v="17700"/>
    <n v="0"/>
    <x v="1"/>
    <s v="No"/>
    <d v="2025-03-29T00:00:00"/>
    <d v="2025-06-27T00:00:00"/>
    <d v="1899-12-30T10:25:00"/>
    <d v="1899-12-30T11:56:00"/>
    <s v="D"/>
    <s v="10:25 AM"/>
    <s v="On Time"/>
    <s v="1 Hours 31 Minutes"/>
    <x v="0"/>
  </r>
  <r>
    <x v="55"/>
    <x v="16"/>
    <x v="8"/>
    <x v="0"/>
    <s v="Thoothukudi"/>
    <x v="2"/>
    <s v="Priya"/>
    <n v="46"/>
    <n v="60"/>
    <x v="0"/>
    <n v="20000"/>
    <n v="22420"/>
    <n v="0"/>
    <x v="1"/>
    <s v="Yes"/>
    <d v="2025-02-24T00:00:00"/>
    <d v="2025-03-26T00:00:00"/>
    <d v="1899-12-30T08:39:00"/>
    <d v="1899-12-30T11:41:00"/>
    <s v="D"/>
    <s v="08:39 AM"/>
    <s v="On Time"/>
    <s v="3 Hours 2 Minutes"/>
    <x v="1"/>
  </r>
  <r>
    <x v="56"/>
    <x v="52"/>
    <x v="8"/>
    <x v="1"/>
    <s v="Vellore"/>
    <x v="0"/>
    <s v="David"/>
    <n v="85"/>
    <n v="84"/>
    <x v="1"/>
    <n v="10000"/>
    <n v="7210"/>
    <n v="4000"/>
    <x v="0"/>
    <s v="No"/>
    <d v="2025-06-07T00:00:00"/>
    <d v="2025-09-05T00:00:00"/>
    <d v="1899-12-30T08:31:00"/>
    <d v="1899-12-30T10:24:00"/>
    <s v="B"/>
    <s v="08:31 AM"/>
    <s v="On Time"/>
    <s v="1 Hours 53 Minutes"/>
    <x v="1"/>
  </r>
  <r>
    <x v="57"/>
    <x v="53"/>
    <x v="1"/>
    <x v="1"/>
    <s v="Hyderabad"/>
    <x v="2"/>
    <s v="Priya"/>
    <n v="73"/>
    <n v="87"/>
    <x v="3"/>
    <n v="20000"/>
    <n v="17830"/>
    <n v="4000"/>
    <x v="0"/>
    <s v="No"/>
    <d v="2025-02-13T00:00:00"/>
    <d v="2025-04-14T00:00:00"/>
    <d v="1899-12-30T10:49:00"/>
    <d v="1899-12-30T15:38:00"/>
    <s v="C"/>
    <s v="10:49 AM"/>
    <s v="On Time"/>
    <s v="4 Hours 49 Minutes"/>
    <x v="0"/>
  </r>
  <r>
    <x v="58"/>
    <x v="54"/>
    <x v="3"/>
    <x v="0"/>
    <s v="Chennai"/>
    <x v="1"/>
    <s v="Nandhini"/>
    <n v="94"/>
    <n v="93"/>
    <x v="2"/>
    <n v="10000"/>
    <n v="6030"/>
    <n v="4000"/>
    <x v="0"/>
    <s v="No"/>
    <d v="2025-02-26T00:00:00"/>
    <d v="2025-03-28T00:00:00"/>
    <d v="1899-12-30T08:01:00"/>
    <d v="1899-12-30T11:54:00"/>
    <s v="A"/>
    <s v="08:01 AM"/>
    <s v="On Time"/>
    <s v="3 Hours 53 Minutes"/>
    <x v="1"/>
  </r>
  <r>
    <x v="59"/>
    <x v="55"/>
    <x v="8"/>
    <x v="0"/>
    <s v="Coimbatore"/>
    <x v="5"/>
    <s v="Mani Prabhu"/>
    <n v="82"/>
    <n v="70"/>
    <x v="1"/>
    <n v="18000"/>
    <n v="17470"/>
    <n v="2000"/>
    <x v="0"/>
    <s v="No"/>
    <d v="2025-03-31T00:00:00"/>
    <d v="2025-07-29T00:00:00"/>
    <d v="1899-12-30T08:40:00"/>
    <d v="1899-12-30T09:45:00"/>
    <s v="B"/>
    <s v="08:40 AM"/>
    <s v="Delayed"/>
    <s v="1 Hours 5 Minutes"/>
    <x v="1"/>
  </r>
  <r>
    <x v="60"/>
    <x v="56"/>
    <x v="10"/>
    <x v="0"/>
    <s v="Trichy"/>
    <x v="7"/>
    <s v="Sneha"/>
    <n v="77"/>
    <n v="71"/>
    <x v="1"/>
    <n v="18000"/>
    <n v="20650"/>
    <n v="0"/>
    <x v="1"/>
    <s v="No"/>
    <d v="2025-07-04T00:00:00"/>
    <d v="2025-08-03T00:00:00"/>
    <d v="1899-12-30T09:35:00"/>
    <d v="1899-12-30T14:00:00"/>
    <s v="B"/>
    <s v="09:35 AM"/>
    <s v="On Time"/>
    <s v="4 Hours 25 Minutes"/>
    <x v="1"/>
  </r>
  <r>
    <x v="61"/>
    <x v="57"/>
    <x v="6"/>
    <x v="0"/>
    <s v="Thoothukudi"/>
    <x v="1"/>
    <s v="Nandhini"/>
    <n v="56"/>
    <n v="69"/>
    <x v="0"/>
    <n v="12000"/>
    <n v="8390"/>
    <n v="4000"/>
    <x v="0"/>
    <s v="Yes"/>
    <d v="2025-07-07T00:00:00"/>
    <d v="2025-10-05T00:00:00"/>
    <d v="1899-12-30T10:07:00"/>
    <d v="1899-12-30T12:46:00"/>
    <s v="D"/>
    <s v="10:07 AM"/>
    <s v="On Time"/>
    <s v="2 Hours 39 Minutes"/>
    <x v="0"/>
  </r>
  <r>
    <x v="62"/>
    <x v="58"/>
    <x v="3"/>
    <x v="1"/>
    <s v="Thoothukudi"/>
    <x v="2"/>
    <s v="Priya"/>
    <n v="67"/>
    <n v="90"/>
    <x v="3"/>
    <n v="12000"/>
    <n v="12390"/>
    <n v="0"/>
    <x v="1"/>
    <s v="No"/>
    <d v="2025-05-01T00:00:00"/>
    <d v="2025-05-31T00:00:00"/>
    <d v="1899-12-30T09:50:00"/>
    <d v="1899-12-30T12:03:00"/>
    <s v="C"/>
    <s v="09:50 AM"/>
    <s v="On Time"/>
    <s v="2 Hours 13 Minutes"/>
    <x v="1"/>
  </r>
  <r>
    <x v="63"/>
    <x v="59"/>
    <x v="1"/>
    <x v="1"/>
    <s v="Salem"/>
    <x v="5"/>
    <s v="Mani Prabhu"/>
    <n v="51"/>
    <n v="97"/>
    <x v="0"/>
    <n v="10000"/>
    <n v="6030"/>
    <n v="4000"/>
    <x v="0"/>
    <s v="No"/>
    <d v="2025-11-17T00:00:00"/>
    <d v="2026-02-15T00:00:00"/>
    <d v="1899-12-30T08:05:00"/>
    <d v="1899-12-30T09:27:00"/>
    <s v="D"/>
    <s v="08:05 AM"/>
    <s v="On Time"/>
    <s v="1 Hours 22 Minutes"/>
    <x v="1"/>
  </r>
  <r>
    <x v="64"/>
    <x v="60"/>
    <x v="8"/>
    <x v="1"/>
    <s v="Coimbatore"/>
    <x v="6"/>
    <s v="Karthik"/>
    <n v="81"/>
    <n v="74"/>
    <x v="1"/>
    <n v="15000"/>
    <n v="11930"/>
    <n v="4000"/>
    <x v="0"/>
    <s v="No"/>
    <d v="2025-10-05T00:00:00"/>
    <d v="2026-01-03T00:00:00"/>
    <d v="1899-12-30T08:44:00"/>
    <d v="1899-12-30T13:24:00"/>
    <s v="B"/>
    <s v="08:44 AM"/>
    <s v="On Time"/>
    <s v="4 Hours 40 Minutes"/>
    <x v="1"/>
  </r>
  <r>
    <x v="65"/>
    <x v="61"/>
    <x v="2"/>
    <x v="1"/>
    <s v="Trichy"/>
    <x v="3"/>
    <s v="Arun"/>
    <n v="58"/>
    <n v="65"/>
    <x v="0"/>
    <n v="18000"/>
    <n v="17470"/>
    <n v="2000"/>
    <x v="0"/>
    <s v="No"/>
    <d v="2025-12-07T00:00:00"/>
    <d v="2026-04-06T00:00:00"/>
    <d v="1899-12-30T09:43:00"/>
    <d v="1899-12-30T14:43:00"/>
    <s v="D"/>
    <s v="09:43 AM"/>
    <s v="Delayed"/>
    <s v="5 Hours 0 Minutes"/>
    <x v="1"/>
  </r>
  <r>
    <x v="66"/>
    <x v="62"/>
    <x v="4"/>
    <x v="1"/>
    <s v="Bengaluru"/>
    <x v="7"/>
    <s v="Sneha"/>
    <n v="49"/>
    <n v="90"/>
    <x v="0"/>
    <n v="20000"/>
    <n v="18420"/>
    <n v="4000"/>
    <x v="0"/>
    <s v="No"/>
    <d v="2025-08-17T00:00:00"/>
    <d v="2025-11-15T00:00:00"/>
    <d v="1899-12-30T09:59:00"/>
    <d v="1899-12-30T12:47:00"/>
    <s v="D"/>
    <s v="09:59 AM"/>
    <s v="On Time"/>
    <s v="2 Hours 48 Minutes"/>
    <x v="1"/>
  </r>
  <r>
    <x v="67"/>
    <x v="63"/>
    <x v="3"/>
    <x v="1"/>
    <s v="Erode"/>
    <x v="2"/>
    <s v="Priya"/>
    <n v="36"/>
    <n v="60"/>
    <x v="0"/>
    <n v="15000"/>
    <n v="13110"/>
    <n v="4000"/>
    <x v="0"/>
    <s v="No"/>
    <d v="2025-04-29T00:00:00"/>
    <d v="2025-08-27T00:00:00"/>
    <d v="1899-12-30T10:11:00"/>
    <d v="1899-12-30T11:27:00"/>
    <s v="D"/>
    <s v="10:11 AM"/>
    <s v="Delayed"/>
    <s v="1 Hours 16 Minutes"/>
    <x v="0"/>
  </r>
  <r>
    <x v="68"/>
    <x v="40"/>
    <x v="3"/>
    <x v="1"/>
    <s v="Hyderabad"/>
    <x v="4"/>
    <s v="John"/>
    <n v="36"/>
    <n v="86"/>
    <x v="0"/>
    <n v="12000"/>
    <n v="10160"/>
    <n v="4000"/>
    <x v="0"/>
    <s v="No"/>
    <d v="2025-06-27T00:00:00"/>
    <d v="2025-07-27T00:00:00"/>
    <d v="1899-12-30T08:10:00"/>
    <d v="1899-12-30T09:19:00"/>
    <s v="D"/>
    <s v="08:10 AM"/>
    <s v="On Time"/>
    <s v="1 Hours 9 Minutes"/>
    <x v="1"/>
  </r>
  <r>
    <x v="69"/>
    <x v="64"/>
    <x v="1"/>
    <x v="0"/>
    <s v="Thoothukudi"/>
    <x v="3"/>
    <s v="Arun"/>
    <n v="37"/>
    <n v="76"/>
    <x v="0"/>
    <n v="15000"/>
    <n v="16520"/>
    <n v="0"/>
    <x v="1"/>
    <s v="No"/>
    <d v="2025-04-14T00:00:00"/>
    <d v="2025-05-14T00:00:00"/>
    <d v="1899-12-30T10:08:00"/>
    <d v="1899-12-30T12:34:00"/>
    <s v="D"/>
    <s v="10:08 AM"/>
    <s v="On Time"/>
    <s v="2 Hours 26 Minutes"/>
    <x v="0"/>
  </r>
  <r>
    <x v="70"/>
    <x v="21"/>
    <x v="10"/>
    <x v="1"/>
    <s v="Kanchipuram"/>
    <x v="2"/>
    <s v="Priya"/>
    <n v="77"/>
    <n v="80"/>
    <x v="1"/>
    <n v="15000"/>
    <n v="15700"/>
    <n v="2000"/>
    <x v="0"/>
    <s v="No"/>
    <d v="2025-11-19T00:00:00"/>
    <d v="2026-05-18T00:00:00"/>
    <d v="1899-12-30T10:51:00"/>
    <d v="1899-12-30T12:36:00"/>
    <s v="B"/>
    <s v="10:51 AM"/>
    <s v="Delayed"/>
    <s v="1 Hours 45 Minutes"/>
    <x v="0"/>
  </r>
  <r>
    <x v="71"/>
    <x v="31"/>
    <x v="8"/>
    <x v="1"/>
    <s v="Chennai"/>
    <x v="3"/>
    <s v="Arun"/>
    <n v="97"/>
    <n v="65"/>
    <x v="2"/>
    <n v="12000"/>
    <n v="13570"/>
    <n v="0"/>
    <x v="1"/>
    <s v="No"/>
    <d v="2025-09-10T00:00:00"/>
    <d v="2026-01-08T00:00:00"/>
    <d v="1899-12-30T09:05:00"/>
    <d v="1899-12-30T12:46:00"/>
    <s v="A"/>
    <s v="09:05 AM"/>
    <s v="Delayed"/>
    <s v="3 Hours 41 Minutes"/>
    <x v="1"/>
  </r>
  <r>
    <x v="72"/>
    <x v="65"/>
    <x v="4"/>
    <x v="0"/>
    <s v="Coimbatore"/>
    <x v="7"/>
    <s v="Sneha"/>
    <n v="59"/>
    <n v="90"/>
    <x v="0"/>
    <n v="12000"/>
    <n v="12160"/>
    <n v="2000"/>
    <x v="0"/>
    <s v="No"/>
    <d v="2025-11-15T00:00:00"/>
    <d v="2025-12-15T00:00:00"/>
    <d v="1899-12-30T09:15:00"/>
    <d v="1899-12-30T11:58:00"/>
    <s v="D"/>
    <s v="09:15 AM"/>
    <s v="On Time"/>
    <s v="2 Hours 43 Minutes"/>
    <x v="1"/>
  </r>
  <r>
    <x v="73"/>
    <x v="37"/>
    <x v="10"/>
    <x v="1"/>
    <s v="Thoothukudi"/>
    <x v="1"/>
    <s v="Nandhini"/>
    <n v="92"/>
    <n v="78"/>
    <x v="2"/>
    <n v="10000"/>
    <n v="11800"/>
    <n v="0"/>
    <x v="1"/>
    <s v="No"/>
    <d v="2025-12-12T00:00:00"/>
    <d v="2026-02-10T00:00:00"/>
    <d v="1899-12-30T09:44:00"/>
    <d v="1899-12-30T13:39:00"/>
    <s v="A"/>
    <s v="09:44 AM"/>
    <s v="On Time"/>
    <s v="3 Hours 55 Minutes"/>
    <x v="1"/>
  </r>
  <r>
    <x v="74"/>
    <x v="66"/>
    <x v="0"/>
    <x v="0"/>
    <s v="Chennai"/>
    <x v="4"/>
    <s v="John"/>
    <n v="64"/>
    <n v="89"/>
    <x v="3"/>
    <n v="15000"/>
    <n v="17110"/>
    <n v="0"/>
    <x v="1"/>
    <s v="No"/>
    <d v="2025-06-05T00:00:00"/>
    <d v="2025-12-02T00:00:00"/>
    <d v="1899-12-30T08:40:00"/>
    <d v="1899-12-30T11:05:00"/>
    <s v="C"/>
    <s v="08:40 AM"/>
    <s v="Delayed"/>
    <s v="2 Hours 25 Minutes"/>
    <x v="1"/>
  </r>
  <r>
    <x v="75"/>
    <x v="67"/>
    <x v="10"/>
    <x v="1"/>
    <s v="Bengaluru"/>
    <x v="3"/>
    <s v="Arun"/>
    <n v="58"/>
    <n v="77"/>
    <x v="0"/>
    <n v="15000"/>
    <n v="13930"/>
    <n v="2000"/>
    <x v="0"/>
    <s v="No"/>
    <d v="2025-12-04T00:00:00"/>
    <d v="2026-03-04T00:00:00"/>
    <d v="1899-12-30T08:38:00"/>
    <d v="1899-12-30T13:22:00"/>
    <s v="D"/>
    <s v="08:38 AM"/>
    <s v="On Time"/>
    <s v="4 Hours 44 Minutes"/>
    <x v="1"/>
  </r>
  <r>
    <x v="76"/>
    <x v="68"/>
    <x v="7"/>
    <x v="1"/>
    <s v="Trichy"/>
    <x v="1"/>
    <s v="Nandhini"/>
    <n v="64"/>
    <n v="74"/>
    <x v="3"/>
    <n v="12000"/>
    <n v="14160"/>
    <n v="0"/>
    <x v="1"/>
    <s v="No"/>
    <d v="2025-10-16T00:00:00"/>
    <d v="2026-04-14T00:00:00"/>
    <d v="1899-12-30T08:41:00"/>
    <d v="1899-12-30T11:09:00"/>
    <s v="C"/>
    <s v="08:41 AM"/>
    <s v="Delayed"/>
    <s v="2 Hours 28 Minutes"/>
    <x v="1"/>
  </r>
  <r>
    <x v="77"/>
    <x v="69"/>
    <x v="10"/>
    <x v="1"/>
    <s v="Thoothukudi"/>
    <x v="6"/>
    <s v="Karthik"/>
    <n v="36"/>
    <n v="95"/>
    <x v="0"/>
    <n v="18000"/>
    <n v="20060"/>
    <n v="0"/>
    <x v="1"/>
    <s v="No"/>
    <d v="2025-01-02T00:00:00"/>
    <d v="2025-02-01T00:00:00"/>
    <d v="1899-12-30T10:30:00"/>
    <d v="1899-12-30T11:52:00"/>
    <s v="D"/>
    <s v="10:30 AM"/>
    <s v="On Time"/>
    <s v="1 Hours 22 Minutes"/>
    <x v="0"/>
  </r>
  <r>
    <x v="78"/>
    <x v="70"/>
    <x v="6"/>
    <x v="0"/>
    <s v="Kanchipuram"/>
    <x v="1"/>
    <s v="Nandhini"/>
    <n v="52"/>
    <n v="70"/>
    <x v="0"/>
    <n v="12000"/>
    <n v="10160"/>
    <n v="4000"/>
    <x v="0"/>
    <s v="No"/>
    <d v="2025-05-05T00:00:00"/>
    <d v="2025-06-04T00:00:00"/>
    <d v="1899-12-30T10:00:00"/>
    <d v="1899-12-30T13:45:00"/>
    <s v="D"/>
    <s v="10:00 AM"/>
    <s v="On Time"/>
    <s v="3 Hours 45 Minutes"/>
    <x v="1"/>
  </r>
  <r>
    <x v="79"/>
    <x v="71"/>
    <x v="9"/>
    <x v="1"/>
    <s v="Kanchipuram"/>
    <x v="5"/>
    <s v="Mani Prabhu"/>
    <n v="37"/>
    <n v="98"/>
    <x v="0"/>
    <n v="15000"/>
    <n v="15930"/>
    <n v="0"/>
    <x v="1"/>
    <s v="No"/>
    <d v="2025-01-25T00:00:00"/>
    <d v="2025-02-24T00:00:00"/>
    <d v="1899-12-30T09:13:00"/>
    <d v="1899-12-30T13:18:00"/>
    <s v="D"/>
    <s v="09:13 AM"/>
    <s v="On Time"/>
    <s v="4 Hours 5 Minutes"/>
    <x v="1"/>
  </r>
  <r>
    <x v="80"/>
    <x v="72"/>
    <x v="6"/>
    <x v="0"/>
    <s v="Coimbatore"/>
    <x v="5"/>
    <s v="Mani Prabhu"/>
    <n v="61"/>
    <n v="73"/>
    <x v="3"/>
    <n v="10000"/>
    <n v="7800"/>
    <n v="4000"/>
    <x v="0"/>
    <s v="No"/>
    <d v="2025-09-13T00:00:00"/>
    <d v="2025-10-13T00:00:00"/>
    <d v="1899-12-30T08:26:00"/>
    <d v="1899-12-30T10:30:00"/>
    <s v="C"/>
    <s v="08:26 AM"/>
    <s v="On Time"/>
    <s v="2 Hours 4 Minutes"/>
    <x v="1"/>
  </r>
  <r>
    <x v="81"/>
    <x v="73"/>
    <x v="10"/>
    <x v="1"/>
    <s v="Madurai"/>
    <x v="5"/>
    <s v="Mani Prabhu"/>
    <n v="37"/>
    <n v="66"/>
    <x v="0"/>
    <n v="10000"/>
    <n v="7210"/>
    <n v="4000"/>
    <x v="0"/>
    <s v="No"/>
    <d v="2025-11-04T00:00:00"/>
    <d v="2026-02-02T00:00:00"/>
    <d v="1899-12-30T09:16:00"/>
    <d v="1899-12-30T12:25:00"/>
    <s v="D"/>
    <s v="09:16 AM"/>
    <s v="On Time"/>
    <s v="3 Hours 9 Minutes"/>
    <x v="1"/>
  </r>
  <r>
    <x v="82"/>
    <x v="74"/>
    <x v="5"/>
    <x v="1"/>
    <s v="Hyderabad"/>
    <x v="2"/>
    <s v="Priya"/>
    <n v="76"/>
    <n v="95"/>
    <x v="1"/>
    <n v="10000"/>
    <n v="6030"/>
    <n v="4000"/>
    <x v="0"/>
    <s v="No"/>
    <d v="2025-04-04T00:00:00"/>
    <d v="2025-06-03T00:00:00"/>
    <d v="1899-12-30T09:57:00"/>
    <d v="1899-12-30T14:29:00"/>
    <s v="B"/>
    <s v="09:57 AM"/>
    <s v="On Time"/>
    <s v="4 Hours 32 Minutes"/>
    <x v="1"/>
  </r>
  <r>
    <x v="83"/>
    <x v="75"/>
    <x v="10"/>
    <x v="1"/>
    <s v="Tirunelveli"/>
    <x v="1"/>
    <s v="Nandhini"/>
    <n v="85"/>
    <n v="75"/>
    <x v="1"/>
    <n v="15000"/>
    <n v="12520"/>
    <n v="4000"/>
    <x v="0"/>
    <s v="No"/>
    <d v="2025-11-23T00:00:00"/>
    <d v="2025-12-23T00:00:00"/>
    <d v="1899-12-30T09:05:00"/>
    <d v="1899-12-30T10:53:00"/>
    <s v="B"/>
    <s v="09:05 AM"/>
    <s v="On Time"/>
    <s v="1 Hours 48 Minutes"/>
    <x v="1"/>
  </r>
  <r>
    <x v="84"/>
    <x v="76"/>
    <x v="9"/>
    <x v="0"/>
    <s v="Coimbatore"/>
    <x v="5"/>
    <s v="Mani Prabhu"/>
    <n v="41"/>
    <n v="82"/>
    <x v="0"/>
    <n v="15000"/>
    <n v="13930"/>
    <n v="2000"/>
    <x v="0"/>
    <s v="No"/>
    <d v="2025-12-17T00:00:00"/>
    <d v="2026-04-16T00:00:00"/>
    <d v="1899-12-30T09:04:00"/>
    <d v="1899-12-30T13:41:00"/>
    <s v="D"/>
    <s v="09:04 AM"/>
    <s v="Delayed"/>
    <s v="4 Hours 37 Minutes"/>
    <x v="1"/>
  </r>
  <r>
    <x v="85"/>
    <x v="74"/>
    <x v="4"/>
    <x v="0"/>
    <s v="Kanchipuram"/>
    <x v="6"/>
    <s v="Karthik"/>
    <n v="76"/>
    <n v="89"/>
    <x v="1"/>
    <n v="15000"/>
    <n v="12520"/>
    <n v="4000"/>
    <x v="0"/>
    <s v="No"/>
    <d v="2025-01-14T00:00:00"/>
    <d v="2025-04-14T00:00:00"/>
    <d v="1899-12-30T10:09:00"/>
    <d v="1899-12-30T11:53:00"/>
    <s v="B"/>
    <s v="10:09 AM"/>
    <s v="On Time"/>
    <s v="1 Hours 44 Minutes"/>
    <x v="0"/>
  </r>
  <r>
    <x v="86"/>
    <x v="77"/>
    <x v="0"/>
    <x v="1"/>
    <s v="Tirunelveli"/>
    <x v="0"/>
    <s v="David"/>
    <n v="35"/>
    <n v="82"/>
    <x v="0"/>
    <n v="20000"/>
    <n v="20420"/>
    <n v="2000"/>
    <x v="0"/>
    <s v="No"/>
    <d v="2025-10-09T00:00:00"/>
    <d v="2025-11-08T00:00:00"/>
    <d v="1899-12-30T08:57:00"/>
    <d v="1899-12-30T10:59:00"/>
    <s v="D"/>
    <s v="08:57 AM"/>
    <s v="On Time"/>
    <s v="2 Hours 2 Minutes"/>
    <x v="1"/>
  </r>
  <r>
    <x v="87"/>
    <x v="78"/>
    <x v="0"/>
    <x v="1"/>
    <s v="Thoothukudi"/>
    <x v="4"/>
    <s v="John"/>
    <n v="58"/>
    <n v="69"/>
    <x v="0"/>
    <n v="12000"/>
    <n v="12160"/>
    <n v="2000"/>
    <x v="0"/>
    <s v="No"/>
    <d v="2025-05-06T00:00:00"/>
    <d v="2025-09-03T00:00:00"/>
    <d v="1899-12-30T10:36:00"/>
    <d v="1899-12-30T15:08:00"/>
    <s v="D"/>
    <s v="10:36 AM"/>
    <s v="Delayed"/>
    <s v="4 Hours 32 Minutes"/>
    <x v="0"/>
  </r>
  <r>
    <x v="88"/>
    <x v="3"/>
    <x v="1"/>
    <x v="0"/>
    <s v="Erode"/>
    <x v="4"/>
    <s v="John"/>
    <n v="65"/>
    <n v="82"/>
    <x v="3"/>
    <n v="15000"/>
    <n v="15930"/>
    <n v="0"/>
    <x v="1"/>
    <s v="No"/>
    <d v="2025-08-08T00:00:00"/>
    <d v="2025-10-07T00:00:00"/>
    <d v="1899-12-30T10:38:00"/>
    <d v="1899-12-30T13:53:00"/>
    <s v="C"/>
    <s v="10:38 AM"/>
    <s v="On Time"/>
    <s v="3 Hours 15 Minutes"/>
    <x v="0"/>
  </r>
  <r>
    <x v="89"/>
    <x v="65"/>
    <x v="7"/>
    <x v="0"/>
    <s v="Salem"/>
    <x v="0"/>
    <s v="David"/>
    <n v="100"/>
    <n v="93"/>
    <x v="2"/>
    <n v="10000"/>
    <n v="7800"/>
    <n v="4000"/>
    <x v="0"/>
    <s v="No"/>
    <d v="2025-02-05T00:00:00"/>
    <d v="2025-03-07T00:00:00"/>
    <d v="1899-12-30T08:47:00"/>
    <d v="1899-12-30T13:05:00"/>
    <s v="A"/>
    <s v="08:47 AM"/>
    <s v="On Time"/>
    <s v="4 Hours 18 Minutes"/>
    <x v="1"/>
  </r>
  <r>
    <x v="90"/>
    <x v="79"/>
    <x v="2"/>
    <x v="0"/>
    <s v="Hyderabad"/>
    <x v="5"/>
    <s v="Mani Prabhu"/>
    <n v="100"/>
    <n v="83"/>
    <x v="2"/>
    <n v="10000"/>
    <n v="11800"/>
    <n v="0"/>
    <x v="1"/>
    <s v="No"/>
    <d v="2025-08-02T00:00:00"/>
    <d v="2025-09-01T00:00:00"/>
    <d v="1899-12-30T08:22:00"/>
    <d v="1899-12-30T09:52:00"/>
    <s v="A"/>
    <s v="08:22 AM"/>
    <s v="On Time"/>
    <s v="1 Hours 30 Minutes"/>
    <x v="1"/>
  </r>
  <r>
    <x v="91"/>
    <x v="80"/>
    <x v="6"/>
    <x v="1"/>
    <s v="Erode"/>
    <x v="4"/>
    <s v="John"/>
    <n v="46"/>
    <n v="79"/>
    <x v="0"/>
    <n v="10000"/>
    <n v="11210"/>
    <n v="0"/>
    <x v="1"/>
    <s v="No"/>
    <d v="2025-12-12T00:00:00"/>
    <d v="2026-02-10T00:00:00"/>
    <d v="1899-12-30T08:13:00"/>
    <d v="1899-12-30T09:26:00"/>
    <s v="D"/>
    <s v="08:13 AM"/>
    <s v="On Time"/>
    <s v="1 Hours 13 Minutes"/>
    <x v="1"/>
  </r>
  <r>
    <x v="92"/>
    <x v="81"/>
    <x v="0"/>
    <x v="0"/>
    <s v="Coimbatore"/>
    <x v="6"/>
    <s v="Karthik"/>
    <n v="87"/>
    <n v="88"/>
    <x v="1"/>
    <n v="12000"/>
    <n v="10160"/>
    <n v="4000"/>
    <x v="0"/>
    <s v="No"/>
    <d v="2025-12-16T00:00:00"/>
    <d v="2026-02-14T00:00:00"/>
    <d v="1899-12-30T08:27:00"/>
    <d v="1899-12-30T11:44:00"/>
    <s v="B"/>
    <s v="08:27 AM"/>
    <s v="On Time"/>
    <s v="3 Hours 17 Minutes"/>
    <x v="1"/>
  </r>
  <r>
    <x v="93"/>
    <x v="82"/>
    <x v="8"/>
    <x v="0"/>
    <s v="Trichy"/>
    <x v="7"/>
    <s v="Sneha"/>
    <n v="96"/>
    <n v="88"/>
    <x v="2"/>
    <n v="10000"/>
    <n v="10620"/>
    <n v="0"/>
    <x v="1"/>
    <s v="No"/>
    <d v="2025-09-04T00:00:00"/>
    <d v="2025-10-04T00:00:00"/>
    <d v="1899-12-30T09:35:00"/>
    <d v="1899-12-30T10:59:00"/>
    <s v="A"/>
    <s v="09:35 AM"/>
    <s v="On Time"/>
    <s v="1 Hours 24 Minutes"/>
    <x v="1"/>
  </r>
  <r>
    <x v="94"/>
    <x v="83"/>
    <x v="8"/>
    <x v="1"/>
    <s v="Tirunelveli"/>
    <x v="0"/>
    <s v="David"/>
    <n v="55"/>
    <n v="68"/>
    <x v="0"/>
    <n v="10000"/>
    <n v="6030"/>
    <n v="4000"/>
    <x v="0"/>
    <s v="No"/>
    <d v="2025-03-16T00:00:00"/>
    <d v="2025-05-15T00:00:00"/>
    <d v="1899-12-30T08:42:00"/>
    <d v="1899-12-30T10:40:00"/>
    <s v="D"/>
    <s v="08:42 AM"/>
    <s v="On Time"/>
    <s v="1 Hours 58 Minutes"/>
    <x v="1"/>
  </r>
  <r>
    <x v="95"/>
    <x v="84"/>
    <x v="7"/>
    <x v="0"/>
    <s v="Madurai"/>
    <x v="4"/>
    <s v="John"/>
    <n v="56"/>
    <n v="72"/>
    <x v="0"/>
    <n v="20000"/>
    <n v="21830"/>
    <n v="0"/>
    <x v="1"/>
    <s v="No"/>
    <d v="2025-10-29T00:00:00"/>
    <d v="2026-02-26T00:00:00"/>
    <d v="1899-12-30T10:39:00"/>
    <d v="1899-12-30T15:15:00"/>
    <s v="D"/>
    <s v="10:39 AM"/>
    <s v="Delayed"/>
    <s v="4 Hours 36 Minutes"/>
    <x v="0"/>
  </r>
  <r>
    <x v="96"/>
    <x v="85"/>
    <x v="9"/>
    <x v="0"/>
    <s v="Bengaluru"/>
    <x v="5"/>
    <s v="Mani Prabhu"/>
    <n v="61"/>
    <n v="70"/>
    <x v="3"/>
    <n v="20000"/>
    <n v="19010"/>
    <n v="4000"/>
    <x v="0"/>
    <s v="No"/>
    <d v="2025-01-29T00:00:00"/>
    <d v="2025-02-28T00:00:00"/>
    <d v="1899-12-30T10:40:00"/>
    <d v="1899-12-30T15:24:00"/>
    <s v="C"/>
    <s v="10:40 AM"/>
    <s v="On Time"/>
    <s v="4 Hours 44 Minutes"/>
    <x v="0"/>
  </r>
  <r>
    <x v="97"/>
    <x v="25"/>
    <x v="0"/>
    <x v="1"/>
    <s v="Madurai"/>
    <x v="4"/>
    <s v="John"/>
    <n v="67"/>
    <n v="93"/>
    <x v="3"/>
    <n v="20000"/>
    <n v="23600"/>
    <n v="0"/>
    <x v="1"/>
    <s v="No"/>
    <d v="2025-04-20T00:00:00"/>
    <d v="2025-10-17T00:00:00"/>
    <d v="1899-12-30T10:54:00"/>
    <d v="1899-12-30T15:40:00"/>
    <s v="C"/>
    <s v="10:54 AM"/>
    <s v="Delayed"/>
    <s v="4 Hours 46 Minutes"/>
    <x v="0"/>
  </r>
  <r>
    <x v="98"/>
    <x v="86"/>
    <x v="2"/>
    <x v="1"/>
    <s v="Madurai"/>
    <x v="7"/>
    <s v="Sneha"/>
    <n v="87"/>
    <n v="81"/>
    <x v="1"/>
    <n v="15000"/>
    <n v="14520"/>
    <n v="2000"/>
    <x v="0"/>
    <s v="No"/>
    <d v="2025-04-28T00:00:00"/>
    <d v="2025-06-27T00:00:00"/>
    <d v="1899-12-30T08:41:00"/>
    <d v="1899-12-30T09:59:00"/>
    <s v="B"/>
    <s v="08:41 AM"/>
    <s v="On Time"/>
    <s v="1 Hours 18 Minutes"/>
    <x v="1"/>
  </r>
  <r>
    <x v="99"/>
    <x v="87"/>
    <x v="7"/>
    <x v="1"/>
    <s v="Thoothukudi"/>
    <x v="7"/>
    <s v="Sneha"/>
    <n v="47"/>
    <n v="83"/>
    <x v="0"/>
    <n v="18000"/>
    <n v="16650"/>
    <n v="4000"/>
    <x v="0"/>
    <s v="No"/>
    <d v="2025-03-30T00:00:00"/>
    <d v="2025-04-29T00:00:00"/>
    <d v="1899-12-30T08:30:00"/>
    <d v="1899-12-30T10:22:00"/>
    <s v="D"/>
    <s v="08:30 AM"/>
    <s v="On Time"/>
    <s v="1 Hours 52 Minutes"/>
    <x v="1"/>
  </r>
  <r>
    <x v="100"/>
    <x v="33"/>
    <x v="4"/>
    <x v="0"/>
    <s v="Tirunelveli"/>
    <x v="5"/>
    <s v="Mani Prabhu"/>
    <n v="42"/>
    <n v="73"/>
    <x v="0"/>
    <n v="15000"/>
    <n v="12520"/>
    <n v="4000"/>
    <x v="0"/>
    <s v="No"/>
    <d v="2025-11-21T00:00:00"/>
    <d v="2026-03-21T00:00:00"/>
    <d v="1899-12-30T09:13:00"/>
    <d v="1899-12-30T11:43:00"/>
    <s v="D"/>
    <s v="09:13 AM"/>
    <s v="Delayed"/>
    <s v="2 Hours 30 Minutes"/>
    <x v="1"/>
  </r>
  <r>
    <x v="101"/>
    <x v="88"/>
    <x v="8"/>
    <x v="0"/>
    <s v="Erode"/>
    <x v="3"/>
    <s v="Arun"/>
    <n v="44"/>
    <n v="61"/>
    <x v="0"/>
    <n v="10000"/>
    <n v="9800"/>
    <n v="2000"/>
    <x v="0"/>
    <s v="No"/>
    <d v="2025-11-16T00:00:00"/>
    <d v="2025-12-16T00:00:00"/>
    <d v="1899-12-30T10:28:00"/>
    <d v="1899-12-30T15:06:00"/>
    <s v="D"/>
    <s v="10:28 AM"/>
    <s v="On Time"/>
    <s v="4 Hours 38 Minutes"/>
    <x v="0"/>
  </r>
  <r>
    <x v="102"/>
    <x v="89"/>
    <x v="7"/>
    <x v="1"/>
    <s v="Salem"/>
    <x v="4"/>
    <s v="John"/>
    <n v="64"/>
    <n v="90"/>
    <x v="3"/>
    <n v="20000"/>
    <n v="21010"/>
    <n v="2000"/>
    <x v="0"/>
    <s v="No"/>
    <d v="2025-09-17T00:00:00"/>
    <d v="2026-01-15T00:00:00"/>
    <d v="1899-12-30T08:01:00"/>
    <d v="1899-12-30T09:48:00"/>
    <s v="C"/>
    <s v="08:01 AM"/>
    <s v="Delayed"/>
    <s v="1 Hours 47 Minutes"/>
    <x v="1"/>
  </r>
  <r>
    <x v="103"/>
    <x v="90"/>
    <x v="4"/>
    <x v="1"/>
    <s v="Madurai"/>
    <x v="0"/>
    <s v="David"/>
    <n v="67"/>
    <n v="83"/>
    <x v="3"/>
    <n v="10000"/>
    <n v="6620"/>
    <n v="4000"/>
    <x v="0"/>
    <s v="No"/>
    <d v="2025-11-17T00:00:00"/>
    <d v="2025-12-17T00:00:00"/>
    <d v="1899-12-30T09:54:00"/>
    <d v="1899-12-30T11:06:00"/>
    <s v="C"/>
    <s v="09:54 AM"/>
    <s v="On Time"/>
    <s v="1 Hours 12 Minutes"/>
    <x v="1"/>
  </r>
  <r>
    <x v="104"/>
    <x v="91"/>
    <x v="2"/>
    <x v="0"/>
    <s v="Thoothukudi"/>
    <x v="3"/>
    <s v="Arun"/>
    <n v="60"/>
    <n v="67"/>
    <x v="3"/>
    <n v="12000"/>
    <n v="14160"/>
    <n v="0"/>
    <x v="1"/>
    <s v="No"/>
    <d v="2025-05-31T00:00:00"/>
    <d v="2025-11-27T00:00:00"/>
    <d v="1899-12-30T09:26:00"/>
    <d v="1899-12-30T12:05:00"/>
    <s v="C"/>
    <s v="09:26 AM"/>
    <s v="Delayed"/>
    <s v="2 Hours 39 Minutes"/>
    <x v="1"/>
  </r>
  <r>
    <x v="105"/>
    <x v="85"/>
    <x v="1"/>
    <x v="1"/>
    <s v="Salem"/>
    <x v="1"/>
    <s v="Nandhini"/>
    <n v="39"/>
    <n v="84"/>
    <x v="0"/>
    <n v="10000"/>
    <n v="7800"/>
    <n v="4000"/>
    <x v="0"/>
    <s v="No"/>
    <d v="2025-08-10T00:00:00"/>
    <d v="2025-11-08T00:00:00"/>
    <d v="1899-12-30T08:14:00"/>
    <d v="1899-12-30T09:27:00"/>
    <s v="D"/>
    <s v="08:14 AM"/>
    <s v="On Time"/>
    <s v="1 Hours 13 Minutes"/>
    <x v="1"/>
  </r>
  <r>
    <x v="106"/>
    <x v="54"/>
    <x v="5"/>
    <x v="1"/>
    <s v="Bengaluru"/>
    <x v="5"/>
    <s v="Mani Prabhu"/>
    <n v="87"/>
    <n v="79"/>
    <x v="1"/>
    <n v="15000"/>
    <n v="15930"/>
    <n v="0"/>
    <x v="1"/>
    <s v="No"/>
    <d v="2025-03-06T00:00:00"/>
    <d v="2025-06-04T00:00:00"/>
    <d v="1899-12-30T09:10:00"/>
    <d v="1899-12-30T13:22:00"/>
    <s v="B"/>
    <s v="09:10 AM"/>
    <s v="On Time"/>
    <s v="4 Hours 12 Minutes"/>
    <x v="1"/>
  </r>
  <r>
    <x v="107"/>
    <x v="92"/>
    <x v="9"/>
    <x v="0"/>
    <s v="Bengaluru"/>
    <x v="2"/>
    <s v="Priya"/>
    <n v="49"/>
    <n v="84"/>
    <x v="0"/>
    <n v="15000"/>
    <n v="13930"/>
    <n v="2000"/>
    <x v="0"/>
    <s v="No"/>
    <d v="2025-11-25T00:00:00"/>
    <d v="2026-01-24T00:00:00"/>
    <d v="1899-12-30T09:34:00"/>
    <d v="1899-12-30T14:23:00"/>
    <s v="D"/>
    <s v="09:34 AM"/>
    <s v="On Time"/>
    <s v="4 Hours 49 Minutes"/>
    <x v="1"/>
  </r>
  <r>
    <x v="108"/>
    <x v="93"/>
    <x v="0"/>
    <x v="1"/>
    <s v="Tirunelveli"/>
    <x v="5"/>
    <s v="Mani Prabhu"/>
    <n v="100"/>
    <n v="67"/>
    <x v="2"/>
    <n v="18000"/>
    <n v="20060"/>
    <n v="0"/>
    <x v="1"/>
    <s v="Yes"/>
    <d v="2025-01-27T00:00:00"/>
    <d v="2025-04-27T00:00:00"/>
    <d v="1899-12-30T08:16:00"/>
    <d v="1899-12-30T13:14:00"/>
    <s v="A"/>
    <s v="08:16 AM"/>
    <s v="On Time"/>
    <s v="4 Hours 58 Minutes"/>
    <x v="1"/>
  </r>
  <r>
    <x v="109"/>
    <x v="64"/>
    <x v="0"/>
    <x v="0"/>
    <s v="Trichy"/>
    <x v="7"/>
    <s v="Sneha"/>
    <n v="85"/>
    <n v="60"/>
    <x v="1"/>
    <n v="18000"/>
    <n v="15470"/>
    <n v="4000"/>
    <x v="0"/>
    <s v="No"/>
    <d v="2025-03-29T00:00:00"/>
    <d v="2025-04-28T00:00:00"/>
    <d v="1899-12-30T10:59:00"/>
    <d v="1899-12-30T15:53:00"/>
    <s v="B"/>
    <s v="10:59 AM"/>
    <s v="On Time"/>
    <s v="4 Hours 54 Minutes"/>
    <x v="0"/>
  </r>
  <r>
    <x v="110"/>
    <x v="94"/>
    <x v="0"/>
    <x v="1"/>
    <s v="Tirunelveli"/>
    <x v="6"/>
    <s v="Karthik"/>
    <n v="38"/>
    <n v="64"/>
    <x v="0"/>
    <n v="10000"/>
    <n v="8030"/>
    <n v="2000"/>
    <x v="0"/>
    <s v="No"/>
    <d v="2025-03-22T00:00:00"/>
    <d v="2025-04-21T00:00:00"/>
    <d v="1899-12-30T10:44:00"/>
    <d v="1899-12-30T15:36:00"/>
    <s v="D"/>
    <s v="10:44 AM"/>
    <s v="On Time"/>
    <s v="4 Hours 52 Minutes"/>
    <x v="0"/>
  </r>
  <r>
    <x v="111"/>
    <x v="16"/>
    <x v="0"/>
    <x v="1"/>
    <s v="Bengaluru"/>
    <x v="3"/>
    <s v="Arun"/>
    <n v="39"/>
    <n v="99"/>
    <x v="0"/>
    <n v="15000"/>
    <n v="11930"/>
    <n v="4000"/>
    <x v="0"/>
    <s v="No"/>
    <d v="2025-06-05T00:00:00"/>
    <d v="2025-07-05T00:00:00"/>
    <d v="1899-12-30T10:07:00"/>
    <d v="1899-12-30T13:12:00"/>
    <s v="D"/>
    <s v="10:07 AM"/>
    <s v="On Time"/>
    <s v="3 Hours 5 Minutes"/>
    <x v="0"/>
  </r>
  <r>
    <x v="112"/>
    <x v="95"/>
    <x v="1"/>
    <x v="1"/>
    <s v="Bengaluru"/>
    <x v="7"/>
    <s v="Sneha"/>
    <n v="87"/>
    <n v="100"/>
    <x v="1"/>
    <n v="10000"/>
    <n v="10620"/>
    <n v="0"/>
    <x v="1"/>
    <s v="No"/>
    <d v="2025-06-17T00:00:00"/>
    <d v="2025-12-14T00:00:00"/>
    <d v="1899-12-30T10:02:00"/>
    <d v="1899-12-30T12:13:00"/>
    <s v="B"/>
    <s v="10:02 AM"/>
    <s v="Delayed"/>
    <s v="2 Hours 11 Minutes"/>
    <x v="0"/>
  </r>
  <r>
    <x v="113"/>
    <x v="96"/>
    <x v="7"/>
    <x v="1"/>
    <s v="Chennai"/>
    <x v="7"/>
    <s v="Sneha"/>
    <n v="58"/>
    <n v="89"/>
    <x v="0"/>
    <n v="20000"/>
    <n v="19010"/>
    <n v="4000"/>
    <x v="0"/>
    <s v="No"/>
    <d v="2025-08-11T00:00:00"/>
    <d v="2025-11-09T00:00:00"/>
    <d v="1899-12-30T10:40:00"/>
    <d v="1899-12-30T14:21:00"/>
    <s v="D"/>
    <s v="10:40 AM"/>
    <s v="On Time"/>
    <s v="3 Hours 41 Minutes"/>
    <x v="0"/>
  </r>
  <r>
    <x v="114"/>
    <x v="97"/>
    <x v="2"/>
    <x v="1"/>
    <s v="Bengaluru"/>
    <x v="5"/>
    <s v="Mani Prabhu"/>
    <n v="50"/>
    <n v="86"/>
    <x v="0"/>
    <n v="12000"/>
    <n v="13570"/>
    <n v="0"/>
    <x v="1"/>
    <s v="No"/>
    <d v="2025-02-11T00:00:00"/>
    <d v="2025-08-10T00:00:00"/>
    <d v="1899-12-30T10:09:00"/>
    <d v="1899-12-30T13:25:00"/>
    <s v="D"/>
    <s v="10:09 AM"/>
    <s v="Delayed"/>
    <s v="3 Hours 16 Minutes"/>
    <x v="0"/>
  </r>
  <r>
    <x v="115"/>
    <x v="98"/>
    <x v="6"/>
    <x v="1"/>
    <s v="Hyderabad"/>
    <x v="4"/>
    <s v="John"/>
    <n v="95"/>
    <n v="69"/>
    <x v="2"/>
    <n v="18000"/>
    <n v="16060"/>
    <n v="4000"/>
    <x v="0"/>
    <s v="No"/>
    <d v="2025-08-28T00:00:00"/>
    <d v="2026-02-24T00:00:00"/>
    <d v="1899-12-30T09:32:00"/>
    <d v="1899-12-30T12:14:00"/>
    <s v="A"/>
    <s v="09:32 AM"/>
    <s v="Delayed"/>
    <s v="2 Hours 42 Minutes"/>
    <x v="1"/>
  </r>
  <r>
    <x v="116"/>
    <x v="99"/>
    <x v="0"/>
    <x v="0"/>
    <s v="Vellore"/>
    <x v="6"/>
    <s v="Karthik"/>
    <n v="81"/>
    <n v="88"/>
    <x v="1"/>
    <n v="18000"/>
    <n v="20650"/>
    <n v="0"/>
    <x v="1"/>
    <s v="No"/>
    <d v="2025-01-04T00:00:00"/>
    <d v="2025-05-04T00:00:00"/>
    <d v="1899-12-30T09:14:00"/>
    <d v="1899-12-30T10:34:00"/>
    <s v="B"/>
    <s v="09:14 AM"/>
    <s v="Delayed"/>
    <s v="1 Hours 20 Minutes"/>
    <x v="1"/>
  </r>
  <r>
    <x v="117"/>
    <x v="33"/>
    <x v="5"/>
    <x v="0"/>
    <s v="Bengaluru"/>
    <x v="2"/>
    <s v="Priya"/>
    <n v="98"/>
    <n v="100"/>
    <x v="2"/>
    <n v="18000"/>
    <n v="18060"/>
    <n v="2000"/>
    <x v="0"/>
    <s v="No"/>
    <d v="2025-04-23T00:00:00"/>
    <d v="2025-05-23T00:00:00"/>
    <d v="1899-12-30T09:03:00"/>
    <d v="1899-12-30T13:06:00"/>
    <s v="A"/>
    <s v="09:03 AM"/>
    <s v="On Time"/>
    <s v="4 Hours 3 Minutes"/>
    <x v="1"/>
  </r>
  <r>
    <x v="118"/>
    <x v="67"/>
    <x v="3"/>
    <x v="1"/>
    <s v="Trichy"/>
    <x v="1"/>
    <s v="Nandhini"/>
    <n v="74"/>
    <n v="60"/>
    <x v="3"/>
    <n v="15000"/>
    <n v="17110"/>
    <n v="0"/>
    <x v="1"/>
    <s v="No"/>
    <d v="2025-09-21T00:00:00"/>
    <d v="2025-12-20T00:00:00"/>
    <d v="1899-12-30T10:11:00"/>
    <d v="1899-12-30T12:28:00"/>
    <s v="C"/>
    <s v="10:11 AM"/>
    <s v="On Time"/>
    <s v="2 Hours 17 Minutes"/>
    <x v="0"/>
  </r>
  <r>
    <x v="119"/>
    <x v="100"/>
    <x v="0"/>
    <x v="0"/>
    <s v="Trichy"/>
    <x v="4"/>
    <s v="John"/>
    <n v="91"/>
    <n v="79"/>
    <x v="2"/>
    <n v="20000"/>
    <n v="23600"/>
    <n v="0"/>
    <x v="1"/>
    <s v="No"/>
    <d v="2025-08-21T00:00:00"/>
    <d v="2025-09-20T00:00:00"/>
    <d v="1899-12-30T10:00:00"/>
    <d v="1899-12-30T14:52:00"/>
    <s v="A"/>
    <s v="10:00 AM"/>
    <s v="On Time"/>
    <s v="4 Hours 52 Minutes"/>
    <x v="1"/>
  </r>
  <r>
    <x v="120"/>
    <x v="101"/>
    <x v="6"/>
    <x v="0"/>
    <s v="Kanchipuram"/>
    <x v="5"/>
    <s v="Mani Prabhu"/>
    <n v="97"/>
    <n v="99"/>
    <x v="2"/>
    <n v="10000"/>
    <n v="9800"/>
    <n v="2000"/>
    <x v="0"/>
    <s v="No"/>
    <d v="2025-05-29T00:00:00"/>
    <d v="2025-11-25T00:00:00"/>
    <d v="1899-12-30T08:28:00"/>
    <d v="1899-12-30T11:27:00"/>
    <s v="A"/>
    <s v="08:28 AM"/>
    <s v="Delayed"/>
    <s v="2 Hours 59 Minutes"/>
    <x v="1"/>
  </r>
  <r>
    <x v="121"/>
    <x v="66"/>
    <x v="8"/>
    <x v="0"/>
    <s v="Tirunelveli"/>
    <x v="2"/>
    <s v="Priya"/>
    <n v="36"/>
    <n v="100"/>
    <x v="0"/>
    <n v="15000"/>
    <n v="11930"/>
    <n v="4000"/>
    <x v="0"/>
    <s v="Yes"/>
    <d v="2025-12-12T00:00:00"/>
    <d v="2026-03-12T00:00:00"/>
    <d v="1899-12-30T09:37:00"/>
    <d v="1899-12-30T13:34:00"/>
    <s v="D"/>
    <s v="09:37 AM"/>
    <s v="On Time"/>
    <s v="3 Hours 57 Minutes"/>
    <x v="1"/>
  </r>
  <r>
    <x v="122"/>
    <x v="58"/>
    <x v="7"/>
    <x v="0"/>
    <s v="Coimbatore"/>
    <x v="7"/>
    <s v="Sneha"/>
    <n v="69"/>
    <n v="99"/>
    <x v="3"/>
    <n v="18000"/>
    <n v="20650"/>
    <n v="0"/>
    <x v="1"/>
    <s v="No"/>
    <d v="2025-03-27T00:00:00"/>
    <d v="2025-04-26T00:00:00"/>
    <d v="1899-12-30T08:57:00"/>
    <d v="1899-12-30T12:43:00"/>
    <s v="C"/>
    <s v="08:57 AM"/>
    <s v="On Time"/>
    <s v="3 Hours 46 Minutes"/>
    <x v="1"/>
  </r>
  <r>
    <x v="123"/>
    <x v="102"/>
    <x v="3"/>
    <x v="1"/>
    <s v="Vellore"/>
    <x v="1"/>
    <s v="Nandhini"/>
    <n v="50"/>
    <n v="98"/>
    <x v="0"/>
    <n v="10000"/>
    <n v="11800"/>
    <n v="0"/>
    <x v="1"/>
    <s v="No"/>
    <d v="2025-10-28T00:00:00"/>
    <d v="2026-02-25T00:00:00"/>
    <d v="1899-12-30T08:53:00"/>
    <d v="1899-12-30T10:08:00"/>
    <s v="D"/>
    <s v="08:53 AM"/>
    <s v="Delayed"/>
    <s v="1 Hours 15 Minutes"/>
    <x v="1"/>
  </r>
  <r>
    <x v="124"/>
    <x v="78"/>
    <x v="0"/>
    <x v="1"/>
    <s v="Bengaluru"/>
    <x v="0"/>
    <s v="David"/>
    <n v="38"/>
    <n v="68"/>
    <x v="0"/>
    <n v="18000"/>
    <n v="20060"/>
    <n v="0"/>
    <x v="1"/>
    <s v="Yes"/>
    <d v="2025-08-07T00:00:00"/>
    <d v="2025-12-05T00:00:00"/>
    <d v="1899-12-30T08:14:00"/>
    <d v="1899-12-30T09:25:00"/>
    <s v="D"/>
    <s v="08:14 AM"/>
    <s v="Delayed"/>
    <s v="1 Hours 11 Minutes"/>
    <x v="1"/>
  </r>
  <r>
    <x v="125"/>
    <x v="14"/>
    <x v="3"/>
    <x v="1"/>
    <s v="Madurai"/>
    <x v="3"/>
    <s v="Arun"/>
    <n v="100"/>
    <n v="63"/>
    <x v="2"/>
    <n v="18000"/>
    <n v="17470"/>
    <n v="2000"/>
    <x v="0"/>
    <s v="No"/>
    <d v="2025-01-13T00:00:00"/>
    <d v="2025-07-12T00:00:00"/>
    <d v="1899-12-30T08:53:00"/>
    <d v="1899-12-30T10:03:00"/>
    <s v="A"/>
    <s v="08:53 AM"/>
    <s v="Delayed"/>
    <s v="1 Hours 10 Minutes"/>
    <x v="1"/>
  </r>
  <r>
    <x v="126"/>
    <x v="95"/>
    <x v="5"/>
    <x v="0"/>
    <s v="Chennai"/>
    <x v="7"/>
    <s v="Sneha"/>
    <n v="73"/>
    <n v="60"/>
    <x v="3"/>
    <n v="10000"/>
    <n v="6030"/>
    <n v="4000"/>
    <x v="0"/>
    <s v="No"/>
    <d v="2025-03-10T00:00:00"/>
    <d v="2025-04-09T00:00:00"/>
    <d v="1899-12-30T09:32:00"/>
    <d v="1899-12-30T12:59:00"/>
    <s v="C"/>
    <s v="09:32 AM"/>
    <s v="On Time"/>
    <s v="3 Hours 27 Minutes"/>
    <x v="1"/>
  </r>
  <r>
    <x v="127"/>
    <x v="32"/>
    <x v="2"/>
    <x v="0"/>
    <s v="Thoothukudi"/>
    <x v="1"/>
    <s v="Nandhini"/>
    <n v="57"/>
    <n v="63"/>
    <x v="0"/>
    <n v="15000"/>
    <n v="14520"/>
    <n v="2000"/>
    <x v="0"/>
    <s v="No"/>
    <d v="2025-07-14T00:00:00"/>
    <d v="2025-11-11T00:00:00"/>
    <d v="1899-12-30T08:36:00"/>
    <d v="1899-12-30T12:57:00"/>
    <s v="D"/>
    <s v="08:36 AM"/>
    <s v="Delayed"/>
    <s v="4 Hours 21 Minutes"/>
    <x v="1"/>
  </r>
  <r>
    <x v="128"/>
    <x v="51"/>
    <x v="4"/>
    <x v="1"/>
    <s v="Erode"/>
    <x v="5"/>
    <s v="Mani Prabhu"/>
    <n v="97"/>
    <n v="74"/>
    <x v="2"/>
    <n v="18000"/>
    <n v="16060"/>
    <n v="4000"/>
    <x v="0"/>
    <s v="No"/>
    <d v="2025-02-25T00:00:00"/>
    <d v="2025-05-26T00:00:00"/>
    <d v="1899-12-30T10:05:00"/>
    <d v="1899-12-30T13:58:00"/>
    <s v="A"/>
    <s v="10:05 AM"/>
    <s v="On Time"/>
    <s v="3 Hours 53 Minutes"/>
    <x v="0"/>
  </r>
  <r>
    <x v="129"/>
    <x v="63"/>
    <x v="2"/>
    <x v="1"/>
    <s v="Hyderabad"/>
    <x v="1"/>
    <s v="Nandhini"/>
    <n v="62"/>
    <n v="84"/>
    <x v="3"/>
    <n v="18000"/>
    <n v="18060"/>
    <n v="2000"/>
    <x v="0"/>
    <s v="No"/>
    <d v="2025-05-20T00:00:00"/>
    <d v="2025-09-17T00:00:00"/>
    <d v="1899-12-30T09:23:00"/>
    <d v="1899-12-30T13:33:00"/>
    <s v="C"/>
    <s v="09:23 AM"/>
    <s v="Delayed"/>
    <s v="4 Hours 10 Minutes"/>
    <x v="1"/>
  </r>
  <r>
    <x v="130"/>
    <x v="75"/>
    <x v="7"/>
    <x v="1"/>
    <s v="Bengaluru"/>
    <x v="3"/>
    <s v="Arun"/>
    <n v="48"/>
    <n v="71"/>
    <x v="0"/>
    <n v="10000"/>
    <n v="6620"/>
    <n v="4000"/>
    <x v="0"/>
    <s v="No"/>
    <d v="2025-11-16T00:00:00"/>
    <d v="2026-02-14T00:00:00"/>
    <d v="1899-12-30T08:15:00"/>
    <d v="1899-12-30T10:32:00"/>
    <s v="D"/>
    <s v="08:15 AM"/>
    <s v="On Time"/>
    <s v="2 Hours 17 Minutes"/>
    <x v="1"/>
  </r>
  <r>
    <x v="131"/>
    <x v="103"/>
    <x v="0"/>
    <x v="1"/>
    <s v="Chennai"/>
    <x v="0"/>
    <s v="David"/>
    <n v="90"/>
    <n v="70"/>
    <x v="2"/>
    <n v="10000"/>
    <n v="7800"/>
    <n v="4000"/>
    <x v="0"/>
    <s v="No"/>
    <d v="2025-11-01T00:00:00"/>
    <d v="2026-03-01T00:00:00"/>
    <d v="1899-12-30T10:02:00"/>
    <d v="1899-12-30T12:38:00"/>
    <s v="A"/>
    <s v="10:02 AM"/>
    <s v="Delayed"/>
    <s v="2 Hours 36 Minutes"/>
    <x v="0"/>
  </r>
  <r>
    <x v="132"/>
    <x v="104"/>
    <x v="5"/>
    <x v="0"/>
    <s v="Kanchipuram"/>
    <x v="5"/>
    <s v="Mani Prabhu"/>
    <n v="81"/>
    <n v="77"/>
    <x v="1"/>
    <n v="15000"/>
    <n v="16520"/>
    <n v="0"/>
    <x v="1"/>
    <s v="No"/>
    <d v="2025-11-28T00:00:00"/>
    <d v="2025-12-28T00:00:00"/>
    <d v="1899-12-30T10:04:00"/>
    <d v="1899-12-30T12:30:00"/>
    <s v="B"/>
    <s v="10:04 AM"/>
    <s v="On Time"/>
    <s v="2 Hours 26 Minutes"/>
    <x v="0"/>
  </r>
  <r>
    <x v="133"/>
    <x v="105"/>
    <x v="5"/>
    <x v="1"/>
    <s v="Bengaluru"/>
    <x v="2"/>
    <s v="Priya"/>
    <n v="52"/>
    <n v="89"/>
    <x v="0"/>
    <n v="10000"/>
    <n v="10620"/>
    <n v="0"/>
    <x v="1"/>
    <s v="No"/>
    <d v="2025-02-28T00:00:00"/>
    <d v="2025-04-29T00:00:00"/>
    <d v="1899-12-30T10:09:00"/>
    <d v="1899-12-30T12:48:00"/>
    <s v="D"/>
    <s v="10:09 AM"/>
    <s v="On Time"/>
    <s v="2 Hours 39 Minutes"/>
    <x v="0"/>
  </r>
  <r>
    <x v="134"/>
    <x v="86"/>
    <x v="8"/>
    <x v="1"/>
    <s v="Trichy"/>
    <x v="3"/>
    <s v="Arun"/>
    <n v="97"/>
    <n v="76"/>
    <x v="2"/>
    <n v="20000"/>
    <n v="20420"/>
    <n v="2000"/>
    <x v="0"/>
    <s v="No"/>
    <d v="2025-04-27T00:00:00"/>
    <d v="2025-08-25T00:00:00"/>
    <d v="1899-12-30T09:11:00"/>
    <d v="1899-12-30T11:06:00"/>
    <s v="A"/>
    <s v="09:11 AM"/>
    <s v="Delayed"/>
    <s v="1 Hours 55 Minutes"/>
    <x v="1"/>
  </r>
  <r>
    <x v="135"/>
    <x v="66"/>
    <x v="9"/>
    <x v="0"/>
    <s v="Chennai"/>
    <x v="7"/>
    <s v="Sneha"/>
    <n v="73"/>
    <n v="92"/>
    <x v="3"/>
    <n v="10000"/>
    <n v="7800"/>
    <n v="4000"/>
    <x v="0"/>
    <s v="No"/>
    <d v="2025-01-17T00:00:00"/>
    <d v="2025-04-17T00:00:00"/>
    <d v="1899-12-30T10:52:00"/>
    <d v="1899-12-30T12:08:00"/>
    <s v="C"/>
    <s v="10:52 AM"/>
    <s v="On Time"/>
    <s v="1 Hours 16 Minutes"/>
    <x v="0"/>
  </r>
  <r>
    <x v="136"/>
    <x v="30"/>
    <x v="7"/>
    <x v="1"/>
    <s v="Madurai"/>
    <x v="0"/>
    <s v="David"/>
    <n v="46"/>
    <n v="94"/>
    <x v="0"/>
    <n v="20000"/>
    <n v="21010"/>
    <n v="2000"/>
    <x v="0"/>
    <s v="No"/>
    <d v="2025-05-18T00:00:00"/>
    <d v="2025-11-14T00:00:00"/>
    <d v="1899-12-30T09:18:00"/>
    <d v="1899-12-30T10:26:00"/>
    <s v="D"/>
    <s v="09:18 AM"/>
    <s v="Delayed"/>
    <s v="1 Hours 8 Minutes"/>
    <x v="1"/>
  </r>
  <r>
    <x v="137"/>
    <x v="106"/>
    <x v="0"/>
    <x v="1"/>
    <s v="Vellore"/>
    <x v="1"/>
    <s v="Nandhini"/>
    <n v="45"/>
    <n v="88"/>
    <x v="0"/>
    <n v="20000"/>
    <n v="21010"/>
    <n v="2000"/>
    <x v="0"/>
    <s v="No"/>
    <d v="2025-11-11T00:00:00"/>
    <d v="2025-12-11T00:00:00"/>
    <d v="1899-12-30T09:28:00"/>
    <d v="1899-12-30T11:45:00"/>
    <s v="D"/>
    <s v="09:28 AM"/>
    <s v="On Time"/>
    <s v="2 Hours 17 Minutes"/>
    <x v="1"/>
  </r>
  <r>
    <x v="138"/>
    <x v="107"/>
    <x v="1"/>
    <x v="0"/>
    <s v="Thoothukudi"/>
    <x v="1"/>
    <s v="Nandhini"/>
    <n v="57"/>
    <n v="83"/>
    <x v="0"/>
    <n v="10000"/>
    <n v="11800"/>
    <n v="0"/>
    <x v="1"/>
    <s v="No"/>
    <d v="2025-02-24T00:00:00"/>
    <d v="2025-04-25T00:00:00"/>
    <d v="1899-12-30T08:19:00"/>
    <d v="1899-12-30T10:15:00"/>
    <s v="D"/>
    <s v="08:19 AM"/>
    <s v="On Time"/>
    <s v="1 Hours 56 Minutes"/>
    <x v="1"/>
  </r>
  <r>
    <x v="139"/>
    <x v="5"/>
    <x v="2"/>
    <x v="1"/>
    <s v="Bengaluru"/>
    <x v="1"/>
    <s v="Nandhini"/>
    <n v="97"/>
    <n v="89"/>
    <x v="2"/>
    <n v="20000"/>
    <n v="21010"/>
    <n v="2000"/>
    <x v="0"/>
    <s v="No"/>
    <d v="2025-12-28T00:00:00"/>
    <d v="2026-03-28T00:00:00"/>
    <d v="1899-12-30T08:02:00"/>
    <d v="1899-12-30T10:07:00"/>
    <s v="A"/>
    <s v="08:02 AM"/>
    <s v="On Time"/>
    <s v="2 Hours 5 Minutes"/>
    <x v="1"/>
  </r>
  <r>
    <x v="140"/>
    <x v="108"/>
    <x v="7"/>
    <x v="0"/>
    <s v="Chennai"/>
    <x v="2"/>
    <s v="Priya"/>
    <n v="69"/>
    <n v="98"/>
    <x v="3"/>
    <n v="18000"/>
    <n v="18650"/>
    <n v="2000"/>
    <x v="0"/>
    <s v="No"/>
    <d v="2025-01-31T00:00:00"/>
    <d v="2025-03-02T00:00:00"/>
    <d v="1899-12-30T10:45:00"/>
    <d v="1899-12-30T15:42:00"/>
    <s v="C"/>
    <s v="10:45 AM"/>
    <s v="On Time"/>
    <s v="4 Hours 57 Minutes"/>
    <x v="0"/>
  </r>
  <r>
    <x v="141"/>
    <x v="109"/>
    <x v="10"/>
    <x v="0"/>
    <s v="Chennai"/>
    <x v="0"/>
    <s v="David"/>
    <n v="90"/>
    <n v="70"/>
    <x v="2"/>
    <n v="10000"/>
    <n v="10030"/>
    <n v="0"/>
    <x v="1"/>
    <s v="No"/>
    <d v="2025-10-26T00:00:00"/>
    <d v="2026-02-23T00:00:00"/>
    <d v="1899-12-30T10:39:00"/>
    <d v="1899-12-30T13:23:00"/>
    <s v="A"/>
    <s v="10:39 AM"/>
    <s v="Delayed"/>
    <s v="2 Hours 44 Minutes"/>
    <x v="0"/>
  </r>
  <r>
    <x v="142"/>
    <x v="15"/>
    <x v="6"/>
    <x v="0"/>
    <s v="Hyderabad"/>
    <x v="5"/>
    <s v="Mani Prabhu"/>
    <n v="90"/>
    <n v="99"/>
    <x v="2"/>
    <n v="18000"/>
    <n v="16060"/>
    <n v="4000"/>
    <x v="0"/>
    <s v="No"/>
    <d v="2025-06-04T00:00:00"/>
    <d v="2025-12-01T00:00:00"/>
    <d v="1899-12-30T09:02:00"/>
    <d v="1899-12-30T12:55:00"/>
    <s v="A"/>
    <s v="09:02 AM"/>
    <s v="Delayed"/>
    <s v="3 Hours 53 Minutes"/>
    <x v="1"/>
  </r>
  <r>
    <x v="143"/>
    <x v="110"/>
    <x v="10"/>
    <x v="0"/>
    <s v="Tirunelveli"/>
    <x v="5"/>
    <s v="Mani Prabhu"/>
    <n v="54"/>
    <n v="97"/>
    <x v="0"/>
    <n v="12000"/>
    <n v="10980"/>
    <n v="2000"/>
    <x v="0"/>
    <s v="No"/>
    <d v="2025-09-12T00:00:00"/>
    <d v="2026-03-11T00:00:00"/>
    <d v="1899-12-30T08:44:00"/>
    <d v="1899-12-30T11:36:00"/>
    <s v="D"/>
    <s v="08:44 AM"/>
    <s v="Delayed"/>
    <s v="2 Hours 52 Minutes"/>
    <x v="1"/>
  </r>
  <r>
    <x v="144"/>
    <x v="21"/>
    <x v="10"/>
    <x v="0"/>
    <s v="Coimbatore"/>
    <x v="4"/>
    <s v="John"/>
    <n v="62"/>
    <n v="89"/>
    <x v="3"/>
    <n v="18000"/>
    <n v="16060"/>
    <n v="4000"/>
    <x v="0"/>
    <s v="No"/>
    <d v="2025-05-09T00:00:00"/>
    <d v="2025-11-05T00:00:00"/>
    <d v="1899-12-30T08:16:00"/>
    <d v="1899-12-30T09:22:00"/>
    <s v="C"/>
    <s v="08:16 AM"/>
    <s v="Delayed"/>
    <s v="1 Hours 6 Minutes"/>
    <x v="1"/>
  </r>
  <r>
    <x v="145"/>
    <x v="111"/>
    <x v="1"/>
    <x v="0"/>
    <s v="Madurai"/>
    <x v="7"/>
    <s v="Sneha"/>
    <n v="87"/>
    <n v="66"/>
    <x v="1"/>
    <n v="18000"/>
    <n v="16650"/>
    <n v="4000"/>
    <x v="0"/>
    <s v="No"/>
    <d v="2025-02-15T00:00:00"/>
    <d v="2025-06-15T00:00:00"/>
    <d v="1899-12-30T10:41:00"/>
    <d v="1899-12-30T12:46:00"/>
    <s v="B"/>
    <s v="10:41 AM"/>
    <s v="Delayed"/>
    <s v="2 Hours 5 Minutes"/>
    <x v="0"/>
  </r>
  <r>
    <x v="146"/>
    <x v="38"/>
    <x v="10"/>
    <x v="0"/>
    <s v="Tirunelveli"/>
    <x v="3"/>
    <s v="Arun"/>
    <n v="37"/>
    <n v="86"/>
    <x v="0"/>
    <n v="20000"/>
    <n v="17830"/>
    <n v="4000"/>
    <x v="0"/>
    <s v="No"/>
    <d v="2025-06-25T00:00:00"/>
    <d v="2025-12-22T00:00:00"/>
    <d v="1899-12-30T09:51:00"/>
    <d v="1899-12-30T11:22:00"/>
    <s v="D"/>
    <s v="09:51 AM"/>
    <s v="Delayed"/>
    <s v="1 Hours 31 Minutes"/>
    <x v="1"/>
  </r>
  <r>
    <x v="147"/>
    <x v="112"/>
    <x v="0"/>
    <x v="0"/>
    <s v="Thoothukudi"/>
    <x v="7"/>
    <s v="Sneha"/>
    <n v="71"/>
    <n v="61"/>
    <x v="3"/>
    <n v="12000"/>
    <n v="11570"/>
    <n v="2000"/>
    <x v="0"/>
    <s v="No"/>
    <d v="2025-07-16T00:00:00"/>
    <d v="2025-10-14T00:00:00"/>
    <d v="1899-12-30T08:36:00"/>
    <d v="1899-12-30T11:03:00"/>
    <s v="C"/>
    <s v="08:36 AM"/>
    <s v="On Time"/>
    <s v="2 Hours 27 Minutes"/>
    <x v="1"/>
  </r>
  <r>
    <x v="148"/>
    <x v="113"/>
    <x v="6"/>
    <x v="1"/>
    <s v="Trichy"/>
    <x v="0"/>
    <s v="David"/>
    <n v="76"/>
    <n v="71"/>
    <x v="1"/>
    <n v="18000"/>
    <n v="20060"/>
    <n v="0"/>
    <x v="1"/>
    <s v="No"/>
    <d v="2025-03-23T00:00:00"/>
    <d v="2025-09-19T00:00:00"/>
    <d v="1899-12-30T09:07:00"/>
    <d v="1899-12-30T13:57:00"/>
    <s v="B"/>
    <s v="09:07 AM"/>
    <s v="Delayed"/>
    <s v="4 Hours 50 Minutes"/>
    <x v="1"/>
  </r>
  <r>
    <x v="149"/>
    <x v="56"/>
    <x v="2"/>
    <x v="1"/>
    <s v="Hyderabad"/>
    <x v="3"/>
    <s v="Arun"/>
    <n v="81"/>
    <n v="98"/>
    <x v="1"/>
    <n v="12000"/>
    <n v="12390"/>
    <n v="0"/>
    <x v="1"/>
    <s v="No"/>
    <d v="2025-05-26T00:00:00"/>
    <d v="2025-11-22T00:00:00"/>
    <d v="1899-12-30T10:42:00"/>
    <d v="1899-12-30T14:34:00"/>
    <s v="B"/>
    <s v="10:42 AM"/>
    <s v="Delayed"/>
    <s v="3 Hours 52 Minutes"/>
    <x v="0"/>
  </r>
  <r>
    <x v="150"/>
    <x v="3"/>
    <x v="0"/>
    <x v="1"/>
    <s v="Thoothukudi"/>
    <x v="2"/>
    <s v="Priya"/>
    <n v="44"/>
    <n v="66"/>
    <x v="0"/>
    <n v="15000"/>
    <n v="15110"/>
    <n v="2000"/>
    <x v="0"/>
    <s v="No"/>
    <d v="2025-05-31T00:00:00"/>
    <d v="2025-11-27T00:00:00"/>
    <d v="1899-12-30T10:46:00"/>
    <d v="1899-12-30T15:31:00"/>
    <s v="D"/>
    <s v="10:46 AM"/>
    <s v="Delayed"/>
    <s v="4 Hours 45 Minutes"/>
    <x v="0"/>
  </r>
  <r>
    <x v="151"/>
    <x v="6"/>
    <x v="0"/>
    <x v="0"/>
    <s v="Tirunelveli"/>
    <x v="3"/>
    <s v="Arun"/>
    <n v="36"/>
    <n v="69"/>
    <x v="0"/>
    <n v="10000"/>
    <n v="9210"/>
    <n v="2000"/>
    <x v="0"/>
    <s v="No"/>
    <d v="2025-07-20T00:00:00"/>
    <d v="2025-09-18T00:00:00"/>
    <d v="1899-12-30T09:06:00"/>
    <d v="1899-12-30T13:15:00"/>
    <s v="D"/>
    <s v="09:06 AM"/>
    <s v="On Time"/>
    <s v="4 Hours 9 Minutes"/>
    <x v="1"/>
  </r>
  <r>
    <x v="152"/>
    <x v="114"/>
    <x v="6"/>
    <x v="0"/>
    <s v="Tirunelveli"/>
    <x v="5"/>
    <s v="Mani Prabhu"/>
    <n v="54"/>
    <n v="76"/>
    <x v="0"/>
    <n v="12000"/>
    <n v="9570"/>
    <n v="4000"/>
    <x v="0"/>
    <s v="No"/>
    <d v="2025-10-16T00:00:00"/>
    <d v="2026-01-14T00:00:00"/>
    <d v="1899-12-30T08:11:00"/>
    <d v="1899-12-30T09:20:00"/>
    <s v="D"/>
    <s v="08:11 AM"/>
    <s v="On Time"/>
    <s v="1 Hours 9 Minutes"/>
    <x v="1"/>
  </r>
  <r>
    <x v="153"/>
    <x v="28"/>
    <x v="3"/>
    <x v="1"/>
    <s v="Bengaluru"/>
    <x v="0"/>
    <s v="David"/>
    <n v="37"/>
    <n v="99"/>
    <x v="0"/>
    <n v="18000"/>
    <n v="16650"/>
    <n v="4000"/>
    <x v="0"/>
    <s v="No"/>
    <d v="2025-04-10T00:00:00"/>
    <d v="2025-06-09T00:00:00"/>
    <d v="1899-12-30T08:19:00"/>
    <d v="1899-12-30T10:53:00"/>
    <s v="D"/>
    <s v="08:19 AM"/>
    <s v="On Time"/>
    <s v="2 Hours 34 Minutes"/>
    <x v="1"/>
  </r>
  <r>
    <x v="154"/>
    <x v="108"/>
    <x v="4"/>
    <x v="0"/>
    <s v="Chennai"/>
    <x v="4"/>
    <s v="John"/>
    <n v="44"/>
    <n v="60"/>
    <x v="0"/>
    <n v="20000"/>
    <n v="19830"/>
    <n v="2000"/>
    <x v="0"/>
    <s v="Yes"/>
    <d v="2025-04-17T00:00:00"/>
    <d v="2025-08-15T00:00:00"/>
    <d v="1899-12-30T09:15:00"/>
    <d v="1899-12-30T11:54:00"/>
    <s v="D"/>
    <s v="09:15 AM"/>
    <s v="Delayed"/>
    <s v="2 Hours 39 Minutes"/>
    <x v="1"/>
  </r>
  <r>
    <x v="155"/>
    <x v="115"/>
    <x v="4"/>
    <x v="0"/>
    <s v="Kanchipuram"/>
    <x v="5"/>
    <s v="Mani Prabhu"/>
    <n v="77"/>
    <n v="65"/>
    <x v="1"/>
    <n v="12000"/>
    <n v="9570"/>
    <n v="4000"/>
    <x v="0"/>
    <s v="Yes"/>
    <d v="2025-08-13T00:00:00"/>
    <d v="2025-09-12T00:00:00"/>
    <d v="1899-12-30T08:48:00"/>
    <d v="1899-12-30T10:07:00"/>
    <s v="B"/>
    <s v="08:48 AM"/>
    <s v="On Time"/>
    <s v="1 Hours 19 Minutes"/>
    <x v="1"/>
  </r>
  <r>
    <x v="156"/>
    <x v="116"/>
    <x v="8"/>
    <x v="1"/>
    <s v="Trichy"/>
    <x v="1"/>
    <s v="Nandhini"/>
    <n v="94"/>
    <n v="80"/>
    <x v="2"/>
    <n v="15000"/>
    <n v="15930"/>
    <n v="0"/>
    <x v="1"/>
    <s v="No"/>
    <d v="2025-06-05T00:00:00"/>
    <d v="2025-10-03T00:00:00"/>
    <d v="1899-12-30T10:48:00"/>
    <d v="1899-12-30T15:38:00"/>
    <s v="A"/>
    <s v="10:48 AM"/>
    <s v="Delayed"/>
    <s v="4 Hours 50 Minutes"/>
    <x v="0"/>
  </r>
  <r>
    <x v="157"/>
    <x v="117"/>
    <x v="4"/>
    <x v="0"/>
    <s v="Tirunelveli"/>
    <x v="7"/>
    <s v="Sneha"/>
    <n v="53"/>
    <n v="86"/>
    <x v="0"/>
    <n v="10000"/>
    <n v="8620"/>
    <n v="2000"/>
    <x v="0"/>
    <s v="No"/>
    <d v="2025-09-23T00:00:00"/>
    <d v="2025-12-22T00:00:00"/>
    <d v="1899-12-30T09:59:00"/>
    <d v="1899-12-30T12:34:00"/>
    <s v="D"/>
    <s v="09:59 AM"/>
    <s v="On Time"/>
    <s v="2 Hours 35 Minutes"/>
    <x v="1"/>
  </r>
  <r>
    <x v="158"/>
    <x v="96"/>
    <x v="7"/>
    <x v="1"/>
    <s v="Kanchipuram"/>
    <x v="7"/>
    <s v="Sneha"/>
    <n v="86"/>
    <n v="100"/>
    <x v="1"/>
    <n v="10000"/>
    <n v="6030"/>
    <n v="4000"/>
    <x v="0"/>
    <s v="No"/>
    <d v="2025-05-01T00:00:00"/>
    <d v="2025-05-31T00:00:00"/>
    <d v="1899-12-30T10:57:00"/>
    <d v="1899-12-30T12:03:00"/>
    <s v="B"/>
    <s v="10:57 AM"/>
    <s v="On Time"/>
    <s v="1 Hours 6 Minutes"/>
    <x v="0"/>
  </r>
  <r>
    <x v="159"/>
    <x v="118"/>
    <x v="3"/>
    <x v="0"/>
    <s v="Kanchipuram"/>
    <x v="1"/>
    <s v="Nandhini"/>
    <n v="45"/>
    <n v="99"/>
    <x v="0"/>
    <n v="10000"/>
    <n v="7800"/>
    <n v="4000"/>
    <x v="0"/>
    <s v="No"/>
    <d v="2025-03-04T00:00:00"/>
    <d v="2025-04-03T00:00:00"/>
    <d v="1899-12-30T09:13:00"/>
    <d v="1899-12-30T11:10:00"/>
    <s v="D"/>
    <s v="09:13 AM"/>
    <s v="On Time"/>
    <s v="1 Hours 57 Minutes"/>
    <x v="1"/>
  </r>
  <r>
    <x v="160"/>
    <x v="119"/>
    <x v="3"/>
    <x v="0"/>
    <s v="Kanchipuram"/>
    <x v="3"/>
    <s v="Arun"/>
    <n v="50"/>
    <n v="70"/>
    <x v="0"/>
    <n v="10000"/>
    <n v="9800"/>
    <n v="2000"/>
    <x v="0"/>
    <s v="No"/>
    <d v="2025-11-15T00:00:00"/>
    <d v="2026-02-13T00:00:00"/>
    <d v="1899-12-30T08:24:00"/>
    <d v="1899-12-30T12:55:00"/>
    <s v="D"/>
    <s v="08:24 AM"/>
    <s v="On Time"/>
    <s v="4 Hours 31 Minutes"/>
    <x v="1"/>
  </r>
  <r>
    <x v="161"/>
    <x v="120"/>
    <x v="2"/>
    <x v="0"/>
    <s v="Tirunelveli"/>
    <x v="0"/>
    <s v="David"/>
    <n v="66"/>
    <n v="76"/>
    <x v="3"/>
    <n v="15000"/>
    <n v="13110"/>
    <n v="4000"/>
    <x v="0"/>
    <s v="No"/>
    <d v="2025-03-11T00:00:00"/>
    <d v="2025-07-09T00:00:00"/>
    <d v="1899-12-30T09:12:00"/>
    <d v="1899-12-30T13:55:00"/>
    <s v="C"/>
    <s v="09:12 AM"/>
    <s v="Delayed"/>
    <s v="4 Hours 43 Minutes"/>
    <x v="1"/>
  </r>
  <r>
    <x v="162"/>
    <x v="40"/>
    <x v="2"/>
    <x v="0"/>
    <s v="Madurai"/>
    <x v="6"/>
    <s v="Karthik"/>
    <n v="60"/>
    <n v="82"/>
    <x v="3"/>
    <n v="12000"/>
    <n v="11570"/>
    <n v="2000"/>
    <x v="0"/>
    <s v="No"/>
    <d v="2025-12-01T00:00:00"/>
    <d v="2026-01-30T00:00:00"/>
    <d v="1899-12-30T10:57:00"/>
    <d v="1899-12-30T12:22:00"/>
    <s v="C"/>
    <s v="10:57 AM"/>
    <s v="On Time"/>
    <s v="1 Hours 25 Minutes"/>
    <x v="0"/>
  </r>
  <r>
    <x v="163"/>
    <x v="114"/>
    <x v="0"/>
    <x v="0"/>
    <s v="Hyderabad"/>
    <x v="0"/>
    <s v="David"/>
    <n v="58"/>
    <n v="98"/>
    <x v="0"/>
    <n v="12000"/>
    <n v="12980"/>
    <n v="0"/>
    <x v="1"/>
    <s v="No"/>
    <d v="2025-10-03T00:00:00"/>
    <d v="2026-01-01T00:00:00"/>
    <d v="1899-12-30T10:31:00"/>
    <d v="1899-12-30T12:59:00"/>
    <s v="D"/>
    <s v="10:31 AM"/>
    <s v="On Time"/>
    <s v="2 Hours 28 Minutes"/>
    <x v="0"/>
  </r>
  <r>
    <x v="164"/>
    <x v="72"/>
    <x v="2"/>
    <x v="0"/>
    <s v="Bengaluru"/>
    <x v="1"/>
    <s v="Nandhini"/>
    <n v="62"/>
    <n v="70"/>
    <x v="3"/>
    <n v="10000"/>
    <n v="11210"/>
    <n v="0"/>
    <x v="1"/>
    <s v="No"/>
    <d v="2025-06-11T00:00:00"/>
    <d v="2025-08-10T00:00:00"/>
    <d v="1899-12-30T09:36:00"/>
    <d v="1899-12-30T12:38:00"/>
    <s v="C"/>
    <s v="09:36 AM"/>
    <s v="On Time"/>
    <s v="3 Hours 2 Minutes"/>
    <x v="1"/>
  </r>
  <r>
    <x v="165"/>
    <x v="121"/>
    <x v="7"/>
    <x v="1"/>
    <s v="Hyderabad"/>
    <x v="2"/>
    <s v="Priya"/>
    <n v="95"/>
    <n v="70"/>
    <x v="2"/>
    <n v="20000"/>
    <n v="23010"/>
    <n v="0"/>
    <x v="1"/>
    <s v="No"/>
    <d v="2025-05-18T00:00:00"/>
    <d v="2025-07-17T00:00:00"/>
    <d v="1899-12-30T10:09:00"/>
    <d v="1899-12-30T14:52:00"/>
    <s v="A"/>
    <s v="10:09 AM"/>
    <s v="On Time"/>
    <s v="4 Hours 43 Minutes"/>
    <x v="0"/>
  </r>
  <r>
    <x v="166"/>
    <x v="79"/>
    <x v="8"/>
    <x v="1"/>
    <s v="Tirunelveli"/>
    <x v="2"/>
    <s v="Priya"/>
    <n v="77"/>
    <n v="84"/>
    <x v="1"/>
    <n v="10000"/>
    <n v="11210"/>
    <n v="0"/>
    <x v="1"/>
    <s v="No"/>
    <d v="2025-11-20T00:00:00"/>
    <d v="2026-05-19T00:00:00"/>
    <d v="1899-12-30T09:26:00"/>
    <d v="1899-12-30T12:55:00"/>
    <s v="B"/>
    <s v="09:26 AM"/>
    <s v="Delayed"/>
    <s v="3 Hours 29 Minutes"/>
    <x v="1"/>
  </r>
  <r>
    <x v="167"/>
    <x v="98"/>
    <x v="8"/>
    <x v="0"/>
    <s v="Chennai"/>
    <x v="5"/>
    <s v="Mani Prabhu"/>
    <n v="59"/>
    <n v="73"/>
    <x v="0"/>
    <n v="10000"/>
    <n v="8620"/>
    <n v="2000"/>
    <x v="0"/>
    <s v="No"/>
    <d v="2025-11-26T00:00:00"/>
    <d v="2026-03-26T00:00:00"/>
    <d v="1899-12-30T10:47:00"/>
    <d v="1899-12-30T15:47:00"/>
    <s v="D"/>
    <s v="10:47 AM"/>
    <s v="Delayed"/>
    <s v="5 Hours 0 Minutes"/>
    <x v="0"/>
  </r>
  <r>
    <x v="168"/>
    <x v="122"/>
    <x v="3"/>
    <x v="1"/>
    <s v="Erode"/>
    <x v="3"/>
    <s v="Arun"/>
    <n v="82"/>
    <n v="94"/>
    <x v="1"/>
    <n v="20000"/>
    <n v="21830"/>
    <n v="0"/>
    <x v="1"/>
    <s v="No"/>
    <d v="2025-08-21T00:00:00"/>
    <d v="2025-10-20T00:00:00"/>
    <d v="1899-12-30T10:19:00"/>
    <d v="1899-12-30T12:36:00"/>
    <s v="B"/>
    <s v="10:19 AM"/>
    <s v="On Time"/>
    <s v="2 Hours 17 Minutes"/>
    <x v="0"/>
  </r>
  <r>
    <x v="169"/>
    <x v="123"/>
    <x v="2"/>
    <x v="0"/>
    <s v="Thoothukudi"/>
    <x v="6"/>
    <s v="Karthik"/>
    <n v="78"/>
    <n v="62"/>
    <x v="1"/>
    <n v="15000"/>
    <n v="15110"/>
    <n v="2000"/>
    <x v="0"/>
    <s v="No"/>
    <d v="2025-01-31T00:00:00"/>
    <d v="2025-04-01T00:00:00"/>
    <d v="1899-12-30T09:46:00"/>
    <d v="1899-12-30T10:53:00"/>
    <s v="B"/>
    <s v="09:46 AM"/>
    <s v="On Time"/>
    <s v="1 Hours 7 Minutes"/>
    <x v="1"/>
  </r>
  <r>
    <x v="170"/>
    <x v="124"/>
    <x v="7"/>
    <x v="1"/>
    <s v="Tirunelveli"/>
    <x v="0"/>
    <s v="David"/>
    <n v="68"/>
    <n v="75"/>
    <x v="3"/>
    <n v="15000"/>
    <n v="17110"/>
    <n v="0"/>
    <x v="1"/>
    <s v="No"/>
    <d v="2025-04-01T00:00:00"/>
    <d v="2025-05-01T00:00:00"/>
    <d v="1899-12-30T10:24:00"/>
    <d v="1899-12-30T12:18:00"/>
    <s v="C"/>
    <s v="10:24 AM"/>
    <s v="On Time"/>
    <s v="1 Hours 54 Minutes"/>
    <x v="0"/>
  </r>
  <r>
    <x v="171"/>
    <x v="125"/>
    <x v="9"/>
    <x v="0"/>
    <s v="Bengaluru"/>
    <x v="7"/>
    <s v="Sneha"/>
    <n v="89"/>
    <n v="61"/>
    <x v="1"/>
    <n v="15000"/>
    <n v="13110"/>
    <n v="4000"/>
    <x v="0"/>
    <s v="No"/>
    <d v="2025-07-24T00:00:00"/>
    <d v="2025-08-23T00:00:00"/>
    <d v="1899-12-30T09:37:00"/>
    <d v="1899-12-30T12:22:00"/>
    <s v="B"/>
    <s v="09:37 AM"/>
    <s v="On Time"/>
    <s v="2 Hours 45 Minutes"/>
    <x v="1"/>
  </r>
  <r>
    <x v="172"/>
    <x v="106"/>
    <x v="6"/>
    <x v="1"/>
    <s v="Thoothukudi"/>
    <x v="2"/>
    <s v="Priya"/>
    <n v="57"/>
    <n v="85"/>
    <x v="0"/>
    <n v="15000"/>
    <n v="15110"/>
    <n v="2000"/>
    <x v="0"/>
    <s v="No"/>
    <d v="2025-05-03T00:00:00"/>
    <d v="2025-08-31T00:00:00"/>
    <d v="1899-12-30T08:35:00"/>
    <d v="1899-12-30T12:59:00"/>
    <s v="D"/>
    <s v="08:35 AM"/>
    <s v="Delayed"/>
    <s v="4 Hours 24 Minutes"/>
    <x v="1"/>
  </r>
  <r>
    <x v="173"/>
    <x v="34"/>
    <x v="4"/>
    <x v="0"/>
    <s v="Hyderabad"/>
    <x v="6"/>
    <s v="Karthik"/>
    <n v="87"/>
    <n v="87"/>
    <x v="1"/>
    <n v="10000"/>
    <n v="8620"/>
    <n v="2000"/>
    <x v="0"/>
    <s v="No"/>
    <d v="2025-08-29T00:00:00"/>
    <d v="2026-02-25T00:00:00"/>
    <d v="1899-12-30T09:56:00"/>
    <d v="1899-12-30T11:07:00"/>
    <s v="B"/>
    <s v="09:56 AM"/>
    <s v="Delayed"/>
    <s v="1 Hours 11 Minutes"/>
    <x v="1"/>
  </r>
  <r>
    <x v="174"/>
    <x v="107"/>
    <x v="8"/>
    <x v="0"/>
    <s v="Tirunelveli"/>
    <x v="0"/>
    <s v="David"/>
    <n v="63"/>
    <n v="67"/>
    <x v="3"/>
    <n v="18000"/>
    <n v="17470"/>
    <n v="2000"/>
    <x v="0"/>
    <s v="No"/>
    <d v="2025-03-21T00:00:00"/>
    <d v="2025-06-19T00:00:00"/>
    <d v="1899-12-30T09:42:00"/>
    <d v="1899-12-30T14:18:00"/>
    <s v="C"/>
    <s v="09:42 AM"/>
    <s v="On Time"/>
    <s v="4 Hours 36 Minutes"/>
    <x v="1"/>
  </r>
  <r>
    <x v="175"/>
    <x v="126"/>
    <x v="0"/>
    <x v="1"/>
    <s v="Coimbatore"/>
    <x v="7"/>
    <s v="Sneha"/>
    <n v="82"/>
    <n v="92"/>
    <x v="1"/>
    <n v="18000"/>
    <n v="20060"/>
    <n v="0"/>
    <x v="1"/>
    <s v="No"/>
    <d v="2025-08-15T00:00:00"/>
    <d v="2025-10-14T00:00:00"/>
    <d v="1899-12-30T08:06:00"/>
    <d v="1899-12-30T12:33:00"/>
    <s v="B"/>
    <s v="08:06 AM"/>
    <s v="On Time"/>
    <s v="4 Hours 27 Minutes"/>
    <x v="1"/>
  </r>
  <r>
    <x v="176"/>
    <x v="88"/>
    <x v="8"/>
    <x v="0"/>
    <s v="Trichy"/>
    <x v="2"/>
    <s v="Priya"/>
    <n v="38"/>
    <n v="87"/>
    <x v="0"/>
    <n v="12000"/>
    <n v="10160"/>
    <n v="4000"/>
    <x v="0"/>
    <s v="No"/>
    <d v="2025-06-24T00:00:00"/>
    <d v="2025-12-21T00:00:00"/>
    <d v="1899-12-30T10:36:00"/>
    <d v="1899-12-30T13:41:00"/>
    <s v="D"/>
    <s v="10:36 AM"/>
    <s v="Delayed"/>
    <s v="3 Hours 5 Minutes"/>
    <x v="0"/>
  </r>
  <r>
    <x v="177"/>
    <x v="127"/>
    <x v="2"/>
    <x v="0"/>
    <s v="Trichy"/>
    <x v="0"/>
    <s v="David"/>
    <n v="96"/>
    <n v="84"/>
    <x v="2"/>
    <n v="10000"/>
    <n v="6620"/>
    <n v="4000"/>
    <x v="0"/>
    <s v="No"/>
    <d v="2025-04-09T00:00:00"/>
    <d v="2025-05-09T00:00:00"/>
    <d v="1899-12-30T10:41:00"/>
    <d v="1899-12-30T12:54:00"/>
    <s v="A"/>
    <s v="10:41 AM"/>
    <s v="On Time"/>
    <s v="2 Hours 13 Minutes"/>
    <x v="0"/>
  </r>
  <r>
    <x v="178"/>
    <x v="102"/>
    <x v="8"/>
    <x v="1"/>
    <s v="Coimbatore"/>
    <x v="6"/>
    <s v="Karthik"/>
    <n v="54"/>
    <n v="83"/>
    <x v="0"/>
    <n v="10000"/>
    <n v="9800"/>
    <n v="2000"/>
    <x v="0"/>
    <s v="No"/>
    <d v="2025-12-14T00:00:00"/>
    <d v="2026-01-13T00:00:00"/>
    <d v="1899-12-30T08:13:00"/>
    <d v="1899-12-30T09:49:00"/>
    <s v="D"/>
    <s v="08:13 AM"/>
    <s v="On Time"/>
    <s v="1 Hours 36 Minutes"/>
    <x v="1"/>
  </r>
  <r>
    <x v="179"/>
    <x v="128"/>
    <x v="2"/>
    <x v="0"/>
    <s v="Thoothukudi"/>
    <x v="0"/>
    <s v="David"/>
    <n v="35"/>
    <n v="98"/>
    <x v="0"/>
    <n v="10000"/>
    <n v="8030"/>
    <n v="2000"/>
    <x v="0"/>
    <s v="No"/>
    <d v="2025-04-03T00:00:00"/>
    <d v="2025-09-30T00:00:00"/>
    <d v="1899-12-30T10:38:00"/>
    <d v="1899-12-30T14:34:00"/>
    <s v="D"/>
    <s v="10:38 AM"/>
    <s v="Delayed"/>
    <s v="3 Hours 56 Minutes"/>
    <x v="0"/>
  </r>
  <r>
    <x v="180"/>
    <x v="38"/>
    <x v="2"/>
    <x v="1"/>
    <s v="Vellore"/>
    <x v="6"/>
    <s v="Karthik"/>
    <n v="66"/>
    <n v="80"/>
    <x v="3"/>
    <n v="12000"/>
    <n v="9570"/>
    <n v="4000"/>
    <x v="0"/>
    <s v="No"/>
    <d v="2025-08-02T00:00:00"/>
    <d v="2025-11-30T00:00:00"/>
    <d v="1899-12-30T10:41:00"/>
    <d v="1899-12-30T13:33:00"/>
    <s v="C"/>
    <s v="10:41 AM"/>
    <s v="Delayed"/>
    <s v="2 Hours 52 Minutes"/>
    <x v="0"/>
  </r>
  <r>
    <x v="181"/>
    <x v="109"/>
    <x v="1"/>
    <x v="1"/>
    <s v="Salem"/>
    <x v="6"/>
    <s v="Karthik"/>
    <n v="36"/>
    <n v="95"/>
    <x v="0"/>
    <n v="18000"/>
    <n v="17470"/>
    <n v="2000"/>
    <x v="0"/>
    <s v="No"/>
    <d v="2025-05-02T00:00:00"/>
    <d v="2025-07-01T00:00:00"/>
    <d v="1899-12-30T08:23:00"/>
    <d v="1899-12-30T12:36:00"/>
    <s v="D"/>
    <s v="08:23 AM"/>
    <s v="On Time"/>
    <s v="4 Hours 13 Minutes"/>
    <x v="1"/>
  </r>
  <r>
    <x v="182"/>
    <x v="100"/>
    <x v="8"/>
    <x v="0"/>
    <s v="Trichy"/>
    <x v="2"/>
    <s v="Priya"/>
    <n v="55"/>
    <n v="63"/>
    <x v="0"/>
    <n v="18000"/>
    <n v="21240"/>
    <n v="0"/>
    <x v="1"/>
    <s v="No"/>
    <d v="2025-10-14T00:00:00"/>
    <d v="2026-02-11T00:00:00"/>
    <d v="1899-12-30T08:32:00"/>
    <d v="1899-12-30T13:09:00"/>
    <s v="D"/>
    <s v="08:32 AM"/>
    <s v="Delayed"/>
    <s v="4 Hours 37 Minutes"/>
    <x v="1"/>
  </r>
  <r>
    <x v="183"/>
    <x v="129"/>
    <x v="1"/>
    <x v="0"/>
    <s v="Coimbatore"/>
    <x v="1"/>
    <s v="Nandhini"/>
    <n v="40"/>
    <n v="99"/>
    <x v="0"/>
    <n v="20000"/>
    <n v="23600"/>
    <n v="0"/>
    <x v="1"/>
    <s v="No"/>
    <d v="2025-04-22T00:00:00"/>
    <d v="2025-10-19T00:00:00"/>
    <d v="1899-12-30T10:58:00"/>
    <d v="1899-12-30T15:30:00"/>
    <s v="D"/>
    <s v="10:58 AM"/>
    <s v="Delayed"/>
    <s v="4 Hours 32 Minutes"/>
    <x v="0"/>
  </r>
  <r>
    <x v="184"/>
    <x v="12"/>
    <x v="10"/>
    <x v="0"/>
    <s v="Bengaluru"/>
    <x v="6"/>
    <s v="Karthik"/>
    <n v="41"/>
    <n v="87"/>
    <x v="0"/>
    <n v="12000"/>
    <n v="8980"/>
    <n v="4000"/>
    <x v="0"/>
    <s v="No"/>
    <d v="2025-10-22T00:00:00"/>
    <d v="2026-02-19T00:00:00"/>
    <d v="1899-12-30T08:35:00"/>
    <d v="1899-12-30T11:48:00"/>
    <s v="D"/>
    <s v="08:35 AM"/>
    <s v="Delayed"/>
    <s v="3 Hours 13 Minutes"/>
    <x v="1"/>
  </r>
  <r>
    <x v="185"/>
    <x v="95"/>
    <x v="6"/>
    <x v="0"/>
    <s v="Madurai"/>
    <x v="4"/>
    <s v="John"/>
    <n v="71"/>
    <n v="95"/>
    <x v="3"/>
    <n v="20000"/>
    <n v="20420"/>
    <n v="2000"/>
    <x v="0"/>
    <s v="No"/>
    <d v="2025-12-03T00:00:00"/>
    <d v="2026-01-02T00:00:00"/>
    <d v="1899-12-30T09:14:00"/>
    <d v="1899-12-30T12:36:00"/>
    <s v="C"/>
    <s v="09:14 AM"/>
    <s v="On Time"/>
    <s v="3 Hours 22 Minutes"/>
    <x v="1"/>
  </r>
  <r>
    <x v="186"/>
    <x v="119"/>
    <x v="2"/>
    <x v="0"/>
    <s v="Tirunelveli"/>
    <x v="1"/>
    <s v="Nandhini"/>
    <n v="58"/>
    <n v="76"/>
    <x v="0"/>
    <n v="15000"/>
    <n v="13110"/>
    <n v="4000"/>
    <x v="0"/>
    <s v="No"/>
    <d v="2025-10-14T00:00:00"/>
    <d v="2025-12-13T00:00:00"/>
    <d v="1899-12-30T10:15:00"/>
    <d v="1899-12-30T12:45:00"/>
    <s v="D"/>
    <s v="10:15 AM"/>
    <s v="On Time"/>
    <s v="2 Hours 30 Minutes"/>
    <x v="0"/>
  </r>
  <r>
    <x v="187"/>
    <x v="97"/>
    <x v="3"/>
    <x v="1"/>
    <s v="Madurai"/>
    <x v="6"/>
    <s v="Karthik"/>
    <n v="36"/>
    <n v="76"/>
    <x v="0"/>
    <n v="20000"/>
    <n v="19830"/>
    <n v="2000"/>
    <x v="0"/>
    <s v="No"/>
    <d v="2025-04-11T00:00:00"/>
    <d v="2025-10-08T00:00:00"/>
    <d v="1899-12-30T08:40:00"/>
    <d v="1899-12-30T10:18:00"/>
    <s v="D"/>
    <s v="08:40 AM"/>
    <s v="Delayed"/>
    <s v="1 Hours 38 Minutes"/>
    <x v="1"/>
  </r>
  <r>
    <x v="188"/>
    <x v="20"/>
    <x v="4"/>
    <x v="1"/>
    <s v="Kanchipuram"/>
    <x v="2"/>
    <s v="Priya"/>
    <n v="52"/>
    <n v="80"/>
    <x v="0"/>
    <n v="15000"/>
    <n v="12520"/>
    <n v="4000"/>
    <x v="0"/>
    <s v="No"/>
    <d v="2025-02-20T00:00:00"/>
    <d v="2025-03-22T00:00:00"/>
    <d v="1899-12-30T09:14:00"/>
    <d v="1899-12-30T10:22:00"/>
    <s v="D"/>
    <s v="09:14 AM"/>
    <s v="On Time"/>
    <s v="1 Hours 8 Minutes"/>
    <x v="1"/>
  </r>
  <r>
    <x v="189"/>
    <x v="130"/>
    <x v="4"/>
    <x v="1"/>
    <s v="Salem"/>
    <x v="5"/>
    <s v="Mani Prabhu"/>
    <n v="67"/>
    <n v="71"/>
    <x v="3"/>
    <n v="15000"/>
    <n v="16520"/>
    <n v="0"/>
    <x v="1"/>
    <s v="No"/>
    <d v="2025-05-04T00:00:00"/>
    <d v="2025-10-31T00:00:00"/>
    <d v="1899-12-30T10:02:00"/>
    <d v="1899-12-30T14:56:00"/>
    <s v="C"/>
    <s v="10:02 AM"/>
    <s v="Delayed"/>
    <s v="4 Hours 54 Minutes"/>
    <x v="0"/>
  </r>
  <r>
    <x v="190"/>
    <x v="110"/>
    <x v="8"/>
    <x v="0"/>
    <s v="Trichy"/>
    <x v="0"/>
    <s v="David"/>
    <n v="66"/>
    <n v="78"/>
    <x v="3"/>
    <n v="18000"/>
    <n v="17240"/>
    <n v="4000"/>
    <x v="0"/>
    <s v="No"/>
    <d v="2025-08-23T00:00:00"/>
    <d v="2025-12-21T00:00:00"/>
    <d v="1899-12-30T08:29:00"/>
    <d v="1899-12-30T11:27:00"/>
    <s v="C"/>
    <s v="08:29 AM"/>
    <s v="Delayed"/>
    <s v="2 Hours 58 Minutes"/>
    <x v="1"/>
  </r>
  <r>
    <x v="191"/>
    <x v="131"/>
    <x v="10"/>
    <x v="1"/>
    <s v="Trichy"/>
    <x v="5"/>
    <s v="Mani Prabhu"/>
    <n v="97"/>
    <n v="83"/>
    <x v="2"/>
    <n v="12000"/>
    <n v="10160"/>
    <n v="4000"/>
    <x v="0"/>
    <s v="No"/>
    <d v="2025-08-09T00:00:00"/>
    <d v="2025-11-07T00:00:00"/>
    <d v="1899-12-30T09:38:00"/>
    <d v="1899-12-30T11:24:00"/>
    <s v="A"/>
    <s v="09:38 AM"/>
    <s v="On Time"/>
    <s v="1 Hours 46 Minutes"/>
    <x v="1"/>
  </r>
  <r>
    <x v="192"/>
    <x v="6"/>
    <x v="7"/>
    <x v="1"/>
    <s v="Trichy"/>
    <x v="7"/>
    <s v="Sneha"/>
    <n v="63"/>
    <n v="77"/>
    <x v="3"/>
    <n v="10000"/>
    <n v="6030"/>
    <n v="4000"/>
    <x v="0"/>
    <s v="No"/>
    <d v="2025-03-17T00:00:00"/>
    <d v="2025-06-15T00:00:00"/>
    <d v="1899-12-30T09:01:00"/>
    <d v="1899-12-30T12:40:00"/>
    <s v="C"/>
    <s v="09:01 AM"/>
    <s v="On Time"/>
    <s v="3 Hours 39 Minutes"/>
    <x v="1"/>
  </r>
  <r>
    <x v="193"/>
    <x v="132"/>
    <x v="9"/>
    <x v="1"/>
    <s v="Kanchipuram"/>
    <x v="6"/>
    <s v="Karthik"/>
    <n v="37"/>
    <n v="85"/>
    <x v="0"/>
    <n v="18000"/>
    <n v="18650"/>
    <n v="2000"/>
    <x v="0"/>
    <s v="No"/>
    <d v="2025-02-13T00:00:00"/>
    <d v="2025-08-12T00:00:00"/>
    <d v="1899-12-30T08:17:00"/>
    <d v="1899-12-30T12:30:00"/>
    <s v="D"/>
    <s v="08:17 AM"/>
    <s v="Delayed"/>
    <s v="4 Hours 13 Minutes"/>
    <x v="1"/>
  </r>
  <r>
    <x v="194"/>
    <x v="67"/>
    <x v="5"/>
    <x v="1"/>
    <s v="Tirunelveli"/>
    <x v="7"/>
    <s v="Sneha"/>
    <n v="61"/>
    <n v="95"/>
    <x v="3"/>
    <n v="18000"/>
    <n v="17240"/>
    <n v="4000"/>
    <x v="0"/>
    <s v="No"/>
    <d v="2025-06-16T00:00:00"/>
    <d v="2025-09-14T00:00:00"/>
    <d v="1899-12-30T10:04:00"/>
    <d v="1899-12-30T11:48:00"/>
    <s v="C"/>
    <s v="10:04 AM"/>
    <s v="On Time"/>
    <s v="1 Hours 44 Minutes"/>
    <x v="0"/>
  </r>
  <r>
    <x v="195"/>
    <x v="94"/>
    <x v="0"/>
    <x v="1"/>
    <s v="Erode"/>
    <x v="4"/>
    <s v="John"/>
    <n v="47"/>
    <n v="92"/>
    <x v="0"/>
    <n v="15000"/>
    <n v="15700"/>
    <n v="2000"/>
    <x v="0"/>
    <s v="No"/>
    <d v="2025-05-12T00:00:00"/>
    <d v="2025-09-09T00:00:00"/>
    <d v="1899-12-30T09:04:00"/>
    <d v="1899-12-30T12:47:00"/>
    <s v="D"/>
    <s v="09:04 AM"/>
    <s v="Delayed"/>
    <s v="3 Hours 43 Minutes"/>
    <x v="1"/>
  </r>
  <r>
    <x v="196"/>
    <x v="133"/>
    <x v="5"/>
    <x v="0"/>
    <s v="Trichy"/>
    <x v="1"/>
    <s v="Nandhini"/>
    <n v="36"/>
    <n v="64"/>
    <x v="0"/>
    <n v="10000"/>
    <n v="6030"/>
    <n v="4000"/>
    <x v="0"/>
    <s v="No"/>
    <d v="2025-12-14T00:00:00"/>
    <d v="2026-02-12T00:00:00"/>
    <d v="1899-12-30T10:58:00"/>
    <d v="1899-12-30T14:48:00"/>
    <s v="D"/>
    <s v="10:58 AM"/>
    <s v="On Time"/>
    <s v="3 Hours 50 Minutes"/>
    <x v="0"/>
  </r>
  <r>
    <x v="197"/>
    <x v="126"/>
    <x v="8"/>
    <x v="1"/>
    <s v="Trichy"/>
    <x v="0"/>
    <s v="David"/>
    <n v="41"/>
    <n v="68"/>
    <x v="0"/>
    <n v="15000"/>
    <n v="17110"/>
    <n v="0"/>
    <x v="1"/>
    <s v="Yes"/>
    <d v="2025-01-22T00:00:00"/>
    <d v="2025-07-21T00:00:00"/>
    <d v="1899-12-30T10:04:00"/>
    <d v="1899-12-30T11:36:00"/>
    <s v="D"/>
    <s v="10:04 AM"/>
    <s v="Delayed"/>
    <s v="1 Hours 32 Minutes"/>
    <x v="0"/>
  </r>
  <r>
    <x v="198"/>
    <x v="116"/>
    <x v="5"/>
    <x v="0"/>
    <s v="Madurai"/>
    <x v="1"/>
    <s v="Nandhini"/>
    <n v="59"/>
    <n v="80"/>
    <x v="0"/>
    <n v="12000"/>
    <n v="9570"/>
    <n v="4000"/>
    <x v="0"/>
    <s v="No"/>
    <d v="2025-07-24T00:00:00"/>
    <d v="2026-01-20T00:00:00"/>
    <d v="1899-12-30T09:15:00"/>
    <d v="1899-12-30T12:46:00"/>
    <s v="D"/>
    <s v="09:15 AM"/>
    <s v="Delayed"/>
    <s v="3 Hours 31 Minutes"/>
    <x v="1"/>
  </r>
  <r>
    <x v="199"/>
    <x v="42"/>
    <x v="2"/>
    <x v="0"/>
    <s v="Kanchipuram"/>
    <x v="7"/>
    <s v="Sneha"/>
    <n v="57"/>
    <n v="100"/>
    <x v="0"/>
    <n v="12000"/>
    <n v="10980"/>
    <n v="2000"/>
    <x v="0"/>
    <s v="No"/>
    <d v="2025-05-22T00:00:00"/>
    <d v="2025-08-20T00:00:00"/>
    <d v="1899-12-30T08:38:00"/>
    <d v="1899-12-30T10:44:00"/>
    <s v="D"/>
    <s v="08:38 AM"/>
    <s v="On Time"/>
    <s v="2 Hours 6 Minutes"/>
    <x v="1"/>
  </r>
  <r>
    <x v="200"/>
    <x v="134"/>
    <x v="10"/>
    <x v="0"/>
    <s v="Vellore"/>
    <x v="1"/>
    <s v="Nandhini"/>
    <n v="40"/>
    <n v="97"/>
    <x v="0"/>
    <n v="20000"/>
    <n v="17830"/>
    <n v="4000"/>
    <x v="0"/>
    <s v="No"/>
    <d v="2025-08-19T00:00:00"/>
    <d v="2025-11-17T00:00:00"/>
    <d v="1899-12-30T09:23:00"/>
    <d v="1899-12-30T12:39:00"/>
    <s v="D"/>
    <s v="09:23 AM"/>
    <s v="On Time"/>
    <s v="3 Hours 16 Minutes"/>
    <x v="1"/>
  </r>
  <r>
    <x v="201"/>
    <x v="135"/>
    <x v="9"/>
    <x v="1"/>
    <s v="Kanchipuram"/>
    <x v="4"/>
    <s v="John"/>
    <n v="64"/>
    <n v="74"/>
    <x v="3"/>
    <n v="20000"/>
    <n v="17830"/>
    <n v="4000"/>
    <x v="0"/>
    <s v="No"/>
    <d v="2025-06-02T00:00:00"/>
    <d v="2025-07-02T00:00:00"/>
    <d v="1899-12-30T09:48:00"/>
    <d v="1899-12-30T11:28:00"/>
    <s v="C"/>
    <s v="09:48 AM"/>
    <s v="On Time"/>
    <s v="1 Hours 40 Minutes"/>
    <x v="1"/>
  </r>
  <r>
    <x v="202"/>
    <x v="31"/>
    <x v="9"/>
    <x v="0"/>
    <s v="Thoothukudi"/>
    <x v="5"/>
    <s v="Mani Prabhu"/>
    <n v="83"/>
    <n v="90"/>
    <x v="1"/>
    <n v="18000"/>
    <n v="18650"/>
    <n v="2000"/>
    <x v="0"/>
    <s v="No"/>
    <d v="2025-02-05T00:00:00"/>
    <d v="2025-05-06T00:00:00"/>
    <d v="1899-12-30T09:57:00"/>
    <d v="1899-12-30T11:37:00"/>
    <s v="B"/>
    <s v="09:57 AM"/>
    <s v="On Time"/>
    <s v="1 Hours 40 Minutes"/>
    <x v="1"/>
  </r>
  <r>
    <x v="203"/>
    <x v="136"/>
    <x v="10"/>
    <x v="1"/>
    <s v="Vellore"/>
    <x v="4"/>
    <s v="John"/>
    <n v="62"/>
    <n v="89"/>
    <x v="3"/>
    <n v="12000"/>
    <n v="9570"/>
    <n v="4000"/>
    <x v="0"/>
    <s v="No"/>
    <d v="2025-11-17T00:00:00"/>
    <d v="2026-02-15T00:00:00"/>
    <d v="1899-12-30T10:18:00"/>
    <d v="1899-12-30T14:06:00"/>
    <s v="C"/>
    <s v="10:18 AM"/>
    <s v="On Time"/>
    <s v="3 Hours 48 Minutes"/>
    <x v="0"/>
  </r>
  <r>
    <x v="204"/>
    <x v="24"/>
    <x v="6"/>
    <x v="1"/>
    <s v="Coimbatore"/>
    <x v="2"/>
    <s v="Priya"/>
    <n v="98"/>
    <n v="92"/>
    <x v="2"/>
    <n v="18000"/>
    <n v="18060"/>
    <n v="2000"/>
    <x v="0"/>
    <s v="No"/>
    <d v="2025-06-17T00:00:00"/>
    <d v="2025-08-16T00:00:00"/>
    <d v="1899-12-30T09:23:00"/>
    <d v="1899-12-30T14:21:00"/>
    <s v="A"/>
    <s v="09:23 AM"/>
    <s v="On Time"/>
    <s v="4 Hours 58 Minutes"/>
    <x v="1"/>
  </r>
  <r>
    <x v="205"/>
    <x v="137"/>
    <x v="7"/>
    <x v="0"/>
    <s v="Kanchipuram"/>
    <x v="2"/>
    <s v="Priya"/>
    <n v="96"/>
    <n v="98"/>
    <x v="2"/>
    <n v="20000"/>
    <n v="19830"/>
    <n v="2000"/>
    <x v="0"/>
    <s v="No"/>
    <d v="2025-08-12T00:00:00"/>
    <d v="2025-12-10T00:00:00"/>
    <d v="1899-12-30T09:50:00"/>
    <d v="1899-12-30T12:02:00"/>
    <s v="A"/>
    <s v="09:50 AM"/>
    <s v="Delayed"/>
    <s v="2 Hours 12 Minutes"/>
    <x v="1"/>
  </r>
  <r>
    <x v="206"/>
    <x v="125"/>
    <x v="8"/>
    <x v="0"/>
    <s v="Bengaluru"/>
    <x v="1"/>
    <s v="Nandhini"/>
    <n v="42"/>
    <n v="79"/>
    <x v="0"/>
    <n v="15000"/>
    <n v="17110"/>
    <n v="0"/>
    <x v="1"/>
    <s v="No"/>
    <d v="2025-03-14T00:00:00"/>
    <d v="2025-09-10T00:00:00"/>
    <d v="1899-12-30T10:14:00"/>
    <d v="1899-12-30T13:23:00"/>
    <s v="D"/>
    <s v="10:14 AM"/>
    <s v="Delayed"/>
    <s v="3 Hours 9 Minutes"/>
    <x v="0"/>
  </r>
  <r>
    <x v="207"/>
    <x v="138"/>
    <x v="1"/>
    <x v="1"/>
    <s v="Tirunelveli"/>
    <x v="0"/>
    <s v="David"/>
    <n v="69"/>
    <n v="89"/>
    <x v="3"/>
    <n v="20000"/>
    <n v="23600"/>
    <n v="0"/>
    <x v="1"/>
    <s v="No"/>
    <d v="2025-11-17T00:00:00"/>
    <d v="2025-12-17T00:00:00"/>
    <d v="1899-12-30T08:55:00"/>
    <d v="1899-12-30T10:00:00"/>
    <s v="C"/>
    <s v="08:55 AM"/>
    <s v="On Time"/>
    <s v="1 Hours 5 Minutes"/>
    <x v="1"/>
  </r>
  <r>
    <x v="208"/>
    <x v="20"/>
    <x v="7"/>
    <x v="0"/>
    <s v="Vellore"/>
    <x v="5"/>
    <s v="Mani Prabhu"/>
    <n v="52"/>
    <n v="65"/>
    <x v="0"/>
    <n v="18000"/>
    <n v="20060"/>
    <n v="0"/>
    <x v="1"/>
    <s v="Yes"/>
    <d v="2025-09-20T00:00:00"/>
    <d v="2026-03-19T00:00:00"/>
    <d v="1899-12-30T10:56:00"/>
    <d v="1899-12-30T12:20:00"/>
    <s v="D"/>
    <s v="10:56 AM"/>
    <s v="Delayed"/>
    <s v="1 Hours 24 Minutes"/>
    <x v="0"/>
  </r>
  <r>
    <x v="209"/>
    <x v="139"/>
    <x v="9"/>
    <x v="0"/>
    <s v="Bengaluru"/>
    <x v="5"/>
    <s v="Mani Prabhu"/>
    <n v="99"/>
    <n v="65"/>
    <x v="2"/>
    <n v="15000"/>
    <n v="13110"/>
    <n v="4000"/>
    <x v="0"/>
    <s v="No"/>
    <d v="2025-03-10T00:00:00"/>
    <d v="2025-04-09T00:00:00"/>
    <d v="1899-12-30T08:04:00"/>
    <d v="1899-12-30T09:37:00"/>
    <s v="A"/>
    <s v="08:04 AM"/>
    <s v="On Time"/>
    <s v="1 Hours 33 Minutes"/>
    <x v="1"/>
  </r>
  <r>
    <x v="210"/>
    <x v="61"/>
    <x v="5"/>
    <x v="0"/>
    <s v="Vellore"/>
    <x v="2"/>
    <s v="Priya"/>
    <n v="36"/>
    <n v="76"/>
    <x v="0"/>
    <n v="12000"/>
    <n v="14160"/>
    <n v="0"/>
    <x v="1"/>
    <s v="Yes"/>
    <d v="2025-05-13T00:00:00"/>
    <d v="2025-11-09T00:00:00"/>
    <d v="1899-12-30T08:54:00"/>
    <d v="1899-12-30T12:18:00"/>
    <s v="D"/>
    <s v="08:54 AM"/>
    <s v="Delayed"/>
    <s v="3 Hours 24 Minutes"/>
    <x v="1"/>
  </r>
  <r>
    <x v="211"/>
    <x v="140"/>
    <x v="1"/>
    <x v="0"/>
    <s v="Madurai"/>
    <x v="2"/>
    <s v="Priya"/>
    <n v="81"/>
    <n v="63"/>
    <x v="1"/>
    <n v="15000"/>
    <n v="17700"/>
    <n v="0"/>
    <x v="1"/>
    <s v="No"/>
    <d v="2025-06-13T00:00:00"/>
    <d v="2025-07-13T00:00:00"/>
    <d v="1899-12-30T09:45:00"/>
    <d v="1899-12-30T11:12:00"/>
    <s v="B"/>
    <s v="09:45 AM"/>
    <s v="On Time"/>
    <s v="1 Hours 27 Minutes"/>
    <x v="1"/>
  </r>
  <r>
    <x v="212"/>
    <x v="141"/>
    <x v="3"/>
    <x v="1"/>
    <s v="Madurai"/>
    <x v="5"/>
    <s v="Mani Prabhu"/>
    <n v="48"/>
    <n v="97"/>
    <x v="0"/>
    <n v="10000"/>
    <n v="9800"/>
    <n v="2000"/>
    <x v="0"/>
    <s v="No"/>
    <d v="2025-08-29T00:00:00"/>
    <d v="2026-02-25T00:00:00"/>
    <d v="1899-12-30T09:11:00"/>
    <d v="1899-12-30T11:51:00"/>
    <s v="D"/>
    <s v="09:11 AM"/>
    <s v="Delayed"/>
    <s v="2 Hours 40 Minutes"/>
    <x v="1"/>
  </r>
  <r>
    <x v="213"/>
    <x v="90"/>
    <x v="10"/>
    <x v="1"/>
    <s v="Bengaluru"/>
    <x v="1"/>
    <s v="Nandhini"/>
    <n v="57"/>
    <n v="76"/>
    <x v="0"/>
    <n v="20000"/>
    <n v="21830"/>
    <n v="0"/>
    <x v="1"/>
    <s v="No"/>
    <d v="2025-01-27T00:00:00"/>
    <d v="2025-05-27T00:00:00"/>
    <d v="1899-12-30T10:18:00"/>
    <d v="1899-12-30T12:08:00"/>
    <s v="D"/>
    <s v="10:18 AM"/>
    <s v="Delayed"/>
    <s v="1 Hours 50 Minutes"/>
    <x v="0"/>
  </r>
  <r>
    <x v="214"/>
    <x v="76"/>
    <x v="2"/>
    <x v="0"/>
    <s v="Salem"/>
    <x v="5"/>
    <s v="Mani Prabhu"/>
    <n v="91"/>
    <n v="100"/>
    <x v="2"/>
    <n v="15000"/>
    <n v="11930"/>
    <n v="4000"/>
    <x v="0"/>
    <s v="No"/>
    <d v="2025-05-17T00:00:00"/>
    <d v="2025-08-15T00:00:00"/>
    <d v="1899-12-30T08:45:00"/>
    <d v="1899-12-30T10:05:00"/>
    <s v="A"/>
    <s v="08:45 AM"/>
    <s v="On Time"/>
    <s v="1 Hours 20 Minutes"/>
    <x v="1"/>
  </r>
  <r>
    <x v="215"/>
    <x v="142"/>
    <x v="8"/>
    <x v="1"/>
    <s v="Bengaluru"/>
    <x v="0"/>
    <s v="David"/>
    <n v="79"/>
    <n v="76"/>
    <x v="1"/>
    <n v="10000"/>
    <n v="10030"/>
    <n v="0"/>
    <x v="1"/>
    <s v="No"/>
    <d v="2025-03-20T00:00:00"/>
    <d v="2025-07-18T00:00:00"/>
    <d v="1899-12-30T08:51:00"/>
    <d v="1899-12-30T12:48:00"/>
    <s v="B"/>
    <s v="08:51 AM"/>
    <s v="Delayed"/>
    <s v="3 Hours 57 Minutes"/>
    <x v="1"/>
  </r>
  <r>
    <x v="216"/>
    <x v="143"/>
    <x v="2"/>
    <x v="0"/>
    <s v="Trichy"/>
    <x v="5"/>
    <s v="Mani Prabhu"/>
    <n v="63"/>
    <n v="67"/>
    <x v="3"/>
    <n v="12000"/>
    <n v="10390"/>
    <n v="2000"/>
    <x v="0"/>
    <s v="Yes"/>
    <d v="2025-09-25T00:00:00"/>
    <d v="2025-10-25T00:00:00"/>
    <d v="1899-12-30T10:38:00"/>
    <d v="1899-12-30T15:04:00"/>
    <s v="C"/>
    <s v="10:38 AM"/>
    <s v="On Time"/>
    <s v="4 Hours 26 Minutes"/>
    <x v="0"/>
  </r>
  <r>
    <x v="217"/>
    <x v="36"/>
    <x v="5"/>
    <x v="0"/>
    <s v="Kanchipuram"/>
    <x v="1"/>
    <s v="Nandhini"/>
    <n v="90"/>
    <n v="65"/>
    <x v="2"/>
    <n v="18000"/>
    <n v="16650"/>
    <n v="4000"/>
    <x v="0"/>
    <s v="Yes"/>
    <d v="2025-06-06T00:00:00"/>
    <d v="2025-10-04T00:00:00"/>
    <d v="1899-12-30T10:58:00"/>
    <d v="1899-12-30T14:00:00"/>
    <s v="A"/>
    <s v="10:58 AM"/>
    <s v="Delayed"/>
    <s v="3 Hours 2 Minutes"/>
    <x v="0"/>
  </r>
  <r>
    <x v="218"/>
    <x v="144"/>
    <x v="8"/>
    <x v="1"/>
    <s v="Madurai"/>
    <x v="5"/>
    <s v="Mani Prabhu"/>
    <n v="63"/>
    <n v="70"/>
    <x v="3"/>
    <n v="10000"/>
    <n v="11210"/>
    <n v="0"/>
    <x v="1"/>
    <s v="No"/>
    <d v="2025-04-09T00:00:00"/>
    <d v="2025-08-07T00:00:00"/>
    <d v="1899-12-30T08:57:00"/>
    <d v="1899-12-30T11:27:00"/>
    <s v="C"/>
    <s v="08:57 AM"/>
    <s v="Delayed"/>
    <s v="2 Hours 30 Minutes"/>
    <x v="1"/>
  </r>
  <r>
    <x v="219"/>
    <x v="52"/>
    <x v="4"/>
    <x v="1"/>
    <s v="Madurai"/>
    <x v="0"/>
    <s v="David"/>
    <n v="62"/>
    <n v="79"/>
    <x v="3"/>
    <n v="20000"/>
    <n v="23600"/>
    <n v="0"/>
    <x v="1"/>
    <s v="No"/>
    <d v="2025-04-18T00:00:00"/>
    <d v="2025-07-17T00:00:00"/>
    <d v="1899-12-30T09:12:00"/>
    <d v="1899-12-30T13:14:00"/>
    <s v="C"/>
    <s v="09:12 AM"/>
    <s v="On Time"/>
    <s v="4 Hours 2 Minutes"/>
    <x v="1"/>
  </r>
  <r>
    <x v="220"/>
    <x v="126"/>
    <x v="6"/>
    <x v="0"/>
    <s v="Trichy"/>
    <x v="6"/>
    <s v="Karthik"/>
    <n v="70"/>
    <n v="94"/>
    <x v="3"/>
    <n v="15000"/>
    <n v="13930"/>
    <n v="2000"/>
    <x v="0"/>
    <s v="No"/>
    <d v="2025-10-24T00:00:00"/>
    <d v="2026-02-21T00:00:00"/>
    <d v="1899-12-30T08:29:00"/>
    <d v="1899-12-30T11:43:00"/>
    <s v="C"/>
    <s v="08:29 AM"/>
    <s v="Delayed"/>
    <s v="3 Hours 14 Minutes"/>
    <x v="1"/>
  </r>
  <r>
    <x v="221"/>
    <x v="102"/>
    <x v="7"/>
    <x v="1"/>
    <s v="Thoothukudi"/>
    <x v="2"/>
    <s v="Priya"/>
    <n v="58"/>
    <n v="99"/>
    <x v="0"/>
    <n v="10000"/>
    <n v="8030"/>
    <n v="2000"/>
    <x v="0"/>
    <s v="No"/>
    <d v="2025-01-04T00:00:00"/>
    <d v="2025-03-05T00:00:00"/>
    <d v="1899-12-30T10:18:00"/>
    <d v="1899-12-30T11:49:00"/>
    <s v="D"/>
    <s v="10:18 AM"/>
    <s v="On Time"/>
    <s v="1 Hours 31 Minutes"/>
    <x v="0"/>
  </r>
  <r>
    <x v="222"/>
    <x v="68"/>
    <x v="2"/>
    <x v="1"/>
    <s v="Trichy"/>
    <x v="3"/>
    <s v="Arun"/>
    <n v="42"/>
    <n v="69"/>
    <x v="0"/>
    <n v="18000"/>
    <n v="17240"/>
    <n v="4000"/>
    <x v="0"/>
    <s v="Yes"/>
    <d v="2025-09-22T00:00:00"/>
    <d v="2026-03-21T00:00:00"/>
    <d v="1899-12-30T09:01:00"/>
    <d v="1899-12-30T12:32:00"/>
    <s v="D"/>
    <s v="09:01 AM"/>
    <s v="Delayed"/>
    <s v="3 Hours 31 Minutes"/>
    <x v="1"/>
  </r>
  <r>
    <x v="223"/>
    <x v="134"/>
    <x v="9"/>
    <x v="1"/>
    <s v="Vellore"/>
    <x v="4"/>
    <s v="John"/>
    <n v="64"/>
    <n v="66"/>
    <x v="3"/>
    <n v="10000"/>
    <n v="9800"/>
    <n v="2000"/>
    <x v="0"/>
    <s v="No"/>
    <d v="2025-06-17T00:00:00"/>
    <d v="2025-09-15T00:00:00"/>
    <d v="1899-12-30T09:44:00"/>
    <d v="1899-12-30T13:05:00"/>
    <s v="C"/>
    <s v="09:44 AM"/>
    <s v="On Time"/>
    <s v="3 Hours 21 Minutes"/>
    <x v="1"/>
  </r>
  <r>
    <x v="224"/>
    <x v="145"/>
    <x v="0"/>
    <x v="1"/>
    <s v="Salem"/>
    <x v="5"/>
    <s v="Mani Prabhu"/>
    <n v="98"/>
    <n v="63"/>
    <x v="2"/>
    <n v="10000"/>
    <n v="10030"/>
    <n v="0"/>
    <x v="1"/>
    <s v="No"/>
    <d v="2025-04-18T00:00:00"/>
    <d v="2025-06-17T00:00:00"/>
    <d v="1899-12-30T09:09:00"/>
    <d v="1899-12-30T10:55:00"/>
    <s v="A"/>
    <s v="09:09 AM"/>
    <s v="On Time"/>
    <s v="1 Hours 46 Minutes"/>
    <x v="1"/>
  </r>
  <r>
    <x v="225"/>
    <x v="146"/>
    <x v="5"/>
    <x v="0"/>
    <s v="Trichy"/>
    <x v="7"/>
    <s v="Sneha"/>
    <n v="82"/>
    <n v="79"/>
    <x v="1"/>
    <n v="18000"/>
    <n v="16060"/>
    <n v="4000"/>
    <x v="0"/>
    <s v="No"/>
    <d v="2025-11-03T00:00:00"/>
    <d v="2025-12-03T00:00:00"/>
    <d v="1899-12-30T08:12:00"/>
    <d v="1899-12-30T11:55:00"/>
    <s v="B"/>
    <s v="08:12 AM"/>
    <s v="On Time"/>
    <s v="3 Hours 43 Minutes"/>
    <x v="1"/>
  </r>
  <r>
    <x v="226"/>
    <x v="147"/>
    <x v="8"/>
    <x v="1"/>
    <s v="Thoothukudi"/>
    <x v="7"/>
    <s v="Sneha"/>
    <n v="70"/>
    <n v="95"/>
    <x v="3"/>
    <n v="15000"/>
    <n v="14520"/>
    <n v="2000"/>
    <x v="0"/>
    <s v="No"/>
    <d v="2025-01-06T00:00:00"/>
    <d v="2025-02-05T00:00:00"/>
    <d v="1899-12-30T09:11:00"/>
    <d v="1899-12-30T13:42:00"/>
    <s v="C"/>
    <s v="09:11 AM"/>
    <s v="On Time"/>
    <s v="4 Hours 31 Minutes"/>
    <x v="1"/>
  </r>
  <r>
    <x v="227"/>
    <x v="13"/>
    <x v="2"/>
    <x v="1"/>
    <s v="Bengaluru"/>
    <x v="7"/>
    <s v="Sneha"/>
    <n v="94"/>
    <n v="94"/>
    <x v="2"/>
    <n v="12000"/>
    <n v="12980"/>
    <n v="0"/>
    <x v="1"/>
    <s v="No"/>
    <d v="2025-09-14T00:00:00"/>
    <d v="2025-10-14T00:00:00"/>
    <d v="1899-12-30T08:38:00"/>
    <d v="1899-12-30T11:49:00"/>
    <s v="A"/>
    <s v="08:38 AM"/>
    <s v="On Time"/>
    <s v="3 Hours 11 Minutes"/>
    <x v="1"/>
  </r>
  <r>
    <x v="228"/>
    <x v="115"/>
    <x v="2"/>
    <x v="1"/>
    <s v="Kanchipuram"/>
    <x v="6"/>
    <s v="Karthik"/>
    <n v="41"/>
    <n v="96"/>
    <x v="0"/>
    <n v="12000"/>
    <n v="12160"/>
    <n v="2000"/>
    <x v="0"/>
    <s v="No"/>
    <d v="2025-06-16T00:00:00"/>
    <d v="2025-09-14T00:00:00"/>
    <d v="1899-12-30T10:34:00"/>
    <d v="1899-12-30T12:06:00"/>
    <s v="D"/>
    <s v="10:34 AM"/>
    <s v="On Time"/>
    <s v="1 Hours 32 Minutes"/>
    <x v="0"/>
  </r>
  <r>
    <x v="229"/>
    <x v="148"/>
    <x v="10"/>
    <x v="1"/>
    <s v="Chennai"/>
    <x v="5"/>
    <s v="Mani Prabhu"/>
    <n v="50"/>
    <n v="100"/>
    <x v="0"/>
    <n v="20000"/>
    <n v="19830"/>
    <n v="2000"/>
    <x v="0"/>
    <s v="No"/>
    <d v="2025-02-17T00:00:00"/>
    <d v="2025-05-18T00:00:00"/>
    <d v="1899-12-30T10:54:00"/>
    <d v="1899-12-30T12:13:00"/>
    <s v="D"/>
    <s v="10:54 AM"/>
    <s v="On Time"/>
    <s v="1 Hours 19 Minutes"/>
    <x v="0"/>
  </r>
  <r>
    <x v="230"/>
    <x v="79"/>
    <x v="3"/>
    <x v="0"/>
    <s v="Madurai"/>
    <x v="7"/>
    <s v="Sneha"/>
    <n v="75"/>
    <n v="84"/>
    <x v="1"/>
    <n v="12000"/>
    <n v="8390"/>
    <n v="4000"/>
    <x v="0"/>
    <s v="No"/>
    <d v="2025-03-01T00:00:00"/>
    <d v="2025-06-29T00:00:00"/>
    <d v="1899-12-30T09:22:00"/>
    <d v="1899-12-30T12:45:00"/>
    <s v="B"/>
    <s v="09:22 AM"/>
    <s v="Delayed"/>
    <s v="3 Hours 23 Minutes"/>
    <x v="1"/>
  </r>
  <r>
    <x v="231"/>
    <x v="111"/>
    <x v="4"/>
    <x v="1"/>
    <s v="Trichy"/>
    <x v="2"/>
    <s v="Priya"/>
    <n v="82"/>
    <n v="87"/>
    <x v="1"/>
    <n v="20000"/>
    <n v="19830"/>
    <n v="2000"/>
    <x v="0"/>
    <s v="No"/>
    <d v="2025-06-30T00:00:00"/>
    <d v="2025-09-28T00:00:00"/>
    <d v="1899-12-30T09:44:00"/>
    <d v="1899-12-30T14:18:00"/>
    <s v="B"/>
    <s v="09:44 AM"/>
    <s v="On Time"/>
    <s v="4 Hours 34 Minutes"/>
    <x v="1"/>
  </r>
  <r>
    <x v="232"/>
    <x v="29"/>
    <x v="8"/>
    <x v="1"/>
    <s v="Chennai"/>
    <x v="0"/>
    <s v="David"/>
    <n v="56"/>
    <n v="81"/>
    <x v="0"/>
    <n v="15000"/>
    <n v="11930"/>
    <n v="4000"/>
    <x v="0"/>
    <s v="No"/>
    <d v="2025-11-04T00:00:00"/>
    <d v="2026-01-03T00:00:00"/>
    <d v="1899-12-30T10:05:00"/>
    <d v="1899-12-30T14:55:00"/>
    <s v="D"/>
    <s v="10:05 AM"/>
    <s v="On Time"/>
    <s v="4 Hours 50 Minutes"/>
    <x v="0"/>
  </r>
  <r>
    <x v="233"/>
    <x v="36"/>
    <x v="2"/>
    <x v="1"/>
    <s v="Thoothukudi"/>
    <x v="1"/>
    <s v="Nandhini"/>
    <n v="90"/>
    <n v="99"/>
    <x v="2"/>
    <n v="18000"/>
    <n v="21240"/>
    <n v="0"/>
    <x v="1"/>
    <s v="No"/>
    <d v="2025-01-16T00:00:00"/>
    <d v="2025-05-16T00:00:00"/>
    <d v="1899-12-30T10:52:00"/>
    <d v="1899-12-30T12:09:00"/>
    <s v="A"/>
    <s v="10:52 AM"/>
    <s v="Delayed"/>
    <s v="1 Hours 17 Minutes"/>
    <x v="0"/>
  </r>
  <r>
    <x v="234"/>
    <x v="149"/>
    <x v="1"/>
    <x v="0"/>
    <s v="Kanchipuram"/>
    <x v="0"/>
    <s v="David"/>
    <n v="84"/>
    <n v="88"/>
    <x v="1"/>
    <n v="12000"/>
    <n v="11570"/>
    <n v="2000"/>
    <x v="0"/>
    <s v="No"/>
    <d v="2025-04-13T00:00:00"/>
    <d v="2025-07-12T00:00:00"/>
    <d v="1899-12-30T10:00:00"/>
    <d v="1899-12-30T14:21:00"/>
    <s v="B"/>
    <s v="10:00 AM"/>
    <s v="On Time"/>
    <s v="4 Hours 21 Minutes"/>
    <x v="1"/>
  </r>
  <r>
    <x v="235"/>
    <x v="113"/>
    <x v="10"/>
    <x v="0"/>
    <s v="Chennai"/>
    <x v="0"/>
    <s v="David"/>
    <n v="84"/>
    <n v="99"/>
    <x v="1"/>
    <n v="20000"/>
    <n v="21010"/>
    <n v="2000"/>
    <x v="0"/>
    <s v="No"/>
    <d v="2025-01-24T00:00:00"/>
    <d v="2025-07-23T00:00:00"/>
    <d v="1899-12-30T09:48:00"/>
    <d v="1899-12-30T10:53:00"/>
    <s v="B"/>
    <s v="09:48 AM"/>
    <s v="Delayed"/>
    <s v="1 Hours 5 Minutes"/>
    <x v="1"/>
  </r>
  <r>
    <x v="236"/>
    <x v="136"/>
    <x v="0"/>
    <x v="1"/>
    <s v="Coimbatore"/>
    <x v="5"/>
    <s v="Mani Prabhu"/>
    <n v="74"/>
    <n v="66"/>
    <x v="3"/>
    <n v="12000"/>
    <n v="8980"/>
    <n v="4000"/>
    <x v="0"/>
    <s v="No"/>
    <d v="2025-06-30T00:00:00"/>
    <d v="2025-09-28T00:00:00"/>
    <d v="1899-12-30T08:41:00"/>
    <d v="1899-12-30T13:37:00"/>
    <s v="C"/>
    <s v="08:41 AM"/>
    <s v="On Time"/>
    <s v="4 Hours 56 Minutes"/>
    <x v="1"/>
  </r>
  <r>
    <x v="237"/>
    <x v="140"/>
    <x v="3"/>
    <x v="1"/>
    <s v="Vellore"/>
    <x v="2"/>
    <s v="Priya"/>
    <n v="56"/>
    <n v="76"/>
    <x v="0"/>
    <n v="10000"/>
    <n v="7800"/>
    <n v="4000"/>
    <x v="0"/>
    <s v="No"/>
    <d v="2025-05-14T00:00:00"/>
    <d v="2025-11-10T00:00:00"/>
    <d v="1899-12-30T08:38:00"/>
    <d v="1899-12-30T12:18:00"/>
    <s v="D"/>
    <s v="08:38 AM"/>
    <s v="Delayed"/>
    <s v="3 Hours 40 Minutes"/>
    <x v="1"/>
  </r>
  <r>
    <x v="238"/>
    <x v="120"/>
    <x v="5"/>
    <x v="1"/>
    <s v="Tirunelveli"/>
    <x v="6"/>
    <s v="Karthik"/>
    <n v="97"/>
    <n v="96"/>
    <x v="2"/>
    <n v="20000"/>
    <n v="19830"/>
    <n v="2000"/>
    <x v="0"/>
    <s v="No"/>
    <d v="2025-09-10T00:00:00"/>
    <d v="2025-11-09T00:00:00"/>
    <d v="1899-12-30T08:50:00"/>
    <d v="1899-12-30T10:19:00"/>
    <s v="A"/>
    <s v="08:50 AM"/>
    <s v="On Time"/>
    <s v="1 Hours 29 Minutes"/>
    <x v="1"/>
  </r>
  <r>
    <x v="239"/>
    <x v="135"/>
    <x v="7"/>
    <x v="0"/>
    <s v="Thoothukudi"/>
    <x v="3"/>
    <s v="Arun"/>
    <n v="75"/>
    <n v="90"/>
    <x v="1"/>
    <n v="20000"/>
    <n v="20420"/>
    <n v="2000"/>
    <x v="0"/>
    <s v="No"/>
    <d v="2025-02-23T00:00:00"/>
    <d v="2025-08-22T00:00:00"/>
    <d v="1899-12-30T08:26:00"/>
    <d v="1899-12-30T12:34:00"/>
    <s v="B"/>
    <s v="08:26 AM"/>
    <s v="Delayed"/>
    <s v="4 Hours 8 Minutes"/>
    <x v="1"/>
  </r>
  <r>
    <x v="240"/>
    <x v="150"/>
    <x v="9"/>
    <x v="1"/>
    <s v="Erode"/>
    <x v="1"/>
    <s v="Nandhini"/>
    <n v="35"/>
    <n v="87"/>
    <x v="0"/>
    <n v="20000"/>
    <n v="21010"/>
    <n v="2000"/>
    <x v="0"/>
    <s v="No"/>
    <d v="2025-06-25T00:00:00"/>
    <d v="2025-07-25T00:00:00"/>
    <d v="1899-12-30T09:32:00"/>
    <d v="1899-12-30T13:21:00"/>
    <s v="D"/>
    <s v="09:32 AM"/>
    <s v="On Time"/>
    <s v="3 Hours 49 Minutes"/>
    <x v="1"/>
  </r>
  <r>
    <x v="241"/>
    <x v="151"/>
    <x v="7"/>
    <x v="0"/>
    <s v="Chennai"/>
    <x v="5"/>
    <s v="Mani Prabhu"/>
    <n v="83"/>
    <n v="66"/>
    <x v="1"/>
    <n v="10000"/>
    <n v="6030"/>
    <n v="4000"/>
    <x v="0"/>
    <s v="No"/>
    <d v="2025-09-07T00:00:00"/>
    <d v="2025-11-06T00:00:00"/>
    <d v="1899-12-30T09:51:00"/>
    <d v="1899-12-30T12:58:00"/>
    <s v="B"/>
    <s v="09:51 AM"/>
    <s v="On Time"/>
    <s v="3 Hours 7 Minutes"/>
    <x v="1"/>
  </r>
  <r>
    <x v="242"/>
    <x v="152"/>
    <x v="6"/>
    <x v="1"/>
    <s v="Bengaluru"/>
    <x v="3"/>
    <s v="Arun"/>
    <n v="55"/>
    <n v="81"/>
    <x v="0"/>
    <n v="18000"/>
    <n v="18060"/>
    <n v="2000"/>
    <x v="0"/>
    <s v="No"/>
    <d v="2025-01-22T00:00:00"/>
    <d v="2025-03-23T00:00:00"/>
    <d v="1899-12-30T10:55:00"/>
    <d v="1899-12-30T15:10:00"/>
    <s v="D"/>
    <s v="10:55 AM"/>
    <s v="On Time"/>
    <s v="4 Hours 15 Minutes"/>
    <x v="0"/>
  </r>
  <r>
    <x v="243"/>
    <x v="79"/>
    <x v="6"/>
    <x v="0"/>
    <s v="Tirunelveli"/>
    <x v="7"/>
    <s v="Sneha"/>
    <n v="51"/>
    <n v="81"/>
    <x v="0"/>
    <n v="18000"/>
    <n v="18060"/>
    <n v="2000"/>
    <x v="0"/>
    <s v="No"/>
    <d v="2025-06-10T00:00:00"/>
    <d v="2025-10-08T00:00:00"/>
    <d v="1899-12-30T10:53:00"/>
    <d v="1899-12-30T13:40:00"/>
    <s v="D"/>
    <s v="10:53 AM"/>
    <s v="Delayed"/>
    <s v="2 Hours 47 Minutes"/>
    <x v="0"/>
  </r>
  <r>
    <x v="244"/>
    <x v="107"/>
    <x v="2"/>
    <x v="1"/>
    <s v="Trichy"/>
    <x v="7"/>
    <s v="Sneha"/>
    <n v="38"/>
    <n v="99"/>
    <x v="0"/>
    <n v="15000"/>
    <n v="15110"/>
    <n v="2000"/>
    <x v="0"/>
    <s v="No"/>
    <d v="2025-09-24T00:00:00"/>
    <d v="2025-10-24T00:00:00"/>
    <d v="1899-12-30T09:16:00"/>
    <d v="1899-12-30T12:04:00"/>
    <s v="D"/>
    <s v="09:16 AM"/>
    <s v="On Time"/>
    <s v="2 Hours 48 Minutes"/>
    <x v="1"/>
  </r>
  <r>
    <x v="245"/>
    <x v="42"/>
    <x v="6"/>
    <x v="1"/>
    <s v="Kanchipuram"/>
    <x v="3"/>
    <s v="Arun"/>
    <n v="94"/>
    <n v="91"/>
    <x v="2"/>
    <n v="15000"/>
    <n v="15110"/>
    <n v="2000"/>
    <x v="0"/>
    <s v="No"/>
    <d v="2025-09-23T00:00:00"/>
    <d v="2026-03-22T00:00:00"/>
    <d v="1899-12-30T10:30:00"/>
    <d v="1899-12-30T12:29:00"/>
    <s v="A"/>
    <s v="10:30 AM"/>
    <s v="Delayed"/>
    <s v="1 Hours 59 Minutes"/>
    <x v="0"/>
  </r>
  <r>
    <x v="246"/>
    <x v="140"/>
    <x v="0"/>
    <x v="1"/>
    <s v="Erode"/>
    <x v="4"/>
    <s v="John"/>
    <n v="46"/>
    <n v="85"/>
    <x v="0"/>
    <n v="20000"/>
    <n v="19010"/>
    <n v="4000"/>
    <x v="0"/>
    <s v="No"/>
    <d v="2025-09-11T00:00:00"/>
    <d v="2026-03-10T00:00:00"/>
    <d v="1899-12-30T09:02:00"/>
    <d v="1899-12-30T13:11:00"/>
    <s v="D"/>
    <s v="09:02 AM"/>
    <s v="Delayed"/>
    <s v="4 Hours 9 Minutes"/>
    <x v="1"/>
  </r>
  <r>
    <x v="247"/>
    <x v="153"/>
    <x v="9"/>
    <x v="1"/>
    <s v="Trichy"/>
    <x v="6"/>
    <s v="Karthik"/>
    <n v="43"/>
    <n v="74"/>
    <x v="0"/>
    <n v="20000"/>
    <n v="20420"/>
    <n v="2000"/>
    <x v="0"/>
    <s v="No"/>
    <d v="2025-04-11T00:00:00"/>
    <d v="2025-08-09T00:00:00"/>
    <d v="1899-12-30T08:10:00"/>
    <d v="1899-12-30T12:37:00"/>
    <s v="D"/>
    <s v="08:10 AM"/>
    <s v="Delayed"/>
    <s v="4 Hours 27 Minutes"/>
    <x v="1"/>
  </r>
  <r>
    <x v="248"/>
    <x v="16"/>
    <x v="4"/>
    <x v="0"/>
    <s v="Hyderabad"/>
    <x v="6"/>
    <s v="Karthik"/>
    <n v="90"/>
    <n v="69"/>
    <x v="2"/>
    <n v="20000"/>
    <n v="17830"/>
    <n v="4000"/>
    <x v="0"/>
    <s v="Yes"/>
    <d v="2025-03-08T00:00:00"/>
    <d v="2025-07-06T00:00:00"/>
    <d v="1899-12-30T08:40:00"/>
    <d v="1899-12-30T10:38:00"/>
    <s v="A"/>
    <s v="08:40 AM"/>
    <s v="Delayed"/>
    <s v="1 Hours 58 Minutes"/>
    <x v="1"/>
  </r>
  <r>
    <x v="249"/>
    <x v="116"/>
    <x v="3"/>
    <x v="0"/>
    <s v="Coimbatore"/>
    <x v="3"/>
    <s v="Arun"/>
    <n v="66"/>
    <n v="60"/>
    <x v="3"/>
    <n v="18000"/>
    <n v="20060"/>
    <n v="0"/>
    <x v="1"/>
    <s v="No"/>
    <d v="2025-12-17T00:00:00"/>
    <d v="2026-01-16T00:00:00"/>
    <d v="1899-12-30T09:23:00"/>
    <d v="1899-12-30T13:13:00"/>
    <s v="C"/>
    <s v="09:23 AM"/>
    <s v="On Time"/>
    <s v="3 Hours 50 Minutes"/>
    <x v="1"/>
  </r>
  <r>
    <x v="250"/>
    <x v="154"/>
    <x v="9"/>
    <x v="0"/>
    <s v="Coimbatore"/>
    <x v="2"/>
    <s v="Priya"/>
    <n v="52"/>
    <n v="83"/>
    <x v="0"/>
    <n v="10000"/>
    <n v="11210"/>
    <n v="0"/>
    <x v="1"/>
    <s v="No"/>
    <d v="2025-05-29T00:00:00"/>
    <d v="2025-07-28T00:00:00"/>
    <d v="1899-12-30T08:12:00"/>
    <d v="1899-12-30T09:20:00"/>
    <s v="D"/>
    <s v="08:12 AM"/>
    <s v="On Time"/>
    <s v="1 Hours 8 Minutes"/>
    <x v="1"/>
  </r>
  <r>
    <x v="251"/>
    <x v="13"/>
    <x v="7"/>
    <x v="1"/>
    <s v="Chennai"/>
    <x v="4"/>
    <s v="John"/>
    <n v="37"/>
    <n v="84"/>
    <x v="0"/>
    <n v="10000"/>
    <n v="8030"/>
    <n v="2000"/>
    <x v="0"/>
    <s v="No"/>
    <d v="2025-06-07T00:00:00"/>
    <d v="2025-10-05T00:00:00"/>
    <d v="1899-12-30T10:18:00"/>
    <d v="1899-12-30T11:23:00"/>
    <s v="D"/>
    <s v="10:18 AM"/>
    <s v="Delayed"/>
    <s v="1 Hours 5 Minutes"/>
    <x v="0"/>
  </r>
  <r>
    <x v="252"/>
    <x v="90"/>
    <x v="9"/>
    <x v="0"/>
    <s v="Erode"/>
    <x v="0"/>
    <s v="David"/>
    <n v="68"/>
    <n v="87"/>
    <x v="3"/>
    <n v="18000"/>
    <n v="19240"/>
    <n v="2000"/>
    <x v="0"/>
    <s v="No"/>
    <d v="2025-03-07T00:00:00"/>
    <d v="2025-06-05T00:00:00"/>
    <d v="1899-12-30T09:29:00"/>
    <d v="1899-12-30T12:28:00"/>
    <s v="C"/>
    <s v="09:29 AM"/>
    <s v="On Time"/>
    <s v="2 Hours 59 Minutes"/>
    <x v="1"/>
  </r>
  <r>
    <x v="253"/>
    <x v="155"/>
    <x v="10"/>
    <x v="1"/>
    <s v="Salem"/>
    <x v="0"/>
    <s v="David"/>
    <n v="41"/>
    <n v="85"/>
    <x v="0"/>
    <n v="15000"/>
    <n v="15930"/>
    <n v="0"/>
    <x v="1"/>
    <s v="No"/>
    <d v="2025-01-01T00:00:00"/>
    <d v="2025-03-02T00:00:00"/>
    <d v="1899-12-30T08:29:00"/>
    <d v="1899-12-30T12:55:00"/>
    <s v="D"/>
    <s v="08:29 AM"/>
    <s v="On Time"/>
    <s v="4 Hours 26 Minutes"/>
    <x v="1"/>
  </r>
  <r>
    <x v="254"/>
    <x v="156"/>
    <x v="6"/>
    <x v="1"/>
    <s v="Thoothukudi"/>
    <x v="5"/>
    <s v="Mani Prabhu"/>
    <n v="91"/>
    <n v="96"/>
    <x v="2"/>
    <n v="12000"/>
    <n v="13570"/>
    <n v="0"/>
    <x v="1"/>
    <s v="No"/>
    <d v="2025-08-16T00:00:00"/>
    <d v="2026-02-12T00:00:00"/>
    <d v="1899-12-30T09:10:00"/>
    <d v="1899-12-30T13:30:00"/>
    <s v="A"/>
    <s v="09:10 AM"/>
    <s v="Delayed"/>
    <s v="4 Hours 20 Minutes"/>
    <x v="1"/>
  </r>
  <r>
    <x v="255"/>
    <x v="11"/>
    <x v="6"/>
    <x v="0"/>
    <s v="Tirunelveli"/>
    <x v="5"/>
    <s v="Mani Prabhu"/>
    <n v="73"/>
    <n v="61"/>
    <x v="3"/>
    <n v="20000"/>
    <n v="18420"/>
    <n v="4000"/>
    <x v="0"/>
    <s v="No"/>
    <d v="2025-11-08T00:00:00"/>
    <d v="2026-05-07T00:00:00"/>
    <d v="1899-12-30T08:20:00"/>
    <d v="1899-12-30T10:37:00"/>
    <s v="C"/>
    <s v="08:20 AM"/>
    <s v="Delayed"/>
    <s v="2 Hours 17 Minutes"/>
    <x v="1"/>
  </r>
  <r>
    <x v="256"/>
    <x v="21"/>
    <x v="5"/>
    <x v="0"/>
    <s v="Thoothukudi"/>
    <x v="0"/>
    <s v="David"/>
    <n v="53"/>
    <n v="89"/>
    <x v="0"/>
    <n v="20000"/>
    <n v="23600"/>
    <n v="0"/>
    <x v="1"/>
    <s v="No"/>
    <d v="2025-01-03T00:00:00"/>
    <d v="2025-02-02T00:00:00"/>
    <d v="1899-12-30T08:45:00"/>
    <d v="1899-12-30T10:50:00"/>
    <s v="D"/>
    <s v="08:45 AM"/>
    <s v="On Time"/>
    <s v="2 Hours 5 Minutes"/>
    <x v="1"/>
  </r>
  <r>
    <x v="257"/>
    <x v="157"/>
    <x v="4"/>
    <x v="1"/>
    <s v="Chennai"/>
    <x v="6"/>
    <s v="Karthik"/>
    <n v="43"/>
    <n v="70"/>
    <x v="0"/>
    <n v="20000"/>
    <n v="19010"/>
    <n v="4000"/>
    <x v="0"/>
    <s v="No"/>
    <d v="2025-05-28T00:00:00"/>
    <d v="2025-06-27T00:00:00"/>
    <d v="1899-12-30T08:58:00"/>
    <d v="1899-12-30T11:30:00"/>
    <s v="D"/>
    <s v="08:58 AM"/>
    <s v="On Time"/>
    <s v="2 Hours 32 Minutes"/>
    <x v="1"/>
  </r>
  <r>
    <x v="258"/>
    <x v="95"/>
    <x v="6"/>
    <x v="1"/>
    <s v="Vellore"/>
    <x v="5"/>
    <s v="Mani Prabhu"/>
    <n v="62"/>
    <n v="62"/>
    <x v="3"/>
    <n v="18000"/>
    <n v="17240"/>
    <n v="4000"/>
    <x v="0"/>
    <s v="No"/>
    <d v="2025-09-06T00:00:00"/>
    <d v="2025-12-05T00:00:00"/>
    <d v="1899-12-30T09:17:00"/>
    <d v="1899-12-30T12:16:00"/>
    <s v="C"/>
    <s v="09:17 AM"/>
    <s v="On Time"/>
    <s v="2 Hours 59 Minutes"/>
    <x v="1"/>
  </r>
  <r>
    <x v="259"/>
    <x v="19"/>
    <x v="0"/>
    <x v="1"/>
    <s v="Hyderabad"/>
    <x v="2"/>
    <s v="Priya"/>
    <n v="76"/>
    <n v="90"/>
    <x v="1"/>
    <n v="15000"/>
    <n v="13930"/>
    <n v="2000"/>
    <x v="0"/>
    <s v="No"/>
    <d v="2025-02-25T00:00:00"/>
    <d v="2025-05-26T00:00:00"/>
    <d v="1899-12-30T09:05:00"/>
    <d v="1899-12-30T11:14:00"/>
    <s v="B"/>
    <s v="09:05 AM"/>
    <s v="On Time"/>
    <s v="2 Hours 9 Minutes"/>
    <x v="1"/>
  </r>
  <r>
    <x v="260"/>
    <x v="19"/>
    <x v="1"/>
    <x v="1"/>
    <s v="Tirunelveli"/>
    <x v="7"/>
    <s v="Sneha"/>
    <n v="57"/>
    <n v="67"/>
    <x v="0"/>
    <n v="10000"/>
    <n v="8620"/>
    <n v="2000"/>
    <x v="0"/>
    <s v="Yes"/>
    <d v="2025-04-03T00:00:00"/>
    <d v="2025-06-02T00:00:00"/>
    <d v="1899-12-30T10:56:00"/>
    <d v="1899-12-30T12:06:00"/>
    <s v="D"/>
    <s v="10:56 AM"/>
    <s v="On Time"/>
    <s v="1 Hours 10 Minutes"/>
    <x v="0"/>
  </r>
  <r>
    <x v="261"/>
    <x v="158"/>
    <x v="6"/>
    <x v="0"/>
    <s v="Salem"/>
    <x v="0"/>
    <s v="David"/>
    <n v="57"/>
    <n v="99"/>
    <x v="0"/>
    <n v="12000"/>
    <n v="9570"/>
    <n v="4000"/>
    <x v="0"/>
    <s v="No"/>
    <d v="2025-09-28T00:00:00"/>
    <d v="2025-12-27T00:00:00"/>
    <d v="1899-12-30T08:39:00"/>
    <d v="1899-12-30T11:09:00"/>
    <s v="D"/>
    <s v="08:39 AM"/>
    <s v="On Time"/>
    <s v="2 Hours 30 Minutes"/>
    <x v="1"/>
  </r>
  <r>
    <x v="262"/>
    <x v="20"/>
    <x v="0"/>
    <x v="1"/>
    <s v="Erode"/>
    <x v="7"/>
    <s v="Sneha"/>
    <n v="93"/>
    <n v="77"/>
    <x v="2"/>
    <n v="18000"/>
    <n v="18650"/>
    <n v="2000"/>
    <x v="0"/>
    <s v="No"/>
    <d v="2025-02-18T00:00:00"/>
    <d v="2025-06-18T00:00:00"/>
    <d v="1899-12-30T10:01:00"/>
    <d v="1899-12-30T14:55:00"/>
    <s v="A"/>
    <s v="10:01 AM"/>
    <s v="Delayed"/>
    <s v="4 Hours 54 Minutes"/>
    <x v="0"/>
  </r>
  <r>
    <x v="263"/>
    <x v="25"/>
    <x v="7"/>
    <x v="1"/>
    <s v="Madurai"/>
    <x v="1"/>
    <s v="Nandhini"/>
    <n v="68"/>
    <n v="70"/>
    <x v="3"/>
    <n v="10000"/>
    <n v="7800"/>
    <n v="4000"/>
    <x v="0"/>
    <s v="No"/>
    <d v="2025-01-21T00:00:00"/>
    <d v="2025-05-21T00:00:00"/>
    <d v="1899-12-30T08:01:00"/>
    <d v="1899-12-30T12:49:00"/>
    <s v="C"/>
    <s v="08:01 AM"/>
    <s v="Delayed"/>
    <s v="4 Hours 48 Minutes"/>
    <x v="1"/>
  </r>
  <r>
    <x v="264"/>
    <x v="113"/>
    <x v="5"/>
    <x v="0"/>
    <s v="Hyderabad"/>
    <x v="2"/>
    <s v="Priya"/>
    <n v="53"/>
    <n v="72"/>
    <x v="0"/>
    <n v="12000"/>
    <n v="10980"/>
    <n v="2000"/>
    <x v="0"/>
    <s v="No"/>
    <d v="2025-03-11T00:00:00"/>
    <d v="2025-07-09T00:00:00"/>
    <d v="1899-12-30T10:55:00"/>
    <d v="1899-12-30T12:15:00"/>
    <s v="D"/>
    <s v="10:55 AM"/>
    <s v="Delayed"/>
    <s v="1 Hours 20 Minutes"/>
    <x v="0"/>
  </r>
  <r>
    <x v="265"/>
    <x v="159"/>
    <x v="0"/>
    <x v="1"/>
    <s v="Hyderabad"/>
    <x v="3"/>
    <s v="Arun"/>
    <n v="89"/>
    <n v="71"/>
    <x v="1"/>
    <n v="12000"/>
    <n v="12160"/>
    <n v="2000"/>
    <x v="0"/>
    <s v="No"/>
    <d v="2025-03-05T00:00:00"/>
    <d v="2025-07-03T00:00:00"/>
    <d v="1899-12-30T08:29:00"/>
    <d v="1899-12-30T10:40:00"/>
    <s v="B"/>
    <s v="08:29 AM"/>
    <s v="Delayed"/>
    <s v="2 Hours 11 Minutes"/>
    <x v="1"/>
  </r>
  <r>
    <x v="266"/>
    <x v="160"/>
    <x v="8"/>
    <x v="0"/>
    <s v="Hyderabad"/>
    <x v="7"/>
    <s v="Sneha"/>
    <n v="67"/>
    <n v="68"/>
    <x v="3"/>
    <n v="10000"/>
    <n v="11800"/>
    <n v="0"/>
    <x v="1"/>
    <s v="No"/>
    <d v="2025-12-26T00:00:00"/>
    <d v="2026-06-24T00:00:00"/>
    <d v="1899-12-30T10:29:00"/>
    <d v="1899-12-30T11:38:00"/>
    <s v="C"/>
    <s v="10:29 AM"/>
    <s v="Delayed"/>
    <s v="1 Hours 9 Minutes"/>
    <x v="0"/>
  </r>
  <r>
    <x v="267"/>
    <x v="127"/>
    <x v="1"/>
    <x v="0"/>
    <s v="Bengaluru"/>
    <x v="2"/>
    <s v="Priya"/>
    <n v="76"/>
    <n v="98"/>
    <x v="1"/>
    <n v="10000"/>
    <n v="7210"/>
    <n v="4000"/>
    <x v="0"/>
    <s v="No"/>
    <d v="2025-11-06T00:00:00"/>
    <d v="2026-01-05T00:00:00"/>
    <d v="1899-12-30T10:59:00"/>
    <d v="1899-12-30T15:35:00"/>
    <s v="B"/>
    <s v="10:59 AM"/>
    <s v="On Time"/>
    <s v="4 Hours 36 Minutes"/>
    <x v="0"/>
  </r>
  <r>
    <x v="268"/>
    <x v="73"/>
    <x v="4"/>
    <x v="1"/>
    <s v="Bengaluru"/>
    <x v="6"/>
    <s v="Karthik"/>
    <n v="73"/>
    <n v="72"/>
    <x v="3"/>
    <n v="12000"/>
    <n v="10980"/>
    <n v="2000"/>
    <x v="0"/>
    <s v="No"/>
    <d v="2025-11-08T00:00:00"/>
    <d v="2025-12-08T00:00:00"/>
    <d v="1899-12-30T09:50:00"/>
    <d v="1899-12-30T12:25:00"/>
    <s v="C"/>
    <s v="09:50 AM"/>
    <s v="On Time"/>
    <s v="2 Hours 35 Minutes"/>
    <x v="1"/>
  </r>
  <r>
    <x v="269"/>
    <x v="161"/>
    <x v="0"/>
    <x v="1"/>
    <s v="Salem"/>
    <x v="5"/>
    <s v="Mani Prabhu"/>
    <n v="55"/>
    <n v="75"/>
    <x v="0"/>
    <n v="10000"/>
    <n v="9210"/>
    <n v="2000"/>
    <x v="0"/>
    <s v="No"/>
    <d v="2025-10-15T00:00:00"/>
    <d v="2026-02-12T00:00:00"/>
    <d v="1899-12-30T10:14:00"/>
    <d v="1899-12-30T15:05:00"/>
    <s v="D"/>
    <s v="10:14 AM"/>
    <s v="Delayed"/>
    <s v="4 Hours 51 Minutes"/>
    <x v="0"/>
  </r>
  <r>
    <x v="270"/>
    <x v="72"/>
    <x v="8"/>
    <x v="0"/>
    <s v="Tirunelveli"/>
    <x v="2"/>
    <s v="Priya"/>
    <n v="86"/>
    <n v="84"/>
    <x v="1"/>
    <n v="12000"/>
    <n v="9570"/>
    <n v="4000"/>
    <x v="0"/>
    <s v="No"/>
    <d v="2025-12-06T00:00:00"/>
    <d v="2026-06-04T00:00:00"/>
    <d v="1899-12-30T08:31:00"/>
    <d v="1899-12-30T12:15:00"/>
    <s v="B"/>
    <s v="08:31 AM"/>
    <s v="Delayed"/>
    <s v="3 Hours 44 Minutes"/>
    <x v="1"/>
  </r>
  <r>
    <x v="271"/>
    <x v="20"/>
    <x v="2"/>
    <x v="1"/>
    <s v="Tirunelveli"/>
    <x v="3"/>
    <s v="Arun"/>
    <n v="90"/>
    <n v="81"/>
    <x v="2"/>
    <n v="15000"/>
    <n v="11930"/>
    <n v="4000"/>
    <x v="0"/>
    <s v="No"/>
    <d v="2025-02-21T00:00:00"/>
    <d v="2025-04-22T00:00:00"/>
    <d v="1899-12-30T08:56:00"/>
    <d v="1899-12-30T12:02:00"/>
    <s v="A"/>
    <s v="08:56 AM"/>
    <s v="On Time"/>
    <s v="3 Hours 6 Minutes"/>
    <x v="1"/>
  </r>
  <r>
    <x v="272"/>
    <x v="16"/>
    <x v="0"/>
    <x v="1"/>
    <s v="Tirunelveli"/>
    <x v="7"/>
    <s v="Sneha"/>
    <n v="57"/>
    <n v="87"/>
    <x v="0"/>
    <n v="12000"/>
    <n v="11570"/>
    <n v="2000"/>
    <x v="0"/>
    <s v="No"/>
    <d v="2025-03-13T00:00:00"/>
    <d v="2025-05-12T00:00:00"/>
    <d v="1899-12-30T09:04:00"/>
    <d v="1899-12-30T13:28:00"/>
    <s v="D"/>
    <s v="09:04 AM"/>
    <s v="On Time"/>
    <s v="4 Hours 24 Minutes"/>
    <x v="1"/>
  </r>
  <r>
    <x v="273"/>
    <x v="3"/>
    <x v="9"/>
    <x v="1"/>
    <s v="Kanchipuram"/>
    <x v="0"/>
    <s v="David"/>
    <n v="50"/>
    <n v="64"/>
    <x v="0"/>
    <n v="20000"/>
    <n v="21010"/>
    <n v="2000"/>
    <x v="0"/>
    <s v="No"/>
    <d v="2025-04-27T00:00:00"/>
    <d v="2025-10-24T00:00:00"/>
    <d v="1899-12-30T08:59:00"/>
    <d v="1899-12-30T12:04:00"/>
    <s v="D"/>
    <s v="08:59 AM"/>
    <s v="Delayed"/>
    <s v="3 Hours 5 Minutes"/>
    <x v="1"/>
  </r>
  <r>
    <x v="274"/>
    <x v="162"/>
    <x v="0"/>
    <x v="0"/>
    <s v="Trichy"/>
    <x v="6"/>
    <s v="Karthik"/>
    <n v="63"/>
    <n v="90"/>
    <x v="3"/>
    <n v="15000"/>
    <n v="13110"/>
    <n v="4000"/>
    <x v="0"/>
    <s v="No"/>
    <d v="2025-06-24T00:00:00"/>
    <d v="2025-07-24T00:00:00"/>
    <d v="1899-12-30T08:21:00"/>
    <d v="1899-12-30T13:17:00"/>
    <s v="C"/>
    <s v="08:21 AM"/>
    <s v="On Time"/>
    <s v="4 Hours 56 Minutes"/>
    <x v="1"/>
  </r>
  <r>
    <x v="275"/>
    <x v="163"/>
    <x v="4"/>
    <x v="0"/>
    <s v="Kanchipuram"/>
    <x v="5"/>
    <s v="Mani Prabhu"/>
    <n v="56"/>
    <n v="99"/>
    <x v="0"/>
    <n v="12000"/>
    <n v="14160"/>
    <n v="0"/>
    <x v="1"/>
    <s v="No"/>
    <d v="2025-03-23T00:00:00"/>
    <d v="2025-09-19T00:00:00"/>
    <d v="1899-12-30T09:07:00"/>
    <d v="1899-12-30T10:57:00"/>
    <s v="D"/>
    <s v="09:07 AM"/>
    <s v="Delayed"/>
    <s v="1 Hours 50 Minutes"/>
    <x v="1"/>
  </r>
  <r>
    <x v="276"/>
    <x v="4"/>
    <x v="6"/>
    <x v="0"/>
    <s v="Madurai"/>
    <x v="6"/>
    <s v="Karthik"/>
    <n v="85"/>
    <n v="90"/>
    <x v="1"/>
    <n v="20000"/>
    <n v="23600"/>
    <n v="0"/>
    <x v="1"/>
    <s v="No"/>
    <d v="2025-07-29T00:00:00"/>
    <d v="2025-11-26T00:00:00"/>
    <d v="1899-12-30T10:39:00"/>
    <d v="1899-12-30T15:39:00"/>
    <s v="B"/>
    <s v="10:39 AM"/>
    <s v="Delayed"/>
    <s v="5 Hours 0 Minutes"/>
    <x v="0"/>
  </r>
  <r>
    <x v="277"/>
    <x v="156"/>
    <x v="4"/>
    <x v="1"/>
    <s v="Chennai"/>
    <x v="6"/>
    <s v="Karthik"/>
    <n v="92"/>
    <n v="65"/>
    <x v="2"/>
    <n v="10000"/>
    <n v="10030"/>
    <n v="0"/>
    <x v="1"/>
    <s v="No"/>
    <d v="2025-05-10T00:00:00"/>
    <d v="2025-06-09T00:00:00"/>
    <d v="1899-12-30T08:45:00"/>
    <d v="1899-12-30T12:39:00"/>
    <s v="A"/>
    <s v="08:45 AM"/>
    <s v="On Time"/>
    <s v="3 Hours 54 Minutes"/>
    <x v="1"/>
  </r>
  <r>
    <x v="278"/>
    <x v="54"/>
    <x v="8"/>
    <x v="1"/>
    <s v="Vellore"/>
    <x v="5"/>
    <s v="Mani Prabhu"/>
    <n v="86"/>
    <n v="83"/>
    <x v="1"/>
    <n v="12000"/>
    <n v="10160"/>
    <n v="4000"/>
    <x v="0"/>
    <s v="No"/>
    <d v="2025-03-21T00:00:00"/>
    <d v="2025-06-19T00:00:00"/>
    <d v="1899-12-30T08:21:00"/>
    <d v="1899-12-30T13:20:00"/>
    <s v="B"/>
    <s v="08:21 AM"/>
    <s v="On Time"/>
    <s v="4 Hours 59 Minutes"/>
    <x v="1"/>
  </r>
  <r>
    <x v="279"/>
    <x v="164"/>
    <x v="1"/>
    <x v="0"/>
    <s v="Vellore"/>
    <x v="4"/>
    <s v="John"/>
    <n v="99"/>
    <n v="75"/>
    <x v="2"/>
    <n v="20000"/>
    <n v="20420"/>
    <n v="2000"/>
    <x v="0"/>
    <s v="No"/>
    <d v="2025-12-24T00:00:00"/>
    <d v="2026-01-23T00:00:00"/>
    <d v="1899-12-30T10:37:00"/>
    <d v="1899-12-30T13:01:00"/>
    <s v="A"/>
    <s v="10:37 AM"/>
    <s v="On Time"/>
    <s v="2 Hours 24 Minutes"/>
    <x v="0"/>
  </r>
  <r>
    <x v="280"/>
    <x v="151"/>
    <x v="8"/>
    <x v="0"/>
    <s v="Hyderabad"/>
    <x v="3"/>
    <s v="Arun"/>
    <n v="52"/>
    <n v="93"/>
    <x v="0"/>
    <n v="20000"/>
    <n v="17830"/>
    <n v="4000"/>
    <x v="0"/>
    <s v="No"/>
    <d v="2025-05-07T00:00:00"/>
    <d v="2025-06-06T00:00:00"/>
    <d v="1899-12-30T09:20:00"/>
    <d v="1899-12-30T12:13:00"/>
    <s v="D"/>
    <s v="09:20 AM"/>
    <s v="On Time"/>
    <s v="2 Hours 53 Minutes"/>
    <x v="1"/>
  </r>
  <r>
    <x v="281"/>
    <x v="165"/>
    <x v="4"/>
    <x v="1"/>
    <s v="Hyderabad"/>
    <x v="6"/>
    <s v="Karthik"/>
    <n v="54"/>
    <n v="90"/>
    <x v="0"/>
    <n v="20000"/>
    <n v="20420"/>
    <n v="2000"/>
    <x v="0"/>
    <s v="No"/>
    <d v="2025-05-01T00:00:00"/>
    <d v="2025-10-28T00:00:00"/>
    <d v="1899-12-30T08:20:00"/>
    <d v="1899-12-30T13:02:00"/>
    <s v="D"/>
    <s v="08:20 AM"/>
    <s v="Delayed"/>
    <s v="4 Hours 42 Minutes"/>
    <x v="1"/>
  </r>
  <r>
    <x v="282"/>
    <x v="95"/>
    <x v="10"/>
    <x v="0"/>
    <s v="Tirunelveli"/>
    <x v="3"/>
    <s v="Arun"/>
    <n v="62"/>
    <n v="84"/>
    <x v="3"/>
    <n v="20000"/>
    <n v="19830"/>
    <n v="2000"/>
    <x v="0"/>
    <s v="No"/>
    <d v="2025-10-25T00:00:00"/>
    <d v="2026-02-22T00:00:00"/>
    <d v="1899-12-30T10:56:00"/>
    <d v="1899-12-30T12:53:00"/>
    <s v="C"/>
    <s v="10:56 AM"/>
    <s v="Delayed"/>
    <s v="1 Hours 57 Minutes"/>
    <x v="0"/>
  </r>
  <r>
    <x v="283"/>
    <x v="26"/>
    <x v="6"/>
    <x v="0"/>
    <s v="Kanchipuram"/>
    <x v="3"/>
    <s v="Arun"/>
    <n v="82"/>
    <n v="69"/>
    <x v="1"/>
    <n v="20000"/>
    <n v="19010"/>
    <n v="4000"/>
    <x v="0"/>
    <s v="Yes"/>
    <d v="2025-08-05T00:00:00"/>
    <d v="2025-09-04T00:00:00"/>
    <d v="1899-12-30T09:35:00"/>
    <d v="1899-12-30T10:38:00"/>
    <s v="B"/>
    <s v="09:35 AM"/>
    <s v="On Time"/>
    <s v="1 Hours 3 Minutes"/>
    <x v="1"/>
  </r>
  <r>
    <x v="284"/>
    <x v="166"/>
    <x v="8"/>
    <x v="0"/>
    <s v="Madurai"/>
    <x v="5"/>
    <s v="Mani Prabhu"/>
    <n v="45"/>
    <n v="92"/>
    <x v="0"/>
    <n v="12000"/>
    <n v="9570"/>
    <n v="4000"/>
    <x v="0"/>
    <s v="No"/>
    <d v="2025-02-05T00:00:00"/>
    <d v="2025-05-06T00:00:00"/>
    <d v="1899-12-30T10:26:00"/>
    <d v="1899-12-30T11:55:00"/>
    <s v="D"/>
    <s v="10:26 AM"/>
    <s v="On Time"/>
    <s v="1 Hours 29 Minutes"/>
    <x v="0"/>
  </r>
  <r>
    <x v="285"/>
    <x v="143"/>
    <x v="5"/>
    <x v="0"/>
    <s v="Chennai"/>
    <x v="2"/>
    <s v="Priya"/>
    <n v="46"/>
    <n v="94"/>
    <x v="0"/>
    <n v="18000"/>
    <n v="19470"/>
    <n v="0"/>
    <x v="1"/>
    <s v="No"/>
    <d v="2025-11-08T00:00:00"/>
    <d v="2026-02-06T00:00:00"/>
    <d v="1899-12-30T10:52:00"/>
    <d v="1899-12-30T13:03:00"/>
    <s v="D"/>
    <s v="10:52 AM"/>
    <s v="On Time"/>
    <s v="2 Hours 11 Minutes"/>
    <x v="0"/>
  </r>
  <r>
    <x v="286"/>
    <x v="167"/>
    <x v="10"/>
    <x v="0"/>
    <s v="Tirunelveli"/>
    <x v="0"/>
    <s v="David"/>
    <n v="41"/>
    <n v="64"/>
    <x v="0"/>
    <n v="15000"/>
    <n v="14520"/>
    <n v="2000"/>
    <x v="0"/>
    <s v="No"/>
    <d v="2025-12-19T00:00:00"/>
    <d v="2026-04-18T00:00:00"/>
    <d v="1899-12-30T09:46:00"/>
    <d v="1899-12-30T13:02:00"/>
    <s v="D"/>
    <s v="09:46 AM"/>
    <s v="Delayed"/>
    <s v="3 Hours 16 Minutes"/>
    <x v="1"/>
  </r>
  <r>
    <x v="287"/>
    <x v="25"/>
    <x v="6"/>
    <x v="0"/>
    <s v="Chennai"/>
    <x v="7"/>
    <s v="Sneha"/>
    <n v="46"/>
    <n v="88"/>
    <x v="0"/>
    <n v="20000"/>
    <n v="17830"/>
    <n v="4000"/>
    <x v="0"/>
    <s v="No"/>
    <d v="2025-12-28T00:00:00"/>
    <d v="2026-03-28T00:00:00"/>
    <d v="1899-12-30T10:54:00"/>
    <d v="1899-12-30T13:05:00"/>
    <s v="D"/>
    <s v="10:54 AM"/>
    <s v="On Time"/>
    <s v="2 Hours 11 Minutes"/>
    <x v="0"/>
  </r>
  <r>
    <x v="288"/>
    <x v="144"/>
    <x v="8"/>
    <x v="1"/>
    <s v="Chennai"/>
    <x v="5"/>
    <s v="Mani Prabhu"/>
    <n v="87"/>
    <n v="72"/>
    <x v="1"/>
    <n v="10000"/>
    <n v="6030"/>
    <n v="4000"/>
    <x v="0"/>
    <s v="No"/>
    <d v="2025-01-16T00:00:00"/>
    <d v="2025-05-16T00:00:00"/>
    <d v="1899-12-30T08:31:00"/>
    <d v="1899-12-30T12:00:00"/>
    <s v="B"/>
    <s v="08:31 AM"/>
    <s v="Delayed"/>
    <s v="3 Hours 29 Minutes"/>
    <x v="1"/>
  </r>
  <r>
    <x v="289"/>
    <x v="114"/>
    <x v="0"/>
    <x v="0"/>
    <s v="Chennai"/>
    <x v="5"/>
    <s v="Mani Prabhu"/>
    <n v="99"/>
    <n v="86"/>
    <x v="2"/>
    <n v="15000"/>
    <n v="13110"/>
    <n v="4000"/>
    <x v="0"/>
    <s v="No"/>
    <d v="2025-02-15T00:00:00"/>
    <d v="2025-06-15T00:00:00"/>
    <d v="1899-12-30T10:18:00"/>
    <d v="1899-12-30T15:12:00"/>
    <s v="A"/>
    <s v="10:18 AM"/>
    <s v="Delayed"/>
    <s v="4 Hours 54 Minutes"/>
    <x v="0"/>
  </r>
  <r>
    <x v="290"/>
    <x v="152"/>
    <x v="1"/>
    <x v="0"/>
    <s v="Erode"/>
    <x v="1"/>
    <s v="Nandhini"/>
    <n v="46"/>
    <n v="70"/>
    <x v="0"/>
    <n v="12000"/>
    <n v="9570"/>
    <n v="4000"/>
    <x v="0"/>
    <s v="No"/>
    <d v="2025-02-22T00:00:00"/>
    <d v="2025-06-22T00:00:00"/>
    <d v="1899-12-30T08:28:00"/>
    <d v="1899-12-30T10:33:00"/>
    <s v="D"/>
    <s v="08:28 AM"/>
    <s v="Delayed"/>
    <s v="2 Hours 5 Minutes"/>
    <x v="1"/>
  </r>
  <r>
    <x v="291"/>
    <x v="90"/>
    <x v="2"/>
    <x v="1"/>
    <s v="Coimbatore"/>
    <x v="6"/>
    <s v="Karthik"/>
    <n v="61"/>
    <n v="76"/>
    <x v="3"/>
    <n v="18000"/>
    <n v="15470"/>
    <n v="4000"/>
    <x v="0"/>
    <s v="No"/>
    <d v="2025-02-08T00:00:00"/>
    <d v="2025-08-07T00:00:00"/>
    <d v="1899-12-30T10:19:00"/>
    <d v="1899-12-30T11:22:00"/>
    <s v="C"/>
    <s v="10:19 AM"/>
    <s v="Delayed"/>
    <s v="1 Hours 3 Minutes"/>
    <x v="0"/>
  </r>
  <r>
    <x v="292"/>
    <x v="144"/>
    <x v="6"/>
    <x v="1"/>
    <s v="Erode"/>
    <x v="6"/>
    <s v="Karthik"/>
    <n v="79"/>
    <n v="61"/>
    <x v="1"/>
    <n v="18000"/>
    <n v="20060"/>
    <n v="0"/>
    <x v="1"/>
    <s v="No"/>
    <d v="2025-04-14T00:00:00"/>
    <d v="2025-08-12T00:00:00"/>
    <d v="1899-12-30T10:44:00"/>
    <d v="1899-12-30T15:07:00"/>
    <s v="B"/>
    <s v="10:44 AM"/>
    <s v="Delayed"/>
    <s v="4 Hours 23 Minutes"/>
    <x v="0"/>
  </r>
  <r>
    <x v="293"/>
    <x v="168"/>
    <x v="2"/>
    <x v="0"/>
    <s v="Salem"/>
    <x v="4"/>
    <s v="John"/>
    <n v="59"/>
    <n v="95"/>
    <x v="0"/>
    <n v="10000"/>
    <n v="6030"/>
    <n v="4000"/>
    <x v="0"/>
    <s v="No"/>
    <d v="2025-09-01T00:00:00"/>
    <d v="2025-12-30T00:00:00"/>
    <d v="1899-12-30T08:52:00"/>
    <d v="1899-12-30T10:06:00"/>
    <s v="D"/>
    <s v="08:52 AM"/>
    <s v="Delayed"/>
    <s v="1 Hours 14 Minutes"/>
    <x v="1"/>
  </r>
  <r>
    <x v="294"/>
    <x v="35"/>
    <x v="0"/>
    <x v="1"/>
    <s v="Kanchipuram"/>
    <x v="6"/>
    <s v="Karthik"/>
    <n v="88"/>
    <n v="75"/>
    <x v="1"/>
    <n v="10000"/>
    <n v="9800"/>
    <n v="2000"/>
    <x v="0"/>
    <s v="No"/>
    <d v="2025-10-03T00:00:00"/>
    <d v="2026-01-01T00:00:00"/>
    <d v="1899-12-30T09:33:00"/>
    <d v="1899-12-30T12:12:00"/>
    <s v="B"/>
    <s v="09:33 AM"/>
    <s v="On Time"/>
    <s v="2 Hours 39 Minutes"/>
    <x v="1"/>
  </r>
  <r>
    <x v="295"/>
    <x v="136"/>
    <x v="10"/>
    <x v="0"/>
    <s v="Thoothukudi"/>
    <x v="4"/>
    <s v="John"/>
    <n v="74"/>
    <n v="95"/>
    <x v="3"/>
    <n v="18000"/>
    <n v="15470"/>
    <n v="4000"/>
    <x v="0"/>
    <s v="No"/>
    <d v="2025-06-17T00:00:00"/>
    <d v="2025-08-16T00:00:00"/>
    <d v="1899-12-30T08:11:00"/>
    <d v="1899-12-30T12:21:00"/>
    <s v="C"/>
    <s v="08:11 AM"/>
    <s v="On Time"/>
    <s v="4 Hours 10 Minutes"/>
    <x v="1"/>
  </r>
  <r>
    <x v="296"/>
    <x v="48"/>
    <x v="0"/>
    <x v="0"/>
    <s v="Hyderabad"/>
    <x v="5"/>
    <s v="Mani Prabhu"/>
    <n v="65"/>
    <n v="96"/>
    <x v="3"/>
    <n v="18000"/>
    <n v="17240"/>
    <n v="4000"/>
    <x v="0"/>
    <s v="No"/>
    <d v="2025-04-01T00:00:00"/>
    <d v="2025-07-30T00:00:00"/>
    <d v="1899-12-30T10:03:00"/>
    <d v="1899-12-30T14:41:00"/>
    <s v="C"/>
    <s v="10:03 AM"/>
    <s v="Delayed"/>
    <s v="4 Hours 38 Minutes"/>
    <x v="0"/>
  </r>
  <r>
    <x v="297"/>
    <x v="66"/>
    <x v="3"/>
    <x v="0"/>
    <s v="Vellore"/>
    <x v="3"/>
    <s v="Arun"/>
    <n v="94"/>
    <n v="76"/>
    <x v="2"/>
    <n v="20000"/>
    <n v="19830"/>
    <n v="2000"/>
    <x v="0"/>
    <s v="No"/>
    <d v="2025-05-15T00:00:00"/>
    <d v="2025-08-13T00:00:00"/>
    <d v="1899-12-30T10:39:00"/>
    <d v="1899-12-30T12:58:00"/>
    <s v="A"/>
    <s v="10:39 AM"/>
    <s v="On Time"/>
    <s v="2 Hours 19 Minutes"/>
    <x v="0"/>
  </r>
  <r>
    <x v="298"/>
    <x v="115"/>
    <x v="9"/>
    <x v="1"/>
    <s v="Hyderabad"/>
    <x v="4"/>
    <s v="John"/>
    <n v="48"/>
    <n v="93"/>
    <x v="0"/>
    <n v="12000"/>
    <n v="8390"/>
    <n v="4000"/>
    <x v="0"/>
    <s v="No"/>
    <d v="2025-01-13T00:00:00"/>
    <d v="2025-04-13T00:00:00"/>
    <d v="1899-12-30T10:20:00"/>
    <d v="1899-12-30T13:14:00"/>
    <s v="D"/>
    <s v="10:20 AM"/>
    <s v="On Time"/>
    <s v="2 Hours 54 Minutes"/>
    <x v="0"/>
  </r>
  <r>
    <x v="299"/>
    <x v="165"/>
    <x v="8"/>
    <x v="1"/>
    <s v="Erode"/>
    <x v="7"/>
    <s v="Sneha"/>
    <n v="78"/>
    <n v="72"/>
    <x v="1"/>
    <n v="10000"/>
    <n v="7800"/>
    <n v="4000"/>
    <x v="0"/>
    <s v="No"/>
    <d v="2025-11-11T00:00:00"/>
    <d v="2026-02-09T00:00:00"/>
    <d v="1899-12-30T10:07:00"/>
    <d v="1899-12-30T12:26:00"/>
    <s v="B"/>
    <s v="10:07 AM"/>
    <s v="On Time"/>
    <s v="2 Hours 19 Minutes"/>
    <x v="0"/>
  </r>
  <r>
    <x v="300"/>
    <x v="169"/>
    <x v="9"/>
    <x v="1"/>
    <s v="Hyderabad"/>
    <x v="3"/>
    <s v="Arun"/>
    <n v="49"/>
    <n v="63"/>
    <x v="0"/>
    <n v="20000"/>
    <n v="17830"/>
    <n v="4000"/>
    <x v="0"/>
    <s v="No"/>
    <d v="2025-11-04T00:00:00"/>
    <d v="2025-12-04T00:00:00"/>
    <d v="1899-12-30T08:36:00"/>
    <d v="1899-12-30T12:54:00"/>
    <s v="D"/>
    <s v="08:36 AM"/>
    <s v="On Time"/>
    <s v="4 Hours 18 Minutes"/>
    <x v="1"/>
  </r>
  <r>
    <x v="301"/>
    <x v="170"/>
    <x v="2"/>
    <x v="0"/>
    <s v="Hyderabad"/>
    <x v="7"/>
    <s v="Sneha"/>
    <n v="38"/>
    <n v="86"/>
    <x v="0"/>
    <n v="10000"/>
    <n v="10030"/>
    <n v="0"/>
    <x v="1"/>
    <s v="No"/>
    <d v="2025-01-22T00:00:00"/>
    <d v="2025-03-23T00:00:00"/>
    <d v="1899-12-30T10:48:00"/>
    <d v="1899-12-30T15:44:00"/>
    <s v="D"/>
    <s v="10:48 AM"/>
    <s v="On Time"/>
    <s v="4 Hours 56 Minutes"/>
    <x v="0"/>
  </r>
  <r>
    <x v="302"/>
    <x v="42"/>
    <x v="5"/>
    <x v="1"/>
    <s v="Coimbatore"/>
    <x v="3"/>
    <s v="Arun"/>
    <n v="65"/>
    <n v="72"/>
    <x v="3"/>
    <n v="12000"/>
    <n v="12980"/>
    <n v="0"/>
    <x v="1"/>
    <s v="No"/>
    <d v="2025-11-08T00:00:00"/>
    <d v="2025-12-08T00:00:00"/>
    <d v="1899-12-30T09:02:00"/>
    <d v="1899-12-30T11:10:00"/>
    <s v="C"/>
    <s v="09:02 AM"/>
    <s v="On Time"/>
    <s v="2 Hours 8 Minutes"/>
    <x v="1"/>
  </r>
  <r>
    <x v="303"/>
    <x v="135"/>
    <x v="1"/>
    <x v="0"/>
    <s v="Salem"/>
    <x v="5"/>
    <s v="Mani Prabhu"/>
    <n v="47"/>
    <n v="73"/>
    <x v="0"/>
    <n v="10000"/>
    <n v="9210"/>
    <n v="2000"/>
    <x v="0"/>
    <s v="No"/>
    <d v="2025-09-25T00:00:00"/>
    <d v="2025-12-24T00:00:00"/>
    <d v="1899-12-30T10:31:00"/>
    <d v="1899-12-30T12:48:00"/>
    <s v="D"/>
    <s v="10:31 AM"/>
    <s v="On Time"/>
    <s v="2 Hours 17 Minutes"/>
    <x v="0"/>
  </r>
  <r>
    <x v="304"/>
    <x v="92"/>
    <x v="10"/>
    <x v="1"/>
    <s v="Kanchipuram"/>
    <x v="3"/>
    <s v="Arun"/>
    <n v="56"/>
    <n v="89"/>
    <x v="0"/>
    <n v="18000"/>
    <n v="18650"/>
    <n v="2000"/>
    <x v="0"/>
    <s v="No"/>
    <d v="2025-01-22T00:00:00"/>
    <d v="2025-03-23T00:00:00"/>
    <d v="1899-12-30T08:07:00"/>
    <d v="1899-12-30T11:19:00"/>
    <s v="D"/>
    <s v="08:07 AM"/>
    <s v="On Time"/>
    <s v="3 Hours 12 Minutes"/>
    <x v="1"/>
  </r>
  <r>
    <x v="305"/>
    <x v="134"/>
    <x v="1"/>
    <x v="1"/>
    <s v="Chennai"/>
    <x v="7"/>
    <s v="Sneha"/>
    <n v="100"/>
    <n v="93"/>
    <x v="2"/>
    <n v="18000"/>
    <n v="19470"/>
    <n v="0"/>
    <x v="1"/>
    <s v="No"/>
    <d v="2025-07-08T00:00:00"/>
    <d v="2025-08-07T00:00:00"/>
    <d v="1899-12-30T08:24:00"/>
    <d v="1899-12-30T13:09:00"/>
    <s v="A"/>
    <s v="08:24 AM"/>
    <s v="On Time"/>
    <s v="4 Hours 45 Minutes"/>
    <x v="1"/>
  </r>
  <r>
    <x v="306"/>
    <x v="171"/>
    <x v="2"/>
    <x v="1"/>
    <s v="Salem"/>
    <x v="0"/>
    <s v="David"/>
    <n v="100"/>
    <n v="98"/>
    <x v="2"/>
    <n v="15000"/>
    <n v="17110"/>
    <n v="0"/>
    <x v="1"/>
    <s v="No"/>
    <d v="2025-01-30T00:00:00"/>
    <d v="2025-07-29T00:00:00"/>
    <d v="1899-12-30T08:37:00"/>
    <d v="1899-12-30T10:11:00"/>
    <s v="A"/>
    <s v="08:37 AM"/>
    <s v="Delayed"/>
    <s v="1 Hours 34 Minutes"/>
    <x v="1"/>
  </r>
  <r>
    <x v="307"/>
    <x v="172"/>
    <x v="3"/>
    <x v="1"/>
    <s v="Madurai"/>
    <x v="3"/>
    <s v="Arun"/>
    <n v="91"/>
    <n v="93"/>
    <x v="2"/>
    <n v="20000"/>
    <n v="22420"/>
    <n v="0"/>
    <x v="1"/>
    <s v="No"/>
    <d v="2025-11-22T00:00:00"/>
    <d v="2026-02-20T00:00:00"/>
    <d v="1899-12-30T10:15:00"/>
    <d v="1899-12-30T11:56:00"/>
    <s v="A"/>
    <s v="10:15 AM"/>
    <s v="On Time"/>
    <s v="1 Hours 41 Minutes"/>
    <x v="0"/>
  </r>
  <r>
    <x v="308"/>
    <x v="102"/>
    <x v="4"/>
    <x v="0"/>
    <s v="Erode"/>
    <x v="7"/>
    <s v="Sneha"/>
    <n v="47"/>
    <n v="88"/>
    <x v="0"/>
    <n v="12000"/>
    <n v="8980"/>
    <n v="4000"/>
    <x v="0"/>
    <s v="No"/>
    <d v="2025-04-12T00:00:00"/>
    <d v="2025-06-11T00:00:00"/>
    <d v="1899-12-30T10:04:00"/>
    <d v="1899-12-30T12:06:00"/>
    <s v="D"/>
    <s v="10:04 AM"/>
    <s v="On Time"/>
    <s v="2 Hours 2 Minutes"/>
    <x v="0"/>
  </r>
  <r>
    <x v="309"/>
    <x v="173"/>
    <x v="6"/>
    <x v="0"/>
    <s v="Coimbatore"/>
    <x v="1"/>
    <s v="Nandhini"/>
    <n v="85"/>
    <n v="100"/>
    <x v="1"/>
    <n v="10000"/>
    <n v="10030"/>
    <n v="0"/>
    <x v="1"/>
    <s v="No"/>
    <d v="2025-04-01T00:00:00"/>
    <d v="2025-09-28T00:00:00"/>
    <d v="1899-12-30T09:08:00"/>
    <d v="1899-12-30T13:34:00"/>
    <s v="B"/>
    <s v="09:08 AM"/>
    <s v="Delayed"/>
    <s v="4 Hours 26 Minutes"/>
    <x v="1"/>
  </r>
  <r>
    <x v="310"/>
    <x v="174"/>
    <x v="8"/>
    <x v="0"/>
    <s v="Bengaluru"/>
    <x v="0"/>
    <s v="David"/>
    <n v="65"/>
    <n v="73"/>
    <x v="3"/>
    <n v="12000"/>
    <n v="9570"/>
    <n v="4000"/>
    <x v="0"/>
    <s v="No"/>
    <d v="2025-02-09T00:00:00"/>
    <d v="2025-08-08T00:00:00"/>
    <d v="1899-12-30T08:47:00"/>
    <d v="1899-12-30T10:01:00"/>
    <s v="C"/>
    <s v="08:47 AM"/>
    <s v="Delayed"/>
    <s v="1 Hours 14 Minutes"/>
    <x v="1"/>
  </r>
  <r>
    <x v="311"/>
    <x v="92"/>
    <x v="9"/>
    <x v="0"/>
    <s v="Erode"/>
    <x v="3"/>
    <s v="Arun"/>
    <n v="73"/>
    <n v="88"/>
    <x v="3"/>
    <n v="12000"/>
    <n v="11570"/>
    <n v="2000"/>
    <x v="0"/>
    <s v="No"/>
    <d v="2025-04-01T00:00:00"/>
    <d v="2025-09-28T00:00:00"/>
    <d v="1899-12-30T09:38:00"/>
    <d v="1899-12-30T10:49:00"/>
    <s v="C"/>
    <s v="09:38 AM"/>
    <s v="Delayed"/>
    <s v="1 Hours 11 Minutes"/>
    <x v="1"/>
  </r>
  <r>
    <x v="312"/>
    <x v="27"/>
    <x v="3"/>
    <x v="1"/>
    <s v="Tirunelveli"/>
    <x v="2"/>
    <s v="Priya"/>
    <n v="58"/>
    <n v="65"/>
    <x v="0"/>
    <n v="20000"/>
    <n v="17830"/>
    <n v="4000"/>
    <x v="0"/>
    <s v="No"/>
    <d v="2025-02-20T00:00:00"/>
    <d v="2025-03-22T00:00:00"/>
    <d v="1899-12-30T09:52:00"/>
    <d v="1899-12-30T12:10:00"/>
    <s v="D"/>
    <s v="09:52 AM"/>
    <s v="On Time"/>
    <s v="2 Hours 18 Minutes"/>
    <x v="1"/>
  </r>
  <r>
    <x v="313"/>
    <x v="161"/>
    <x v="4"/>
    <x v="1"/>
    <s v="Trichy"/>
    <x v="3"/>
    <s v="Arun"/>
    <n v="58"/>
    <n v="87"/>
    <x v="0"/>
    <n v="15000"/>
    <n v="15700"/>
    <n v="2000"/>
    <x v="0"/>
    <s v="No"/>
    <d v="2025-10-28T00:00:00"/>
    <d v="2026-04-26T00:00:00"/>
    <d v="1899-12-30T10:51:00"/>
    <d v="1899-12-30T14:03:00"/>
    <s v="D"/>
    <s v="10:51 AM"/>
    <s v="Delayed"/>
    <s v="3 Hours 12 Minutes"/>
    <x v="0"/>
  </r>
  <r>
    <x v="314"/>
    <x v="175"/>
    <x v="7"/>
    <x v="1"/>
    <s v="Coimbatore"/>
    <x v="1"/>
    <s v="Nandhini"/>
    <n v="58"/>
    <n v="66"/>
    <x v="0"/>
    <n v="18000"/>
    <n v="18650"/>
    <n v="2000"/>
    <x v="0"/>
    <s v="Yes"/>
    <d v="2025-02-02T00:00:00"/>
    <d v="2025-08-01T00:00:00"/>
    <d v="1899-12-30T09:44:00"/>
    <d v="1899-12-30T10:49:00"/>
    <s v="D"/>
    <s v="09:44 AM"/>
    <s v="Delayed"/>
    <s v="1 Hours 5 Minutes"/>
    <x v="1"/>
  </r>
  <r>
    <x v="315"/>
    <x v="174"/>
    <x v="2"/>
    <x v="1"/>
    <s v="Hyderabad"/>
    <x v="7"/>
    <s v="Sneha"/>
    <n v="42"/>
    <n v="84"/>
    <x v="0"/>
    <n v="10000"/>
    <n v="11800"/>
    <n v="0"/>
    <x v="1"/>
    <s v="No"/>
    <d v="2025-12-30T00:00:00"/>
    <d v="2026-03-30T00:00:00"/>
    <d v="1899-12-30T08:17:00"/>
    <d v="1899-12-30T12:40:00"/>
    <s v="D"/>
    <s v="08:17 AM"/>
    <s v="On Time"/>
    <s v="4 Hours 23 Minutes"/>
    <x v="1"/>
  </r>
  <r>
    <x v="316"/>
    <x v="131"/>
    <x v="0"/>
    <x v="0"/>
    <s v="Trichy"/>
    <x v="3"/>
    <s v="Arun"/>
    <n v="94"/>
    <n v="93"/>
    <x v="2"/>
    <n v="12000"/>
    <n v="10980"/>
    <n v="2000"/>
    <x v="0"/>
    <s v="No"/>
    <d v="2025-07-20T00:00:00"/>
    <d v="2025-09-18T00:00:00"/>
    <d v="1899-12-30T08:22:00"/>
    <d v="1899-12-30T12:49:00"/>
    <s v="A"/>
    <s v="08:22 AM"/>
    <s v="On Time"/>
    <s v="4 Hours 27 Minutes"/>
    <x v="1"/>
  </r>
  <r>
    <x v="317"/>
    <x v="84"/>
    <x v="8"/>
    <x v="0"/>
    <s v="Trichy"/>
    <x v="4"/>
    <s v="John"/>
    <n v="72"/>
    <n v="64"/>
    <x v="3"/>
    <n v="12000"/>
    <n v="10390"/>
    <n v="2000"/>
    <x v="0"/>
    <s v="No"/>
    <d v="2025-08-05T00:00:00"/>
    <d v="2025-12-03T00:00:00"/>
    <d v="1899-12-30T10:43:00"/>
    <d v="1899-12-30T12:30:00"/>
    <s v="C"/>
    <s v="10:43 AM"/>
    <s v="Delayed"/>
    <s v="1 Hours 47 Minutes"/>
    <x v="0"/>
  </r>
  <r>
    <x v="318"/>
    <x v="69"/>
    <x v="10"/>
    <x v="0"/>
    <s v="Salem"/>
    <x v="1"/>
    <s v="Nandhini"/>
    <n v="51"/>
    <n v="67"/>
    <x v="0"/>
    <n v="20000"/>
    <n v="19600"/>
    <n v="4000"/>
    <x v="0"/>
    <s v="No"/>
    <d v="2025-10-14T00:00:00"/>
    <d v="2026-04-12T00:00:00"/>
    <d v="1899-12-30T08:09:00"/>
    <d v="1899-12-30T10:16:00"/>
    <s v="D"/>
    <s v="08:09 AM"/>
    <s v="Delayed"/>
    <s v="2 Hours 7 Minutes"/>
    <x v="1"/>
  </r>
  <r>
    <x v="319"/>
    <x v="141"/>
    <x v="2"/>
    <x v="0"/>
    <s v="Coimbatore"/>
    <x v="2"/>
    <s v="Priya"/>
    <n v="98"/>
    <n v="70"/>
    <x v="2"/>
    <n v="20000"/>
    <n v="19830"/>
    <n v="2000"/>
    <x v="0"/>
    <s v="No"/>
    <d v="2025-09-12T00:00:00"/>
    <d v="2026-03-11T00:00:00"/>
    <d v="1899-12-30T10:29:00"/>
    <d v="1899-12-30T14:44:00"/>
    <s v="A"/>
    <s v="10:29 AM"/>
    <s v="Delayed"/>
    <s v="4 Hours 15 Minutes"/>
    <x v="0"/>
  </r>
  <r>
    <x v="320"/>
    <x v="131"/>
    <x v="5"/>
    <x v="0"/>
    <s v="Hyderabad"/>
    <x v="3"/>
    <s v="Arun"/>
    <n v="49"/>
    <n v="92"/>
    <x v="0"/>
    <n v="12000"/>
    <n v="10980"/>
    <n v="2000"/>
    <x v="0"/>
    <s v="No"/>
    <d v="2025-01-13T00:00:00"/>
    <d v="2025-03-14T00:00:00"/>
    <d v="1899-12-30T10:04:00"/>
    <d v="1899-12-30T11:04:00"/>
    <s v="D"/>
    <s v="10:04 AM"/>
    <s v="On Time"/>
    <s v="1 Hours 0 Minutes"/>
    <x v="0"/>
  </r>
  <r>
    <x v="321"/>
    <x v="88"/>
    <x v="8"/>
    <x v="1"/>
    <s v="Thoothukudi"/>
    <x v="6"/>
    <s v="Karthik"/>
    <n v="95"/>
    <n v="76"/>
    <x v="2"/>
    <n v="12000"/>
    <n v="10390"/>
    <n v="2000"/>
    <x v="0"/>
    <s v="No"/>
    <d v="2025-03-29T00:00:00"/>
    <d v="2025-05-28T00:00:00"/>
    <d v="1899-12-30T10:39:00"/>
    <d v="1899-12-30T12:29:00"/>
    <s v="A"/>
    <s v="10:39 AM"/>
    <s v="On Time"/>
    <s v="1 Hours 50 Minutes"/>
    <x v="0"/>
  </r>
  <r>
    <x v="322"/>
    <x v="106"/>
    <x v="4"/>
    <x v="1"/>
    <s v="Vellore"/>
    <x v="5"/>
    <s v="Mani Prabhu"/>
    <n v="92"/>
    <n v="67"/>
    <x v="2"/>
    <n v="18000"/>
    <n v="17240"/>
    <n v="4000"/>
    <x v="0"/>
    <s v="No"/>
    <d v="2025-09-22T00:00:00"/>
    <d v="2026-03-21T00:00:00"/>
    <d v="1899-12-30T09:28:00"/>
    <d v="1899-12-30T14:07:00"/>
    <s v="A"/>
    <s v="09:28 AM"/>
    <s v="Delayed"/>
    <s v="4 Hours 39 Minutes"/>
    <x v="1"/>
  </r>
  <r>
    <x v="323"/>
    <x v="146"/>
    <x v="3"/>
    <x v="0"/>
    <s v="Bengaluru"/>
    <x v="3"/>
    <s v="Arun"/>
    <n v="100"/>
    <n v="95"/>
    <x v="2"/>
    <n v="20000"/>
    <n v="18420"/>
    <n v="4000"/>
    <x v="0"/>
    <s v="No"/>
    <d v="2025-10-14T00:00:00"/>
    <d v="2026-04-12T00:00:00"/>
    <d v="1899-12-30T08:17:00"/>
    <d v="1899-12-30T12:40:00"/>
    <s v="A"/>
    <s v="08:17 AM"/>
    <s v="Delayed"/>
    <s v="4 Hours 23 Minutes"/>
    <x v="1"/>
  </r>
  <r>
    <x v="324"/>
    <x v="36"/>
    <x v="8"/>
    <x v="0"/>
    <s v="Tirunelveli"/>
    <x v="5"/>
    <s v="Mani Prabhu"/>
    <n v="72"/>
    <n v="91"/>
    <x v="3"/>
    <n v="12000"/>
    <n v="12160"/>
    <n v="2000"/>
    <x v="0"/>
    <s v="No"/>
    <d v="2025-01-13T00:00:00"/>
    <d v="2025-07-12T00:00:00"/>
    <d v="1899-12-30T08:00:00"/>
    <d v="1899-12-30T10:30:00"/>
    <s v="C"/>
    <s v="08:00 AM"/>
    <s v="Delayed"/>
    <s v="2 Hours 30 Minutes"/>
    <x v="1"/>
  </r>
  <r>
    <x v="325"/>
    <x v="176"/>
    <x v="1"/>
    <x v="0"/>
    <s v="Thoothukudi"/>
    <x v="2"/>
    <s v="Priya"/>
    <n v="37"/>
    <n v="81"/>
    <x v="0"/>
    <n v="20000"/>
    <n v="22420"/>
    <n v="0"/>
    <x v="1"/>
    <s v="Yes"/>
    <d v="2025-07-25T00:00:00"/>
    <d v="2026-01-21T00:00:00"/>
    <d v="1899-12-30T09:59:00"/>
    <d v="1899-12-30T14:11:00"/>
    <s v="D"/>
    <s v="09:59 AM"/>
    <s v="Delayed"/>
    <s v="4 Hours 12 Minutes"/>
    <x v="1"/>
  </r>
  <r>
    <x v="326"/>
    <x v="52"/>
    <x v="9"/>
    <x v="1"/>
    <s v="Coimbatore"/>
    <x v="5"/>
    <s v="Mani Prabhu"/>
    <n v="38"/>
    <n v="95"/>
    <x v="0"/>
    <n v="18000"/>
    <n v="19470"/>
    <n v="0"/>
    <x v="1"/>
    <s v="No"/>
    <d v="2025-04-24T00:00:00"/>
    <d v="2025-05-24T00:00:00"/>
    <d v="1899-12-30T10:29:00"/>
    <d v="1899-12-30T13:12:00"/>
    <s v="D"/>
    <s v="10:29 AM"/>
    <s v="On Time"/>
    <s v="2 Hours 43 Minutes"/>
    <x v="0"/>
  </r>
  <r>
    <x v="327"/>
    <x v="153"/>
    <x v="1"/>
    <x v="1"/>
    <s v="Vellore"/>
    <x v="3"/>
    <s v="Arun"/>
    <n v="36"/>
    <n v="75"/>
    <x v="0"/>
    <n v="10000"/>
    <n v="10620"/>
    <n v="0"/>
    <x v="1"/>
    <s v="No"/>
    <d v="2025-06-10T00:00:00"/>
    <d v="2025-08-09T00:00:00"/>
    <d v="1899-12-30T10:53:00"/>
    <d v="1899-12-30T12:21:00"/>
    <s v="D"/>
    <s v="10:53 AM"/>
    <s v="On Time"/>
    <s v="1 Hours 28 Minutes"/>
    <x v="0"/>
  </r>
  <r>
    <x v="328"/>
    <x v="177"/>
    <x v="3"/>
    <x v="0"/>
    <s v="Hyderabad"/>
    <x v="7"/>
    <s v="Sneha"/>
    <n v="77"/>
    <n v="72"/>
    <x v="1"/>
    <n v="10000"/>
    <n v="10030"/>
    <n v="0"/>
    <x v="1"/>
    <s v="No"/>
    <d v="2025-01-20T00:00:00"/>
    <d v="2025-03-21T00:00:00"/>
    <d v="1899-12-30T10:07:00"/>
    <d v="1899-12-30T14:41:00"/>
    <s v="B"/>
    <s v="10:07 AM"/>
    <s v="On Time"/>
    <s v="4 Hours 34 Minutes"/>
    <x v="0"/>
  </r>
  <r>
    <x v="329"/>
    <x v="104"/>
    <x v="5"/>
    <x v="0"/>
    <s v="Coimbatore"/>
    <x v="1"/>
    <s v="Nandhini"/>
    <n v="82"/>
    <n v="83"/>
    <x v="1"/>
    <n v="15000"/>
    <n v="11930"/>
    <n v="4000"/>
    <x v="0"/>
    <s v="No"/>
    <d v="2025-10-03T00:00:00"/>
    <d v="2025-11-02T00:00:00"/>
    <d v="1899-12-30T09:02:00"/>
    <d v="1899-12-30T12:33:00"/>
    <s v="B"/>
    <s v="09:02 AM"/>
    <s v="On Time"/>
    <s v="3 Hours 31 Minutes"/>
    <x v="1"/>
  </r>
  <r>
    <x v="330"/>
    <x v="131"/>
    <x v="3"/>
    <x v="1"/>
    <s v="Chennai"/>
    <x v="7"/>
    <s v="Sneha"/>
    <n v="43"/>
    <n v="71"/>
    <x v="0"/>
    <n v="12000"/>
    <n v="12390"/>
    <n v="0"/>
    <x v="1"/>
    <s v="No"/>
    <d v="2025-06-01T00:00:00"/>
    <d v="2025-07-31T00:00:00"/>
    <d v="1899-12-30T09:26:00"/>
    <d v="1899-12-30T13:02:00"/>
    <s v="D"/>
    <s v="09:26 AM"/>
    <s v="On Time"/>
    <s v="3 Hours 36 Minutes"/>
    <x v="1"/>
  </r>
  <r>
    <x v="331"/>
    <x v="177"/>
    <x v="2"/>
    <x v="0"/>
    <s v="Coimbatore"/>
    <x v="5"/>
    <s v="Mani Prabhu"/>
    <n v="46"/>
    <n v="90"/>
    <x v="0"/>
    <n v="15000"/>
    <n v="15930"/>
    <n v="0"/>
    <x v="1"/>
    <s v="No"/>
    <d v="2025-07-23T00:00:00"/>
    <d v="2025-09-21T00:00:00"/>
    <d v="1899-12-30T08:40:00"/>
    <d v="1899-12-30T10:35:00"/>
    <s v="D"/>
    <s v="08:40 AM"/>
    <s v="On Time"/>
    <s v="1 Hours 55 Minutes"/>
    <x v="1"/>
  </r>
  <r>
    <x v="332"/>
    <x v="43"/>
    <x v="2"/>
    <x v="1"/>
    <s v="Tirunelveli"/>
    <x v="1"/>
    <s v="Nandhini"/>
    <n v="74"/>
    <n v="95"/>
    <x v="3"/>
    <n v="12000"/>
    <n v="9570"/>
    <n v="4000"/>
    <x v="0"/>
    <s v="No"/>
    <d v="2025-09-12T00:00:00"/>
    <d v="2025-12-11T00:00:00"/>
    <d v="1899-12-30T10:24:00"/>
    <d v="1899-12-30T11:39:00"/>
    <s v="C"/>
    <s v="10:24 AM"/>
    <s v="On Time"/>
    <s v="1 Hours 15 Minutes"/>
    <x v="0"/>
  </r>
  <r>
    <x v="333"/>
    <x v="128"/>
    <x v="2"/>
    <x v="1"/>
    <s v="Thoothukudi"/>
    <x v="6"/>
    <s v="Karthik"/>
    <n v="52"/>
    <n v="92"/>
    <x v="0"/>
    <n v="15000"/>
    <n v="11930"/>
    <n v="4000"/>
    <x v="0"/>
    <s v="No"/>
    <d v="2025-02-21T00:00:00"/>
    <d v="2025-04-22T00:00:00"/>
    <d v="1899-12-30T10:55:00"/>
    <d v="1899-12-30T15:00:00"/>
    <s v="D"/>
    <s v="10:55 AM"/>
    <s v="On Time"/>
    <s v="4 Hours 5 Minutes"/>
    <x v="0"/>
  </r>
  <r>
    <x v="334"/>
    <x v="137"/>
    <x v="3"/>
    <x v="1"/>
    <s v="Thoothukudi"/>
    <x v="6"/>
    <s v="Karthik"/>
    <n v="93"/>
    <n v="95"/>
    <x v="2"/>
    <n v="10000"/>
    <n v="8030"/>
    <n v="2000"/>
    <x v="0"/>
    <s v="No"/>
    <d v="2025-07-18T00:00:00"/>
    <d v="2025-09-16T00:00:00"/>
    <d v="1899-12-30T08:57:00"/>
    <d v="1899-12-30T10:26:00"/>
    <s v="A"/>
    <s v="08:57 AM"/>
    <s v="On Time"/>
    <s v="1 Hours 29 Minutes"/>
    <x v="1"/>
  </r>
  <r>
    <x v="335"/>
    <x v="144"/>
    <x v="7"/>
    <x v="1"/>
    <s v="Bengaluru"/>
    <x v="5"/>
    <s v="Mani Prabhu"/>
    <n v="72"/>
    <n v="93"/>
    <x v="3"/>
    <n v="10000"/>
    <n v="11800"/>
    <n v="0"/>
    <x v="1"/>
    <s v="No"/>
    <d v="2025-08-20T00:00:00"/>
    <d v="2025-10-19T00:00:00"/>
    <d v="1899-12-30T10:34:00"/>
    <d v="1899-12-30T15:23:00"/>
    <s v="C"/>
    <s v="10:34 AM"/>
    <s v="On Time"/>
    <s v="4 Hours 49 Minutes"/>
    <x v="0"/>
  </r>
  <r>
    <x v="336"/>
    <x v="178"/>
    <x v="10"/>
    <x v="1"/>
    <s v="Thoothukudi"/>
    <x v="2"/>
    <s v="Priya"/>
    <n v="56"/>
    <n v="84"/>
    <x v="0"/>
    <n v="20000"/>
    <n v="23010"/>
    <n v="0"/>
    <x v="1"/>
    <s v="No"/>
    <d v="2025-03-11T00:00:00"/>
    <d v="2025-05-10T00:00:00"/>
    <d v="1899-12-30T09:40:00"/>
    <d v="1899-12-30T11:19:00"/>
    <s v="D"/>
    <s v="09:40 AM"/>
    <s v="On Time"/>
    <s v="1 Hours 39 Minutes"/>
    <x v="1"/>
  </r>
  <r>
    <x v="337"/>
    <x v="48"/>
    <x v="0"/>
    <x v="1"/>
    <s v="Vellore"/>
    <x v="0"/>
    <s v="David"/>
    <n v="45"/>
    <n v="92"/>
    <x v="0"/>
    <n v="15000"/>
    <n v="16520"/>
    <n v="0"/>
    <x v="1"/>
    <s v="No"/>
    <d v="2025-08-23T00:00:00"/>
    <d v="2025-09-22T00:00:00"/>
    <d v="1899-12-30T10:00:00"/>
    <d v="1899-12-30T14:01:00"/>
    <s v="D"/>
    <s v="10:00 AM"/>
    <s v="On Time"/>
    <s v="4 Hours 1 Minutes"/>
    <x v="1"/>
  </r>
  <r>
    <x v="338"/>
    <x v="22"/>
    <x v="9"/>
    <x v="1"/>
    <s v="Coimbatore"/>
    <x v="4"/>
    <s v="John"/>
    <n v="66"/>
    <n v="94"/>
    <x v="3"/>
    <n v="10000"/>
    <n v="8030"/>
    <n v="2000"/>
    <x v="0"/>
    <s v="No"/>
    <d v="2025-05-19T00:00:00"/>
    <d v="2025-08-17T00:00:00"/>
    <d v="1899-12-30T10:40:00"/>
    <d v="1899-12-30T14:32:00"/>
    <s v="C"/>
    <s v="10:40 AM"/>
    <s v="On Time"/>
    <s v="3 Hours 52 Minutes"/>
    <x v="0"/>
  </r>
  <r>
    <x v="339"/>
    <x v="179"/>
    <x v="2"/>
    <x v="0"/>
    <s v="Vellore"/>
    <x v="2"/>
    <s v="Priya"/>
    <n v="57"/>
    <n v="66"/>
    <x v="0"/>
    <n v="18000"/>
    <n v="18650"/>
    <n v="2000"/>
    <x v="0"/>
    <s v="No"/>
    <d v="2025-08-03T00:00:00"/>
    <d v="2025-09-02T00:00:00"/>
    <d v="1899-12-30T09:42:00"/>
    <d v="1899-12-30T12:22:00"/>
    <s v="D"/>
    <s v="09:42 AM"/>
    <s v="On Time"/>
    <s v="2 Hours 40 Minutes"/>
    <x v="1"/>
  </r>
  <r>
    <x v="340"/>
    <x v="55"/>
    <x v="1"/>
    <x v="0"/>
    <s v="Thoothukudi"/>
    <x v="5"/>
    <s v="Mani Prabhu"/>
    <n v="49"/>
    <n v="80"/>
    <x v="0"/>
    <n v="12000"/>
    <n v="10160"/>
    <n v="4000"/>
    <x v="0"/>
    <s v="No"/>
    <d v="2025-02-18T00:00:00"/>
    <d v="2025-04-19T00:00:00"/>
    <d v="1899-12-30T10:24:00"/>
    <d v="1899-12-30T13:53:00"/>
    <s v="D"/>
    <s v="10:24 AM"/>
    <s v="On Time"/>
    <s v="3 Hours 29 Minutes"/>
    <x v="0"/>
  </r>
  <r>
    <x v="341"/>
    <x v="121"/>
    <x v="0"/>
    <x v="0"/>
    <s v="Hyderabad"/>
    <x v="2"/>
    <s v="Priya"/>
    <n v="37"/>
    <n v="98"/>
    <x v="0"/>
    <n v="10000"/>
    <n v="9800"/>
    <n v="2000"/>
    <x v="0"/>
    <s v="No"/>
    <d v="2025-02-25T00:00:00"/>
    <d v="2025-04-26T00:00:00"/>
    <d v="1899-12-30T09:19:00"/>
    <d v="1899-12-30T14:02:00"/>
    <s v="D"/>
    <s v="09:19 AM"/>
    <s v="On Time"/>
    <s v="4 Hours 43 Minutes"/>
    <x v="1"/>
  </r>
  <r>
    <x v="342"/>
    <x v="10"/>
    <x v="3"/>
    <x v="0"/>
    <s v="Bengaluru"/>
    <x v="7"/>
    <s v="Sneha"/>
    <n v="49"/>
    <n v="87"/>
    <x v="0"/>
    <n v="20000"/>
    <n v="19830"/>
    <n v="2000"/>
    <x v="0"/>
    <s v="No"/>
    <d v="2025-03-19T00:00:00"/>
    <d v="2025-06-17T00:00:00"/>
    <d v="1899-12-30T10:57:00"/>
    <d v="1899-12-30T12:34:00"/>
    <s v="D"/>
    <s v="10:57 AM"/>
    <s v="On Time"/>
    <s v="1 Hours 37 Minutes"/>
    <x v="0"/>
  </r>
  <r>
    <x v="343"/>
    <x v="136"/>
    <x v="6"/>
    <x v="1"/>
    <s v="Salem"/>
    <x v="3"/>
    <s v="Arun"/>
    <n v="36"/>
    <n v="89"/>
    <x v="0"/>
    <n v="18000"/>
    <n v="18650"/>
    <n v="2000"/>
    <x v="0"/>
    <s v="No"/>
    <d v="2025-12-01T00:00:00"/>
    <d v="2026-03-01T00:00:00"/>
    <d v="1899-12-30T08:41:00"/>
    <d v="1899-12-30T13:08:00"/>
    <s v="D"/>
    <s v="08:41 AM"/>
    <s v="On Time"/>
    <s v="4 Hours 27 Minutes"/>
    <x v="1"/>
  </r>
  <r>
    <x v="344"/>
    <x v="16"/>
    <x v="6"/>
    <x v="0"/>
    <s v="Salem"/>
    <x v="7"/>
    <s v="Sneha"/>
    <n v="37"/>
    <n v="84"/>
    <x v="0"/>
    <n v="20000"/>
    <n v="19600"/>
    <n v="4000"/>
    <x v="0"/>
    <s v="No"/>
    <d v="2025-03-24T00:00:00"/>
    <d v="2025-05-23T00:00:00"/>
    <d v="1899-12-30T10:10:00"/>
    <d v="1899-12-30T14:16:00"/>
    <s v="D"/>
    <s v="10:10 AM"/>
    <s v="On Time"/>
    <s v="4 Hours 6 Minutes"/>
    <x v="0"/>
  </r>
  <r>
    <x v="345"/>
    <x v="43"/>
    <x v="9"/>
    <x v="1"/>
    <s v="Coimbatore"/>
    <x v="7"/>
    <s v="Sneha"/>
    <n v="92"/>
    <n v="94"/>
    <x v="2"/>
    <n v="15000"/>
    <n v="14520"/>
    <n v="2000"/>
    <x v="0"/>
    <s v="No"/>
    <d v="2025-09-14T00:00:00"/>
    <d v="2025-12-13T00:00:00"/>
    <d v="1899-12-30T10:45:00"/>
    <d v="1899-12-30T13:20:00"/>
    <s v="A"/>
    <s v="10:45 AM"/>
    <s v="On Time"/>
    <s v="2 Hours 35 Minutes"/>
    <x v="0"/>
  </r>
  <r>
    <x v="346"/>
    <x v="30"/>
    <x v="2"/>
    <x v="1"/>
    <s v="Hyderabad"/>
    <x v="6"/>
    <s v="Karthik"/>
    <n v="60"/>
    <n v="76"/>
    <x v="3"/>
    <n v="12000"/>
    <n v="12390"/>
    <n v="0"/>
    <x v="1"/>
    <s v="No"/>
    <d v="2025-09-05T00:00:00"/>
    <d v="2025-12-04T00:00:00"/>
    <d v="1899-12-30T08:42:00"/>
    <d v="1899-12-30T12:06:00"/>
    <s v="C"/>
    <s v="08:42 AM"/>
    <s v="On Time"/>
    <s v="3 Hours 24 Minutes"/>
    <x v="1"/>
  </r>
  <r>
    <x v="347"/>
    <x v="180"/>
    <x v="10"/>
    <x v="0"/>
    <s v="Madurai"/>
    <x v="0"/>
    <s v="David"/>
    <n v="37"/>
    <n v="88"/>
    <x v="0"/>
    <n v="15000"/>
    <n v="15930"/>
    <n v="0"/>
    <x v="1"/>
    <s v="No"/>
    <d v="2025-04-22T00:00:00"/>
    <d v="2025-10-19T00:00:00"/>
    <d v="1899-12-30T10:06:00"/>
    <d v="1899-12-30T13:41:00"/>
    <s v="D"/>
    <s v="10:06 AM"/>
    <s v="Delayed"/>
    <s v="3 Hours 35 Minutes"/>
    <x v="0"/>
  </r>
  <r>
    <x v="348"/>
    <x v="181"/>
    <x v="2"/>
    <x v="1"/>
    <s v="Coimbatore"/>
    <x v="1"/>
    <s v="Nandhini"/>
    <n v="77"/>
    <n v="74"/>
    <x v="1"/>
    <n v="10000"/>
    <n v="10620"/>
    <n v="0"/>
    <x v="1"/>
    <s v="No"/>
    <d v="2025-07-11T00:00:00"/>
    <d v="2026-01-07T00:00:00"/>
    <d v="1899-12-30T10:05:00"/>
    <d v="1899-12-30T14:12:00"/>
    <s v="B"/>
    <s v="10:05 AM"/>
    <s v="Delayed"/>
    <s v="4 Hours 7 Minutes"/>
    <x v="0"/>
  </r>
  <r>
    <x v="349"/>
    <x v="63"/>
    <x v="2"/>
    <x v="0"/>
    <s v="Salem"/>
    <x v="2"/>
    <s v="Priya"/>
    <n v="37"/>
    <n v="90"/>
    <x v="0"/>
    <n v="10000"/>
    <n v="7210"/>
    <n v="4000"/>
    <x v="0"/>
    <s v="No"/>
    <d v="2025-11-23T00:00:00"/>
    <d v="2026-03-23T00:00:00"/>
    <d v="1899-12-30T08:38:00"/>
    <d v="1899-12-30T13:01:00"/>
    <s v="D"/>
    <s v="08:38 AM"/>
    <s v="Delayed"/>
    <s v="4 Hours 23 Minutes"/>
    <x v="1"/>
  </r>
  <r>
    <x v="350"/>
    <x v="60"/>
    <x v="5"/>
    <x v="0"/>
    <s v="Chennai"/>
    <x v="4"/>
    <s v="John"/>
    <n v="72"/>
    <n v="74"/>
    <x v="3"/>
    <n v="12000"/>
    <n v="10390"/>
    <n v="2000"/>
    <x v="0"/>
    <s v="No"/>
    <d v="2025-12-12T00:00:00"/>
    <d v="2026-06-10T00:00:00"/>
    <d v="1899-12-30T10:04:00"/>
    <d v="1899-12-30T11:20:00"/>
    <s v="C"/>
    <s v="10:04 AM"/>
    <s v="Delayed"/>
    <s v="1 Hours 16 Minutes"/>
    <x v="0"/>
  </r>
  <r>
    <x v="351"/>
    <x v="171"/>
    <x v="8"/>
    <x v="0"/>
    <s v="Chennai"/>
    <x v="6"/>
    <s v="Karthik"/>
    <n v="38"/>
    <n v="73"/>
    <x v="0"/>
    <n v="12000"/>
    <n v="10980"/>
    <n v="2000"/>
    <x v="0"/>
    <s v="No"/>
    <d v="2025-03-04T00:00:00"/>
    <d v="2025-05-03T00:00:00"/>
    <d v="1899-12-30T10:18:00"/>
    <d v="1899-12-30T12:16:00"/>
    <s v="D"/>
    <s v="10:18 AM"/>
    <s v="On Time"/>
    <s v="1 Hours 58 Minutes"/>
    <x v="0"/>
  </r>
  <r>
    <x v="352"/>
    <x v="182"/>
    <x v="7"/>
    <x v="0"/>
    <s v="Coimbatore"/>
    <x v="3"/>
    <s v="Arun"/>
    <n v="77"/>
    <n v="67"/>
    <x v="1"/>
    <n v="20000"/>
    <n v="21830"/>
    <n v="0"/>
    <x v="1"/>
    <s v="No"/>
    <d v="2025-12-21T00:00:00"/>
    <d v="2026-02-19T00:00:00"/>
    <d v="1899-12-30T08:44:00"/>
    <d v="1899-12-30T10:04:00"/>
    <s v="B"/>
    <s v="08:44 AM"/>
    <s v="On Time"/>
    <s v="1 Hours 20 Minutes"/>
    <x v="1"/>
  </r>
  <r>
    <x v="353"/>
    <x v="78"/>
    <x v="10"/>
    <x v="0"/>
    <s v="Coimbatore"/>
    <x v="3"/>
    <s v="Arun"/>
    <n v="96"/>
    <n v="94"/>
    <x v="2"/>
    <n v="12000"/>
    <n v="11570"/>
    <n v="2000"/>
    <x v="0"/>
    <s v="No"/>
    <d v="2025-03-04T00:00:00"/>
    <d v="2025-06-02T00:00:00"/>
    <d v="1899-12-30T10:47:00"/>
    <d v="1899-12-30T12:26:00"/>
    <s v="A"/>
    <s v="10:47 AM"/>
    <s v="On Time"/>
    <s v="1 Hours 39 Minutes"/>
    <x v="0"/>
  </r>
  <r>
    <x v="354"/>
    <x v="18"/>
    <x v="4"/>
    <x v="1"/>
    <s v="Erode"/>
    <x v="7"/>
    <s v="Sneha"/>
    <n v="71"/>
    <n v="97"/>
    <x v="3"/>
    <n v="20000"/>
    <n v="19010"/>
    <n v="4000"/>
    <x v="0"/>
    <s v="No"/>
    <d v="2025-01-29T00:00:00"/>
    <d v="2025-04-29T00:00:00"/>
    <d v="1899-12-30T08:13:00"/>
    <d v="1899-12-30T10:09:00"/>
    <s v="C"/>
    <s v="08:13 AM"/>
    <s v="On Time"/>
    <s v="1 Hours 56 Minutes"/>
    <x v="1"/>
  </r>
  <r>
    <x v="355"/>
    <x v="87"/>
    <x v="9"/>
    <x v="0"/>
    <s v="Tirunelveli"/>
    <x v="6"/>
    <s v="Karthik"/>
    <n v="39"/>
    <n v="85"/>
    <x v="0"/>
    <n v="12000"/>
    <n v="10160"/>
    <n v="4000"/>
    <x v="0"/>
    <s v="No"/>
    <d v="2025-11-10T00:00:00"/>
    <d v="2026-05-09T00:00:00"/>
    <d v="1899-12-30T09:46:00"/>
    <d v="1899-12-30T11:39:00"/>
    <s v="D"/>
    <s v="09:46 AM"/>
    <s v="Delayed"/>
    <s v="1 Hours 53 Minutes"/>
    <x v="1"/>
  </r>
  <r>
    <x v="356"/>
    <x v="151"/>
    <x v="5"/>
    <x v="1"/>
    <s v="Hyderabad"/>
    <x v="7"/>
    <s v="Sneha"/>
    <n v="70"/>
    <n v="71"/>
    <x v="3"/>
    <n v="18000"/>
    <n v="19470"/>
    <n v="0"/>
    <x v="1"/>
    <s v="No"/>
    <d v="2025-04-11T00:00:00"/>
    <d v="2025-05-11T00:00:00"/>
    <d v="1899-12-30T08:24:00"/>
    <d v="1899-12-30T09:29:00"/>
    <s v="C"/>
    <s v="08:24 AM"/>
    <s v="On Time"/>
    <s v="1 Hours 5 Minutes"/>
    <x v="1"/>
  </r>
  <r>
    <x v="357"/>
    <x v="156"/>
    <x v="10"/>
    <x v="1"/>
    <s v="Coimbatore"/>
    <x v="5"/>
    <s v="Mani Prabhu"/>
    <n v="92"/>
    <n v="100"/>
    <x v="2"/>
    <n v="10000"/>
    <n v="7210"/>
    <n v="4000"/>
    <x v="0"/>
    <s v="No"/>
    <d v="2025-08-31T00:00:00"/>
    <d v="2026-02-27T00:00:00"/>
    <d v="1899-12-30T10:50:00"/>
    <d v="1899-12-30T15:26:00"/>
    <s v="A"/>
    <s v="10:50 AM"/>
    <s v="Delayed"/>
    <s v="4 Hours 36 Minutes"/>
    <x v="0"/>
  </r>
  <r>
    <x v="358"/>
    <x v="49"/>
    <x v="6"/>
    <x v="0"/>
    <s v="Chennai"/>
    <x v="3"/>
    <s v="Arun"/>
    <n v="82"/>
    <n v="73"/>
    <x v="1"/>
    <n v="20000"/>
    <n v="19010"/>
    <n v="4000"/>
    <x v="0"/>
    <s v="No"/>
    <d v="2025-02-14T00:00:00"/>
    <d v="2025-03-16T00:00:00"/>
    <d v="1899-12-30T10:55:00"/>
    <d v="1899-12-30T13:25:00"/>
    <s v="B"/>
    <s v="10:55 AM"/>
    <s v="On Time"/>
    <s v="2 Hours 30 Minutes"/>
    <x v="0"/>
  </r>
  <r>
    <x v="359"/>
    <x v="183"/>
    <x v="10"/>
    <x v="1"/>
    <s v="Vellore"/>
    <x v="5"/>
    <s v="Mani Prabhu"/>
    <n v="93"/>
    <n v="72"/>
    <x v="2"/>
    <n v="12000"/>
    <n v="10160"/>
    <n v="4000"/>
    <x v="0"/>
    <s v="No"/>
    <d v="2025-07-18T00:00:00"/>
    <d v="2025-11-15T00:00:00"/>
    <d v="1899-12-30T10:40:00"/>
    <d v="1899-12-30T12:03:00"/>
    <s v="A"/>
    <s v="10:40 AM"/>
    <s v="Delayed"/>
    <s v="1 Hours 23 Minutes"/>
    <x v="0"/>
  </r>
  <r>
    <x v="360"/>
    <x v="120"/>
    <x v="5"/>
    <x v="1"/>
    <s v="Vellore"/>
    <x v="1"/>
    <s v="Nandhini"/>
    <n v="58"/>
    <n v="70"/>
    <x v="0"/>
    <n v="18000"/>
    <n v="21240"/>
    <n v="0"/>
    <x v="1"/>
    <s v="No"/>
    <d v="2025-11-28T00:00:00"/>
    <d v="2026-03-28T00:00:00"/>
    <d v="1899-12-30T09:37:00"/>
    <d v="1899-12-30T13:37:00"/>
    <s v="D"/>
    <s v="09:37 AM"/>
    <s v="Delayed"/>
    <s v="4 Hours 0 Minutes"/>
    <x v="1"/>
  </r>
  <r>
    <x v="361"/>
    <x v="171"/>
    <x v="5"/>
    <x v="0"/>
    <s v="Salem"/>
    <x v="3"/>
    <s v="Arun"/>
    <n v="58"/>
    <n v="77"/>
    <x v="0"/>
    <n v="18000"/>
    <n v="20650"/>
    <n v="0"/>
    <x v="1"/>
    <s v="No"/>
    <d v="2025-11-06T00:00:00"/>
    <d v="2026-02-04T00:00:00"/>
    <d v="1899-12-30T10:26:00"/>
    <d v="1899-12-30T11:58:00"/>
    <s v="D"/>
    <s v="10:26 AM"/>
    <s v="On Time"/>
    <s v="1 Hours 32 Minutes"/>
    <x v="0"/>
  </r>
  <r>
    <x v="362"/>
    <x v="57"/>
    <x v="7"/>
    <x v="1"/>
    <s v="Madurai"/>
    <x v="5"/>
    <s v="Mani Prabhu"/>
    <n v="91"/>
    <n v="62"/>
    <x v="2"/>
    <n v="15000"/>
    <n v="13700"/>
    <n v="4000"/>
    <x v="0"/>
    <s v="Yes"/>
    <d v="2025-02-02T00:00:00"/>
    <d v="2025-04-03T00:00:00"/>
    <d v="1899-12-30T10:29:00"/>
    <d v="1899-12-30T11:30:00"/>
    <s v="A"/>
    <s v="10:29 AM"/>
    <s v="On Time"/>
    <s v="1 Hours 1 Minutes"/>
    <x v="0"/>
  </r>
  <r>
    <x v="363"/>
    <x v="135"/>
    <x v="7"/>
    <x v="1"/>
    <s v="Bengaluru"/>
    <x v="7"/>
    <s v="Sneha"/>
    <n v="100"/>
    <n v="67"/>
    <x v="2"/>
    <n v="10000"/>
    <n v="11210"/>
    <n v="0"/>
    <x v="1"/>
    <s v="No"/>
    <d v="2025-01-25T00:00:00"/>
    <d v="2025-07-24T00:00:00"/>
    <d v="1899-12-30T08:40:00"/>
    <d v="1899-12-30T13:14:00"/>
    <s v="A"/>
    <s v="08:40 AM"/>
    <s v="Delayed"/>
    <s v="4 Hours 34 Minutes"/>
    <x v="1"/>
  </r>
  <r>
    <x v="364"/>
    <x v="177"/>
    <x v="10"/>
    <x v="0"/>
    <s v="Kanchipuram"/>
    <x v="4"/>
    <s v="John"/>
    <n v="77"/>
    <n v="67"/>
    <x v="1"/>
    <n v="15000"/>
    <n v="11930"/>
    <n v="4000"/>
    <x v="0"/>
    <s v="No"/>
    <d v="2025-12-10T00:00:00"/>
    <d v="2026-06-08T00:00:00"/>
    <d v="1899-12-30T09:56:00"/>
    <d v="1899-12-30T12:28:00"/>
    <s v="B"/>
    <s v="09:56 AM"/>
    <s v="Delayed"/>
    <s v="2 Hours 32 Minutes"/>
    <x v="1"/>
  </r>
  <r>
    <x v="365"/>
    <x v="130"/>
    <x v="6"/>
    <x v="1"/>
    <s v="Chennai"/>
    <x v="0"/>
    <s v="David"/>
    <n v="49"/>
    <n v="97"/>
    <x v="0"/>
    <n v="12000"/>
    <n v="13570"/>
    <n v="0"/>
    <x v="1"/>
    <s v="No"/>
    <d v="2025-05-09T00:00:00"/>
    <d v="2025-08-07T00:00:00"/>
    <d v="1899-12-30T08:09:00"/>
    <d v="1899-12-30T09:37:00"/>
    <s v="D"/>
    <s v="08:09 AM"/>
    <s v="On Time"/>
    <s v="1 Hours 28 Minutes"/>
    <x v="1"/>
  </r>
  <r>
    <x v="366"/>
    <x v="9"/>
    <x v="7"/>
    <x v="1"/>
    <s v="Salem"/>
    <x v="5"/>
    <s v="Mani Prabhu"/>
    <n v="89"/>
    <n v="94"/>
    <x v="1"/>
    <n v="12000"/>
    <n v="8980"/>
    <n v="4000"/>
    <x v="0"/>
    <s v="No"/>
    <d v="2025-03-17T00:00:00"/>
    <d v="2025-06-15T00:00:00"/>
    <d v="1899-12-30T08:15:00"/>
    <d v="1899-12-30T13:03:00"/>
    <s v="B"/>
    <s v="08:15 AM"/>
    <s v="On Time"/>
    <s v="4 Hours 48 Minutes"/>
    <x v="1"/>
  </r>
  <r>
    <x v="367"/>
    <x v="179"/>
    <x v="6"/>
    <x v="0"/>
    <s v="Madurai"/>
    <x v="1"/>
    <s v="Nandhini"/>
    <n v="53"/>
    <n v="61"/>
    <x v="0"/>
    <n v="15000"/>
    <n v="13930"/>
    <n v="2000"/>
    <x v="0"/>
    <s v="Yes"/>
    <d v="2025-12-18T00:00:00"/>
    <d v="2026-06-16T00:00:00"/>
    <d v="1899-12-30T10:47:00"/>
    <d v="1899-12-30T13:36:00"/>
    <s v="D"/>
    <s v="10:47 AM"/>
    <s v="Delayed"/>
    <s v="2 Hours 49 Minutes"/>
    <x v="0"/>
  </r>
  <r>
    <x v="368"/>
    <x v="175"/>
    <x v="8"/>
    <x v="1"/>
    <s v="Vellore"/>
    <x v="0"/>
    <s v="David"/>
    <n v="80"/>
    <n v="84"/>
    <x v="1"/>
    <n v="10000"/>
    <n v="9800"/>
    <n v="2000"/>
    <x v="0"/>
    <s v="No"/>
    <d v="2025-02-05T00:00:00"/>
    <d v="2025-03-07T00:00:00"/>
    <d v="1899-12-30T09:53:00"/>
    <d v="1899-12-30T12:59:00"/>
    <s v="B"/>
    <s v="09:53 AM"/>
    <s v="On Time"/>
    <s v="3 Hours 6 Minutes"/>
    <x v="1"/>
  </r>
  <r>
    <x v="369"/>
    <x v="184"/>
    <x v="5"/>
    <x v="1"/>
    <s v="Vellore"/>
    <x v="7"/>
    <s v="Sneha"/>
    <n v="100"/>
    <n v="94"/>
    <x v="2"/>
    <n v="15000"/>
    <n v="15110"/>
    <n v="2000"/>
    <x v="0"/>
    <s v="No"/>
    <d v="2025-07-17T00:00:00"/>
    <d v="2026-01-13T00:00:00"/>
    <d v="1899-12-30T09:15:00"/>
    <d v="1899-12-30T12:48:00"/>
    <s v="A"/>
    <s v="09:15 AM"/>
    <s v="Delayed"/>
    <s v="3 Hours 33 Minutes"/>
    <x v="1"/>
  </r>
  <r>
    <x v="370"/>
    <x v="185"/>
    <x v="9"/>
    <x v="1"/>
    <s v="Tirunelveli"/>
    <x v="5"/>
    <s v="Mani Prabhu"/>
    <n v="41"/>
    <n v="94"/>
    <x v="0"/>
    <n v="18000"/>
    <n v="20060"/>
    <n v="0"/>
    <x v="1"/>
    <s v="No"/>
    <d v="2025-04-21T00:00:00"/>
    <d v="2025-05-21T00:00:00"/>
    <d v="1899-12-30T08:21:00"/>
    <d v="1899-12-30T09:32:00"/>
    <s v="D"/>
    <s v="08:21 AM"/>
    <s v="On Time"/>
    <s v="1 Hours 11 Minutes"/>
    <x v="1"/>
  </r>
  <r>
    <x v="371"/>
    <x v="45"/>
    <x v="3"/>
    <x v="0"/>
    <s v="Kanchipuram"/>
    <x v="6"/>
    <s v="Karthik"/>
    <n v="72"/>
    <n v="72"/>
    <x v="3"/>
    <n v="15000"/>
    <n v="12520"/>
    <n v="4000"/>
    <x v="0"/>
    <s v="No"/>
    <d v="2025-09-11T00:00:00"/>
    <d v="2025-12-10T00:00:00"/>
    <d v="1899-12-30T08:34:00"/>
    <d v="1899-12-30T13:22:00"/>
    <s v="C"/>
    <s v="08:34 AM"/>
    <s v="On Time"/>
    <s v="4 Hours 48 Minutes"/>
    <x v="1"/>
  </r>
  <r>
    <x v="372"/>
    <x v="115"/>
    <x v="6"/>
    <x v="0"/>
    <s v="Kanchipuram"/>
    <x v="6"/>
    <s v="Karthik"/>
    <n v="66"/>
    <n v="81"/>
    <x v="3"/>
    <n v="18000"/>
    <n v="21240"/>
    <n v="0"/>
    <x v="1"/>
    <s v="No"/>
    <d v="2025-10-31T00:00:00"/>
    <d v="2025-12-30T00:00:00"/>
    <d v="1899-12-30T09:03:00"/>
    <d v="1899-12-30T11:47:00"/>
    <s v="C"/>
    <s v="09:03 AM"/>
    <s v="On Time"/>
    <s v="2 Hours 44 Minutes"/>
    <x v="1"/>
  </r>
  <r>
    <x v="373"/>
    <x v="186"/>
    <x v="6"/>
    <x v="1"/>
    <s v="Thoothukudi"/>
    <x v="4"/>
    <s v="John"/>
    <n v="68"/>
    <n v="72"/>
    <x v="3"/>
    <n v="20000"/>
    <n v="18420"/>
    <n v="4000"/>
    <x v="0"/>
    <s v="No"/>
    <d v="2025-09-13T00:00:00"/>
    <d v="2025-11-12T00:00:00"/>
    <d v="1899-12-30T08:15:00"/>
    <d v="1899-12-30T13:08:00"/>
    <s v="C"/>
    <s v="08:15 AM"/>
    <s v="On Time"/>
    <s v="4 Hours 53 Minutes"/>
    <x v="1"/>
  </r>
  <r>
    <x v="374"/>
    <x v="187"/>
    <x v="8"/>
    <x v="0"/>
    <s v="Kanchipuram"/>
    <x v="2"/>
    <s v="Priya"/>
    <n v="42"/>
    <n v="79"/>
    <x v="0"/>
    <n v="12000"/>
    <n v="8980"/>
    <n v="4000"/>
    <x v="0"/>
    <s v="No"/>
    <d v="2025-03-11T00:00:00"/>
    <d v="2025-05-10T00:00:00"/>
    <d v="1899-12-30T08:22:00"/>
    <d v="1899-12-30T11:35:00"/>
    <s v="D"/>
    <s v="08:22 AM"/>
    <s v="On Time"/>
    <s v="3 Hours 13 Minutes"/>
    <x v="1"/>
  </r>
  <r>
    <x v="375"/>
    <x v="32"/>
    <x v="1"/>
    <x v="1"/>
    <s v="Hyderabad"/>
    <x v="7"/>
    <s v="Sneha"/>
    <n v="94"/>
    <n v="74"/>
    <x v="2"/>
    <n v="20000"/>
    <n v="19600"/>
    <n v="4000"/>
    <x v="0"/>
    <s v="No"/>
    <d v="2025-11-21T00:00:00"/>
    <d v="2025-12-21T00:00:00"/>
    <d v="1899-12-30T10:06:00"/>
    <d v="1899-12-30T12:09:00"/>
    <s v="A"/>
    <s v="10:06 AM"/>
    <s v="On Time"/>
    <s v="2 Hours 3 Minutes"/>
    <x v="0"/>
  </r>
  <r>
    <x v="376"/>
    <x v="36"/>
    <x v="1"/>
    <x v="1"/>
    <s v="Thoothukudi"/>
    <x v="5"/>
    <s v="Mani Prabhu"/>
    <n v="70"/>
    <n v="98"/>
    <x v="3"/>
    <n v="20000"/>
    <n v="18420"/>
    <n v="4000"/>
    <x v="0"/>
    <s v="No"/>
    <d v="2025-02-16T00:00:00"/>
    <d v="2025-06-16T00:00:00"/>
    <d v="1899-12-30T08:52:00"/>
    <d v="1899-12-30T11:11:00"/>
    <s v="C"/>
    <s v="08:52 AM"/>
    <s v="Delayed"/>
    <s v="2 Hours 19 Minutes"/>
    <x v="1"/>
  </r>
  <r>
    <x v="377"/>
    <x v="23"/>
    <x v="8"/>
    <x v="1"/>
    <s v="Trichy"/>
    <x v="5"/>
    <s v="Mani Prabhu"/>
    <n v="41"/>
    <n v="72"/>
    <x v="0"/>
    <n v="15000"/>
    <n v="13930"/>
    <n v="2000"/>
    <x v="0"/>
    <s v="No"/>
    <d v="2025-10-11T00:00:00"/>
    <d v="2025-12-10T00:00:00"/>
    <d v="1899-12-30T09:23:00"/>
    <d v="1899-12-30T10:33:00"/>
    <s v="D"/>
    <s v="09:23 AM"/>
    <s v="On Time"/>
    <s v="1 Hours 10 Minutes"/>
    <x v="1"/>
  </r>
  <r>
    <x v="378"/>
    <x v="157"/>
    <x v="3"/>
    <x v="1"/>
    <s v="Tirunelveli"/>
    <x v="0"/>
    <s v="David"/>
    <n v="48"/>
    <n v="98"/>
    <x v="0"/>
    <n v="10000"/>
    <n v="10030"/>
    <n v="0"/>
    <x v="1"/>
    <s v="No"/>
    <d v="2025-02-27T00:00:00"/>
    <d v="2025-05-28T00:00:00"/>
    <d v="1899-12-30T09:24:00"/>
    <d v="1899-12-30T10:40:00"/>
    <s v="D"/>
    <s v="09:24 AM"/>
    <s v="On Time"/>
    <s v="1 Hours 16 Minutes"/>
    <x v="1"/>
  </r>
  <r>
    <x v="379"/>
    <x v="188"/>
    <x v="0"/>
    <x v="1"/>
    <s v="Bengaluru"/>
    <x v="4"/>
    <s v="John"/>
    <n v="96"/>
    <n v="70"/>
    <x v="2"/>
    <n v="15000"/>
    <n v="13110"/>
    <n v="4000"/>
    <x v="0"/>
    <s v="No"/>
    <d v="2025-12-15T00:00:00"/>
    <d v="2026-04-14T00:00:00"/>
    <d v="1899-12-30T10:18:00"/>
    <d v="1899-12-30T12:44:00"/>
    <s v="A"/>
    <s v="10:18 AM"/>
    <s v="Delayed"/>
    <s v="2 Hours 26 Minutes"/>
    <x v="0"/>
  </r>
  <r>
    <x v="380"/>
    <x v="161"/>
    <x v="0"/>
    <x v="1"/>
    <s v="Coimbatore"/>
    <x v="0"/>
    <s v="David"/>
    <n v="90"/>
    <n v="88"/>
    <x v="2"/>
    <n v="20000"/>
    <n v="23600"/>
    <n v="0"/>
    <x v="1"/>
    <s v="No"/>
    <d v="2025-04-03T00:00:00"/>
    <d v="2025-05-03T00:00:00"/>
    <d v="1899-12-30T09:38:00"/>
    <d v="1899-12-30T11:01:00"/>
    <s v="A"/>
    <s v="09:38 AM"/>
    <s v="On Time"/>
    <s v="1 Hours 23 Minutes"/>
    <x v="1"/>
  </r>
  <r>
    <x v="381"/>
    <x v="105"/>
    <x v="4"/>
    <x v="0"/>
    <s v="Thoothukudi"/>
    <x v="4"/>
    <s v="John"/>
    <n v="77"/>
    <n v="94"/>
    <x v="1"/>
    <n v="15000"/>
    <n v="15110"/>
    <n v="2000"/>
    <x v="0"/>
    <s v="No"/>
    <d v="2025-09-09T00:00:00"/>
    <d v="2025-12-08T00:00:00"/>
    <d v="1899-12-30T09:43:00"/>
    <d v="1899-12-30T13:39:00"/>
    <s v="B"/>
    <s v="09:43 AM"/>
    <s v="On Time"/>
    <s v="3 Hours 56 Minutes"/>
    <x v="1"/>
  </r>
  <r>
    <x v="382"/>
    <x v="189"/>
    <x v="7"/>
    <x v="0"/>
    <s v="Madurai"/>
    <x v="0"/>
    <s v="David"/>
    <n v="36"/>
    <n v="66"/>
    <x v="0"/>
    <n v="15000"/>
    <n v="15930"/>
    <n v="0"/>
    <x v="1"/>
    <s v="No"/>
    <d v="2025-03-23T00:00:00"/>
    <d v="2025-05-22T00:00:00"/>
    <d v="1899-12-30T08:42:00"/>
    <d v="1899-12-30T12:09:00"/>
    <s v="D"/>
    <s v="08:42 AM"/>
    <s v="On Time"/>
    <s v="3 Hours 27 Minutes"/>
    <x v="1"/>
  </r>
  <r>
    <x v="383"/>
    <x v="190"/>
    <x v="6"/>
    <x v="0"/>
    <s v="Salem"/>
    <x v="7"/>
    <s v="Sneha"/>
    <n v="59"/>
    <n v="94"/>
    <x v="0"/>
    <n v="20000"/>
    <n v="19830"/>
    <n v="2000"/>
    <x v="0"/>
    <s v="No"/>
    <d v="2025-09-11T00:00:00"/>
    <d v="2026-01-09T00:00:00"/>
    <d v="1899-12-30T09:44:00"/>
    <d v="1899-12-30T12:44:00"/>
    <s v="D"/>
    <s v="09:44 AM"/>
    <s v="Delayed"/>
    <s v="3 Hours 0 Minutes"/>
    <x v="1"/>
  </r>
  <r>
    <x v="384"/>
    <x v="85"/>
    <x v="6"/>
    <x v="0"/>
    <s v="Salem"/>
    <x v="2"/>
    <s v="Priya"/>
    <n v="54"/>
    <n v="91"/>
    <x v="0"/>
    <n v="10000"/>
    <n v="7800"/>
    <n v="4000"/>
    <x v="0"/>
    <s v="No"/>
    <d v="2025-06-30T00:00:00"/>
    <d v="2025-09-28T00:00:00"/>
    <d v="1899-12-30T08:48:00"/>
    <d v="1899-12-30T11:23:00"/>
    <s v="D"/>
    <s v="08:48 AM"/>
    <s v="On Time"/>
    <s v="2 Hours 35 Minutes"/>
    <x v="1"/>
  </r>
  <r>
    <x v="385"/>
    <x v="137"/>
    <x v="8"/>
    <x v="0"/>
    <s v="Thoothukudi"/>
    <x v="1"/>
    <s v="Nandhini"/>
    <n v="76"/>
    <n v="82"/>
    <x v="1"/>
    <n v="12000"/>
    <n v="9570"/>
    <n v="4000"/>
    <x v="0"/>
    <s v="No"/>
    <d v="2025-09-15T00:00:00"/>
    <d v="2026-01-13T00:00:00"/>
    <d v="1899-12-30T08:37:00"/>
    <d v="1899-12-30T11:16:00"/>
    <s v="B"/>
    <s v="08:37 AM"/>
    <s v="Delayed"/>
    <s v="2 Hours 39 Minutes"/>
    <x v="1"/>
  </r>
  <r>
    <x v="386"/>
    <x v="47"/>
    <x v="3"/>
    <x v="1"/>
    <s v="Salem"/>
    <x v="2"/>
    <s v="Priya"/>
    <n v="43"/>
    <n v="74"/>
    <x v="0"/>
    <n v="18000"/>
    <n v="21240"/>
    <n v="0"/>
    <x v="1"/>
    <s v="No"/>
    <d v="2025-04-30T00:00:00"/>
    <d v="2025-05-30T00:00:00"/>
    <d v="1899-12-30T08:05:00"/>
    <d v="1899-12-30T10:48:00"/>
    <s v="D"/>
    <s v="08:05 AM"/>
    <s v="On Time"/>
    <s v="2 Hours 43 Minutes"/>
    <x v="1"/>
  </r>
  <r>
    <x v="387"/>
    <x v="191"/>
    <x v="2"/>
    <x v="0"/>
    <s v="Madurai"/>
    <x v="1"/>
    <s v="Nandhini"/>
    <n v="50"/>
    <n v="68"/>
    <x v="0"/>
    <n v="12000"/>
    <n v="8980"/>
    <n v="4000"/>
    <x v="0"/>
    <s v="No"/>
    <d v="2025-09-30T00:00:00"/>
    <d v="2025-12-29T00:00:00"/>
    <d v="1899-12-30T08:54:00"/>
    <d v="1899-12-30T12:07:00"/>
    <s v="D"/>
    <s v="08:54 AM"/>
    <s v="On Time"/>
    <s v="3 Hours 13 Minutes"/>
    <x v="1"/>
  </r>
  <r>
    <x v="388"/>
    <x v="79"/>
    <x v="10"/>
    <x v="1"/>
    <s v="Vellore"/>
    <x v="7"/>
    <s v="Sneha"/>
    <n v="46"/>
    <n v="66"/>
    <x v="0"/>
    <n v="20000"/>
    <n v="22420"/>
    <n v="0"/>
    <x v="1"/>
    <s v="Yes"/>
    <d v="2025-06-08T00:00:00"/>
    <d v="2025-10-06T00:00:00"/>
    <d v="1899-12-30T10:29:00"/>
    <d v="1899-12-30T15:13:00"/>
    <s v="D"/>
    <s v="10:29 AM"/>
    <s v="Delayed"/>
    <s v="4 Hours 44 Minutes"/>
    <x v="0"/>
  </r>
  <r>
    <x v="389"/>
    <x v="18"/>
    <x v="1"/>
    <x v="1"/>
    <s v="Hyderabad"/>
    <x v="1"/>
    <s v="Nandhini"/>
    <n v="48"/>
    <n v="90"/>
    <x v="0"/>
    <n v="20000"/>
    <n v="20420"/>
    <n v="2000"/>
    <x v="0"/>
    <s v="No"/>
    <d v="2025-10-05T00:00:00"/>
    <d v="2026-04-03T00:00:00"/>
    <d v="1899-12-30T09:54:00"/>
    <d v="1899-12-30T13:17:00"/>
    <s v="D"/>
    <s v="09:54 AM"/>
    <s v="Delayed"/>
    <s v="3 Hours 23 Minutes"/>
    <x v="1"/>
  </r>
  <r>
    <x v="390"/>
    <x v="192"/>
    <x v="8"/>
    <x v="0"/>
    <s v="Tirunelveli"/>
    <x v="0"/>
    <s v="David"/>
    <n v="54"/>
    <n v="81"/>
    <x v="0"/>
    <n v="18000"/>
    <n v="19470"/>
    <n v="0"/>
    <x v="1"/>
    <s v="No"/>
    <d v="2025-08-12T00:00:00"/>
    <d v="2025-12-10T00:00:00"/>
    <d v="1899-12-30T10:15:00"/>
    <d v="1899-12-30T14:06:00"/>
    <s v="D"/>
    <s v="10:15 AM"/>
    <s v="Delayed"/>
    <s v="3 Hours 51 Minutes"/>
    <x v="0"/>
  </r>
  <r>
    <x v="391"/>
    <x v="51"/>
    <x v="9"/>
    <x v="0"/>
    <s v="Vellore"/>
    <x v="0"/>
    <s v="David"/>
    <n v="68"/>
    <n v="86"/>
    <x v="3"/>
    <n v="15000"/>
    <n v="13700"/>
    <n v="4000"/>
    <x v="0"/>
    <s v="No"/>
    <d v="2025-07-13T00:00:00"/>
    <d v="2026-01-09T00:00:00"/>
    <d v="1899-12-30T09:56:00"/>
    <d v="1899-12-30T11:02:00"/>
    <s v="C"/>
    <s v="09:56 AM"/>
    <s v="Delayed"/>
    <s v="1 Hours 6 Minutes"/>
    <x v="1"/>
  </r>
  <r>
    <x v="392"/>
    <x v="193"/>
    <x v="9"/>
    <x v="1"/>
    <s v="Hyderabad"/>
    <x v="1"/>
    <s v="Nandhini"/>
    <n v="37"/>
    <n v="96"/>
    <x v="0"/>
    <n v="20000"/>
    <n v="19010"/>
    <n v="4000"/>
    <x v="0"/>
    <s v="No"/>
    <d v="2025-02-04T00:00:00"/>
    <d v="2025-06-04T00:00:00"/>
    <d v="1899-12-30T09:05:00"/>
    <d v="1899-12-30T11:31:00"/>
    <s v="D"/>
    <s v="09:05 AM"/>
    <s v="Delayed"/>
    <s v="2 Hours 26 Minutes"/>
    <x v="1"/>
  </r>
  <r>
    <x v="393"/>
    <x v="27"/>
    <x v="7"/>
    <x v="0"/>
    <s v="Chennai"/>
    <x v="6"/>
    <s v="Karthik"/>
    <n v="63"/>
    <n v="64"/>
    <x v="3"/>
    <n v="15000"/>
    <n v="13700"/>
    <n v="4000"/>
    <x v="0"/>
    <s v="Yes"/>
    <d v="2025-08-15T00:00:00"/>
    <d v="2026-02-11T00:00:00"/>
    <d v="1899-12-30T09:27:00"/>
    <d v="1899-12-30T11:15:00"/>
    <s v="C"/>
    <s v="09:27 AM"/>
    <s v="Delayed"/>
    <s v="1 Hours 48 Minutes"/>
    <x v="1"/>
  </r>
  <r>
    <x v="394"/>
    <x v="118"/>
    <x v="2"/>
    <x v="1"/>
    <s v="Trichy"/>
    <x v="3"/>
    <s v="Arun"/>
    <n v="83"/>
    <n v="99"/>
    <x v="1"/>
    <n v="20000"/>
    <n v="22420"/>
    <n v="0"/>
    <x v="1"/>
    <s v="No"/>
    <d v="2025-06-10T00:00:00"/>
    <d v="2025-12-07T00:00:00"/>
    <d v="1899-12-30T10:55:00"/>
    <d v="1899-12-30T15:12:00"/>
    <s v="B"/>
    <s v="10:55 AM"/>
    <s v="Delayed"/>
    <s v="4 Hours 17 Minutes"/>
    <x v="0"/>
  </r>
  <r>
    <x v="395"/>
    <x v="98"/>
    <x v="5"/>
    <x v="0"/>
    <s v="Kanchipuram"/>
    <x v="0"/>
    <s v="David"/>
    <n v="100"/>
    <n v="91"/>
    <x v="2"/>
    <n v="12000"/>
    <n v="11570"/>
    <n v="2000"/>
    <x v="0"/>
    <s v="No"/>
    <d v="2025-03-04T00:00:00"/>
    <d v="2025-04-03T00:00:00"/>
    <d v="1899-12-30T09:36:00"/>
    <d v="1899-12-30T14:03:00"/>
    <s v="A"/>
    <s v="09:36 AM"/>
    <s v="On Time"/>
    <s v="4 Hours 27 Minutes"/>
    <x v="1"/>
  </r>
  <r>
    <x v="396"/>
    <x v="134"/>
    <x v="1"/>
    <x v="1"/>
    <s v="Coimbatore"/>
    <x v="5"/>
    <s v="Mani Prabhu"/>
    <n v="100"/>
    <n v="77"/>
    <x v="2"/>
    <n v="15000"/>
    <n v="15930"/>
    <n v="0"/>
    <x v="1"/>
    <s v="No"/>
    <d v="2025-05-26T00:00:00"/>
    <d v="2025-11-22T00:00:00"/>
    <d v="1899-12-30T08:28:00"/>
    <d v="1899-12-30T10:50:00"/>
    <s v="A"/>
    <s v="08:28 AM"/>
    <s v="Delayed"/>
    <s v="2 Hours 22 Minutes"/>
    <x v="1"/>
  </r>
  <r>
    <x v="397"/>
    <x v="90"/>
    <x v="9"/>
    <x v="1"/>
    <s v="Madurai"/>
    <x v="4"/>
    <s v="John"/>
    <n v="97"/>
    <n v="88"/>
    <x v="2"/>
    <n v="18000"/>
    <n v="15470"/>
    <n v="4000"/>
    <x v="0"/>
    <s v="No"/>
    <d v="2025-08-24T00:00:00"/>
    <d v="2026-02-20T00:00:00"/>
    <d v="1899-12-30T08:09:00"/>
    <d v="1899-12-30T11:18:00"/>
    <s v="A"/>
    <s v="08:09 AM"/>
    <s v="Delayed"/>
    <s v="3 Hours 9 Minutes"/>
    <x v="1"/>
  </r>
  <r>
    <x v="398"/>
    <x v="75"/>
    <x v="4"/>
    <x v="0"/>
    <s v="Tirunelveli"/>
    <x v="0"/>
    <s v="David"/>
    <n v="75"/>
    <n v="100"/>
    <x v="1"/>
    <n v="15000"/>
    <n v="17110"/>
    <n v="0"/>
    <x v="1"/>
    <s v="No"/>
    <d v="2025-12-18T00:00:00"/>
    <d v="2026-06-16T00:00:00"/>
    <d v="1899-12-30T08:38:00"/>
    <d v="1899-12-30T10:53:00"/>
    <s v="B"/>
    <s v="08:38 AM"/>
    <s v="Delayed"/>
    <s v="2 Hours 15 Minutes"/>
    <x v="1"/>
  </r>
  <r>
    <x v="399"/>
    <x v="194"/>
    <x v="8"/>
    <x v="1"/>
    <s v="Vellore"/>
    <x v="4"/>
    <s v="John"/>
    <n v="87"/>
    <n v="88"/>
    <x v="1"/>
    <n v="12000"/>
    <n v="9570"/>
    <n v="4000"/>
    <x v="0"/>
    <s v="No"/>
    <d v="2025-06-24T00:00:00"/>
    <d v="2025-12-21T00:00:00"/>
    <d v="1899-12-30T09:35:00"/>
    <d v="1899-12-30T11:53:00"/>
    <s v="B"/>
    <s v="09:35 AM"/>
    <s v="Delayed"/>
    <s v="2 Hours 18 Minutes"/>
    <x v="1"/>
  </r>
  <r>
    <x v="400"/>
    <x v="119"/>
    <x v="4"/>
    <x v="0"/>
    <s v="Hyderabad"/>
    <x v="6"/>
    <s v="Karthik"/>
    <n v="46"/>
    <n v="69"/>
    <x v="0"/>
    <n v="15000"/>
    <n v="13930"/>
    <n v="2000"/>
    <x v="0"/>
    <s v="No"/>
    <d v="2025-07-22T00:00:00"/>
    <d v="2025-11-19T00:00:00"/>
    <d v="1899-12-30T09:13:00"/>
    <d v="1899-12-30T12:13:00"/>
    <s v="D"/>
    <s v="09:13 AM"/>
    <s v="Delayed"/>
    <s v="3 Hours 0 Minutes"/>
    <x v="1"/>
  </r>
  <r>
    <x v="401"/>
    <x v="162"/>
    <x v="8"/>
    <x v="1"/>
    <s v="Hyderabad"/>
    <x v="6"/>
    <s v="Karthik"/>
    <n v="36"/>
    <n v="80"/>
    <x v="0"/>
    <n v="10000"/>
    <n v="10030"/>
    <n v="0"/>
    <x v="1"/>
    <s v="No"/>
    <d v="2025-05-29T00:00:00"/>
    <d v="2025-09-26T00:00:00"/>
    <d v="1899-12-30T08:41:00"/>
    <d v="1899-12-30T09:42:00"/>
    <s v="D"/>
    <s v="08:41 AM"/>
    <s v="Delayed"/>
    <s v="1 Hours 1 Minutes"/>
    <x v="1"/>
  </r>
  <r>
    <x v="402"/>
    <x v="103"/>
    <x v="0"/>
    <x v="0"/>
    <s v="Madurai"/>
    <x v="4"/>
    <s v="John"/>
    <n v="88"/>
    <n v="82"/>
    <x v="1"/>
    <n v="15000"/>
    <n v="12520"/>
    <n v="4000"/>
    <x v="0"/>
    <s v="No"/>
    <d v="2025-03-11T00:00:00"/>
    <d v="2025-06-09T00:00:00"/>
    <d v="1899-12-30T08:16:00"/>
    <d v="1899-12-30T12:07:00"/>
    <s v="B"/>
    <s v="08:16 AM"/>
    <s v="On Time"/>
    <s v="3 Hours 51 Minutes"/>
    <x v="1"/>
  </r>
  <r>
    <x v="403"/>
    <x v="83"/>
    <x v="1"/>
    <x v="1"/>
    <s v="Salem"/>
    <x v="7"/>
    <s v="Sneha"/>
    <n v="41"/>
    <n v="68"/>
    <x v="0"/>
    <n v="18000"/>
    <n v="18060"/>
    <n v="2000"/>
    <x v="0"/>
    <s v="No"/>
    <d v="2025-11-17T00:00:00"/>
    <d v="2026-02-15T00:00:00"/>
    <d v="1899-12-30T09:20:00"/>
    <d v="1899-12-30T10:34:00"/>
    <s v="D"/>
    <s v="09:20 AM"/>
    <s v="On Time"/>
    <s v="1 Hours 14 Minutes"/>
    <x v="1"/>
  </r>
  <r>
    <x v="404"/>
    <x v="195"/>
    <x v="9"/>
    <x v="1"/>
    <s v="Tirunelveli"/>
    <x v="3"/>
    <s v="Arun"/>
    <n v="86"/>
    <n v="86"/>
    <x v="1"/>
    <n v="15000"/>
    <n v="13110"/>
    <n v="4000"/>
    <x v="0"/>
    <s v="No"/>
    <d v="2025-02-25T00:00:00"/>
    <d v="2025-08-24T00:00:00"/>
    <d v="1899-12-30T10:54:00"/>
    <d v="1899-12-30T15:17:00"/>
    <s v="B"/>
    <s v="10:54 AM"/>
    <s v="Delayed"/>
    <s v="4 Hours 23 Minutes"/>
    <x v="0"/>
  </r>
  <r>
    <x v="405"/>
    <x v="54"/>
    <x v="2"/>
    <x v="1"/>
    <s v="Tirunelveli"/>
    <x v="7"/>
    <s v="Sneha"/>
    <n v="67"/>
    <n v="89"/>
    <x v="3"/>
    <n v="10000"/>
    <n v="11800"/>
    <n v="0"/>
    <x v="1"/>
    <s v="No"/>
    <d v="2025-08-20T00:00:00"/>
    <d v="2026-02-16T00:00:00"/>
    <d v="1899-12-30T10:30:00"/>
    <d v="1899-12-30T13:31:00"/>
    <s v="C"/>
    <s v="10:30 AM"/>
    <s v="Delayed"/>
    <s v="3 Hours 1 Minutes"/>
    <x v="0"/>
  </r>
  <r>
    <x v="406"/>
    <x v="175"/>
    <x v="4"/>
    <x v="1"/>
    <s v="Madurai"/>
    <x v="0"/>
    <s v="David"/>
    <n v="47"/>
    <n v="100"/>
    <x v="0"/>
    <n v="15000"/>
    <n v="17110"/>
    <n v="0"/>
    <x v="1"/>
    <s v="No"/>
    <d v="2025-06-16T00:00:00"/>
    <d v="2025-07-16T00:00:00"/>
    <d v="1899-12-30T10:18:00"/>
    <d v="1899-12-30T12:25:00"/>
    <s v="D"/>
    <s v="10:18 AM"/>
    <s v="On Time"/>
    <s v="2 Hours 7 Minutes"/>
    <x v="0"/>
  </r>
  <r>
    <x v="407"/>
    <x v="119"/>
    <x v="7"/>
    <x v="0"/>
    <s v="Erode"/>
    <x v="0"/>
    <s v="David"/>
    <n v="45"/>
    <n v="65"/>
    <x v="0"/>
    <n v="12000"/>
    <n v="12390"/>
    <n v="0"/>
    <x v="1"/>
    <s v="No"/>
    <d v="2025-06-15T00:00:00"/>
    <d v="2025-12-12T00:00:00"/>
    <d v="1899-12-30T08:27:00"/>
    <d v="1899-12-30T10:41:00"/>
    <s v="D"/>
    <s v="08:27 AM"/>
    <s v="Delayed"/>
    <s v="2 Hours 14 Minutes"/>
    <x v="1"/>
  </r>
  <r>
    <x v="408"/>
    <x v="196"/>
    <x v="10"/>
    <x v="1"/>
    <s v="Trichy"/>
    <x v="1"/>
    <s v="Nandhini"/>
    <n v="41"/>
    <n v="65"/>
    <x v="0"/>
    <n v="12000"/>
    <n v="12160"/>
    <n v="2000"/>
    <x v="0"/>
    <s v="No"/>
    <d v="2025-03-11T00:00:00"/>
    <d v="2025-04-10T00:00:00"/>
    <d v="1899-12-30T09:35:00"/>
    <d v="1899-12-30T11:36:00"/>
    <s v="D"/>
    <s v="09:35 AM"/>
    <s v="On Time"/>
    <s v="2 Hours 1 Minutes"/>
    <x v="1"/>
  </r>
  <r>
    <x v="409"/>
    <x v="30"/>
    <x v="2"/>
    <x v="1"/>
    <s v="Thoothukudi"/>
    <x v="6"/>
    <s v="Karthik"/>
    <n v="93"/>
    <n v="89"/>
    <x v="2"/>
    <n v="15000"/>
    <n v="17700"/>
    <n v="0"/>
    <x v="1"/>
    <s v="No"/>
    <d v="2025-08-15T00:00:00"/>
    <d v="2025-10-14T00:00:00"/>
    <d v="1899-12-30T10:42:00"/>
    <d v="1899-12-30T15:42:00"/>
    <s v="A"/>
    <s v="10:42 AM"/>
    <s v="On Time"/>
    <s v="5 Hours 0 Minutes"/>
    <x v="0"/>
  </r>
  <r>
    <x v="410"/>
    <x v="197"/>
    <x v="7"/>
    <x v="0"/>
    <s v="Trichy"/>
    <x v="6"/>
    <s v="Karthik"/>
    <n v="66"/>
    <n v="84"/>
    <x v="3"/>
    <n v="12000"/>
    <n v="12160"/>
    <n v="2000"/>
    <x v="0"/>
    <s v="No"/>
    <d v="2025-12-18T00:00:00"/>
    <d v="2026-03-18T00:00:00"/>
    <d v="1899-12-30T08:28:00"/>
    <d v="1899-12-30T12:23:00"/>
    <s v="C"/>
    <s v="08:28 AM"/>
    <s v="On Time"/>
    <s v="3 Hours 55 Minutes"/>
    <x v="1"/>
  </r>
  <r>
    <x v="411"/>
    <x v="184"/>
    <x v="2"/>
    <x v="0"/>
    <s v="Salem"/>
    <x v="0"/>
    <s v="David"/>
    <n v="97"/>
    <n v="73"/>
    <x v="2"/>
    <n v="18000"/>
    <n v="18060"/>
    <n v="2000"/>
    <x v="0"/>
    <s v="No"/>
    <d v="2025-08-02T00:00:00"/>
    <d v="2025-09-01T00:00:00"/>
    <d v="1899-12-30T08:08:00"/>
    <d v="1899-12-30T10:05:00"/>
    <s v="A"/>
    <s v="08:08 AM"/>
    <s v="On Time"/>
    <s v="1 Hours 57 Minutes"/>
    <x v="1"/>
  </r>
  <r>
    <x v="412"/>
    <x v="198"/>
    <x v="8"/>
    <x v="1"/>
    <s v="Vellore"/>
    <x v="0"/>
    <s v="David"/>
    <n v="40"/>
    <n v="90"/>
    <x v="0"/>
    <n v="20000"/>
    <n v="23600"/>
    <n v="0"/>
    <x v="1"/>
    <s v="No"/>
    <d v="2025-06-17T00:00:00"/>
    <d v="2025-12-14T00:00:00"/>
    <d v="1899-12-30T08:14:00"/>
    <d v="1899-12-30T09:33:00"/>
    <s v="D"/>
    <s v="08:14 AM"/>
    <s v="Delayed"/>
    <s v="1 Hours 19 Minutes"/>
    <x v="1"/>
  </r>
  <r>
    <x v="413"/>
    <x v="8"/>
    <x v="8"/>
    <x v="1"/>
    <s v="Bengaluru"/>
    <x v="1"/>
    <s v="Nandhini"/>
    <n v="96"/>
    <n v="78"/>
    <x v="2"/>
    <n v="10000"/>
    <n v="6030"/>
    <n v="4000"/>
    <x v="0"/>
    <s v="No"/>
    <d v="2025-02-17T00:00:00"/>
    <d v="2025-08-16T00:00:00"/>
    <d v="1899-12-30T08:28:00"/>
    <d v="1899-12-30T10:54:00"/>
    <s v="A"/>
    <s v="08:28 AM"/>
    <s v="Delayed"/>
    <s v="2 Hours 26 Minutes"/>
    <x v="1"/>
  </r>
  <r>
    <x v="414"/>
    <x v="120"/>
    <x v="0"/>
    <x v="0"/>
    <s v="Tirunelveli"/>
    <x v="3"/>
    <s v="Arun"/>
    <n v="41"/>
    <n v="80"/>
    <x v="0"/>
    <n v="18000"/>
    <n v="16060"/>
    <n v="4000"/>
    <x v="0"/>
    <s v="No"/>
    <d v="2025-06-07T00:00:00"/>
    <d v="2025-09-05T00:00:00"/>
    <d v="1899-12-30T08:05:00"/>
    <d v="1899-12-30T12:21:00"/>
    <s v="D"/>
    <s v="08:05 AM"/>
    <s v="On Time"/>
    <s v="4 Hours 16 Minutes"/>
    <x v="1"/>
  </r>
  <r>
    <x v="415"/>
    <x v="199"/>
    <x v="5"/>
    <x v="0"/>
    <s v="Thoothukudi"/>
    <x v="1"/>
    <s v="Nandhini"/>
    <n v="76"/>
    <n v="75"/>
    <x v="1"/>
    <n v="15000"/>
    <n v="12520"/>
    <n v="4000"/>
    <x v="0"/>
    <s v="No"/>
    <d v="2025-12-09T00:00:00"/>
    <d v="2026-04-08T00:00:00"/>
    <d v="1899-12-30T09:54:00"/>
    <d v="1899-12-30T14:08:00"/>
    <s v="B"/>
    <s v="09:54 AM"/>
    <s v="Delayed"/>
    <s v="4 Hours 14 Minutes"/>
    <x v="1"/>
  </r>
  <r>
    <x v="416"/>
    <x v="93"/>
    <x v="8"/>
    <x v="1"/>
    <s v="Tirunelveli"/>
    <x v="6"/>
    <s v="Karthik"/>
    <n v="100"/>
    <n v="80"/>
    <x v="2"/>
    <n v="12000"/>
    <n v="9570"/>
    <n v="4000"/>
    <x v="0"/>
    <s v="No"/>
    <d v="2025-11-09T00:00:00"/>
    <d v="2026-03-09T00:00:00"/>
    <d v="1899-12-30T09:22:00"/>
    <d v="1899-12-30T10:27:00"/>
    <s v="A"/>
    <s v="09:22 AM"/>
    <s v="Delayed"/>
    <s v="1 Hours 5 Minutes"/>
    <x v="1"/>
  </r>
  <r>
    <x v="417"/>
    <x v="133"/>
    <x v="1"/>
    <x v="1"/>
    <s v="Vellore"/>
    <x v="0"/>
    <s v="David"/>
    <n v="77"/>
    <n v="98"/>
    <x v="1"/>
    <n v="18000"/>
    <n v="17240"/>
    <n v="4000"/>
    <x v="0"/>
    <s v="No"/>
    <d v="2025-08-16T00:00:00"/>
    <d v="2025-12-14T00:00:00"/>
    <d v="1899-12-30T08:19:00"/>
    <d v="1899-12-30T12:55:00"/>
    <s v="B"/>
    <s v="08:19 AM"/>
    <s v="Delayed"/>
    <s v="4 Hours 36 Minutes"/>
    <x v="1"/>
  </r>
  <r>
    <x v="418"/>
    <x v="200"/>
    <x v="4"/>
    <x v="1"/>
    <s v="Erode"/>
    <x v="7"/>
    <s v="Sneha"/>
    <n v="98"/>
    <n v="96"/>
    <x v="2"/>
    <n v="18000"/>
    <n v="16650"/>
    <n v="4000"/>
    <x v="0"/>
    <s v="No"/>
    <d v="2025-04-30T00:00:00"/>
    <d v="2025-06-29T00:00:00"/>
    <d v="1899-12-30T10:52:00"/>
    <d v="1899-12-30T12:44:00"/>
    <s v="A"/>
    <s v="10:52 AM"/>
    <s v="On Time"/>
    <s v="1 Hours 52 Minutes"/>
    <x v="0"/>
  </r>
  <r>
    <x v="419"/>
    <x v="73"/>
    <x v="7"/>
    <x v="1"/>
    <s v="Salem"/>
    <x v="5"/>
    <s v="Mani Prabhu"/>
    <n v="54"/>
    <n v="66"/>
    <x v="0"/>
    <n v="20000"/>
    <n v="19600"/>
    <n v="4000"/>
    <x v="0"/>
    <s v="No"/>
    <d v="2025-11-28T00:00:00"/>
    <d v="2026-05-27T00:00:00"/>
    <d v="1899-12-30T10:45:00"/>
    <d v="1899-12-30T15:35:00"/>
    <s v="D"/>
    <s v="10:45 AM"/>
    <s v="Delayed"/>
    <s v="4 Hours 50 Minutes"/>
    <x v="0"/>
  </r>
  <r>
    <x v="420"/>
    <x v="201"/>
    <x v="1"/>
    <x v="1"/>
    <s v="Trichy"/>
    <x v="3"/>
    <s v="Arun"/>
    <n v="77"/>
    <n v="69"/>
    <x v="1"/>
    <n v="18000"/>
    <n v="15470"/>
    <n v="4000"/>
    <x v="0"/>
    <s v="No"/>
    <d v="2025-07-05T00:00:00"/>
    <d v="2025-09-03T00:00:00"/>
    <d v="1899-12-30T10:34:00"/>
    <d v="1899-12-30T12:03:00"/>
    <s v="B"/>
    <s v="10:34 AM"/>
    <s v="On Time"/>
    <s v="1 Hours 29 Minutes"/>
    <x v="0"/>
  </r>
  <r>
    <x v="421"/>
    <x v="17"/>
    <x v="2"/>
    <x v="1"/>
    <s v="Hyderabad"/>
    <x v="4"/>
    <s v="John"/>
    <n v="84"/>
    <n v="97"/>
    <x v="1"/>
    <n v="10000"/>
    <n v="7210"/>
    <n v="4000"/>
    <x v="0"/>
    <s v="No"/>
    <d v="2025-01-09T00:00:00"/>
    <d v="2025-05-09T00:00:00"/>
    <d v="1899-12-30T10:17:00"/>
    <d v="1899-12-30T14:20:00"/>
    <s v="B"/>
    <s v="10:17 AM"/>
    <s v="Delayed"/>
    <s v="4 Hours 3 Minutes"/>
    <x v="0"/>
  </r>
  <r>
    <x v="422"/>
    <x v="202"/>
    <x v="0"/>
    <x v="1"/>
    <s v="Trichy"/>
    <x v="6"/>
    <s v="Karthik"/>
    <n v="53"/>
    <n v="61"/>
    <x v="0"/>
    <n v="20000"/>
    <n v="18420"/>
    <n v="4000"/>
    <x v="0"/>
    <s v="No"/>
    <d v="2025-05-19T00:00:00"/>
    <d v="2025-09-16T00:00:00"/>
    <d v="1899-12-30T08:36:00"/>
    <d v="1899-12-30T12:28:00"/>
    <s v="D"/>
    <s v="08:36 AM"/>
    <s v="Delayed"/>
    <s v="3 Hours 52 Minutes"/>
    <x v="1"/>
  </r>
  <r>
    <x v="423"/>
    <x v="203"/>
    <x v="4"/>
    <x v="0"/>
    <s v="Erode"/>
    <x v="2"/>
    <s v="Priya"/>
    <n v="65"/>
    <n v="65"/>
    <x v="3"/>
    <n v="15000"/>
    <n v="15930"/>
    <n v="0"/>
    <x v="1"/>
    <s v="No"/>
    <d v="2025-08-03T00:00:00"/>
    <d v="2026-01-30T00:00:00"/>
    <d v="1899-12-30T09:01:00"/>
    <d v="1899-12-30T12:51:00"/>
    <s v="C"/>
    <s v="09:01 AM"/>
    <s v="Delayed"/>
    <s v="3 Hours 50 Minutes"/>
    <x v="1"/>
  </r>
  <r>
    <x v="424"/>
    <x v="156"/>
    <x v="9"/>
    <x v="1"/>
    <s v="Hyderabad"/>
    <x v="4"/>
    <s v="John"/>
    <n v="41"/>
    <n v="97"/>
    <x v="0"/>
    <n v="18000"/>
    <n v="19240"/>
    <n v="2000"/>
    <x v="0"/>
    <s v="No"/>
    <d v="2025-04-19T00:00:00"/>
    <d v="2025-08-17T00:00:00"/>
    <d v="1899-12-30T09:42:00"/>
    <d v="1899-12-30T14:28:00"/>
    <s v="D"/>
    <s v="09:42 AM"/>
    <s v="Delayed"/>
    <s v="4 Hours 46 Minutes"/>
    <x v="1"/>
  </r>
  <r>
    <x v="425"/>
    <x v="75"/>
    <x v="8"/>
    <x v="1"/>
    <s v="Salem"/>
    <x v="0"/>
    <s v="David"/>
    <n v="56"/>
    <n v="65"/>
    <x v="0"/>
    <n v="20000"/>
    <n v="19830"/>
    <n v="2000"/>
    <x v="0"/>
    <s v="No"/>
    <d v="2025-04-23T00:00:00"/>
    <d v="2025-05-23T00:00:00"/>
    <d v="1899-12-30T08:27:00"/>
    <d v="1899-12-30T11:50:00"/>
    <s v="D"/>
    <s v="08:27 AM"/>
    <s v="On Time"/>
    <s v="3 Hours 23 Minutes"/>
    <x v="1"/>
  </r>
  <r>
    <x v="426"/>
    <x v="61"/>
    <x v="10"/>
    <x v="1"/>
    <s v="Tirunelveli"/>
    <x v="7"/>
    <s v="Sneha"/>
    <n v="75"/>
    <n v="64"/>
    <x v="1"/>
    <n v="10000"/>
    <n v="6030"/>
    <n v="4000"/>
    <x v="0"/>
    <s v="No"/>
    <d v="2025-05-03T00:00:00"/>
    <d v="2025-07-02T00:00:00"/>
    <d v="1899-12-30T08:01:00"/>
    <d v="1899-12-30T12:56:00"/>
    <s v="B"/>
    <s v="08:01 AM"/>
    <s v="On Time"/>
    <s v="4 Hours 55 Minutes"/>
    <x v="1"/>
  </r>
  <r>
    <x v="427"/>
    <x v="88"/>
    <x v="10"/>
    <x v="0"/>
    <s v="Hyderabad"/>
    <x v="1"/>
    <s v="Nandhini"/>
    <n v="92"/>
    <n v="96"/>
    <x v="2"/>
    <n v="12000"/>
    <n v="8980"/>
    <n v="4000"/>
    <x v="0"/>
    <s v="No"/>
    <d v="2025-01-13T00:00:00"/>
    <d v="2025-05-13T00:00:00"/>
    <d v="1899-12-30T10:40:00"/>
    <d v="1899-12-30T12:10:00"/>
    <s v="A"/>
    <s v="10:40 AM"/>
    <s v="Delayed"/>
    <s v="1 Hours 30 Minutes"/>
    <x v="0"/>
  </r>
  <r>
    <x v="428"/>
    <x v="204"/>
    <x v="8"/>
    <x v="0"/>
    <s v="Thoothukudi"/>
    <x v="2"/>
    <s v="Priya"/>
    <n v="81"/>
    <n v="81"/>
    <x v="1"/>
    <n v="12000"/>
    <n v="9570"/>
    <n v="4000"/>
    <x v="0"/>
    <s v="No"/>
    <d v="2025-12-31T00:00:00"/>
    <d v="2026-04-30T00:00:00"/>
    <d v="1899-12-30T08:06:00"/>
    <d v="1899-12-30T12:35:00"/>
    <s v="B"/>
    <s v="08:06 AM"/>
    <s v="Delayed"/>
    <s v="4 Hours 29 Minutes"/>
    <x v="1"/>
  </r>
  <r>
    <x v="429"/>
    <x v="205"/>
    <x v="1"/>
    <x v="1"/>
    <s v="Vellore"/>
    <x v="4"/>
    <s v="John"/>
    <n v="63"/>
    <n v="100"/>
    <x v="3"/>
    <n v="20000"/>
    <n v="19830"/>
    <n v="2000"/>
    <x v="0"/>
    <s v="No"/>
    <d v="2025-08-26T00:00:00"/>
    <d v="2025-11-24T00:00:00"/>
    <d v="1899-12-30T09:56:00"/>
    <d v="1899-12-30T11:27:00"/>
    <s v="C"/>
    <s v="09:56 AM"/>
    <s v="On Time"/>
    <s v="1 Hours 31 Minutes"/>
    <x v="1"/>
  </r>
  <r>
    <x v="430"/>
    <x v="206"/>
    <x v="10"/>
    <x v="1"/>
    <s v="Madurai"/>
    <x v="2"/>
    <s v="Priya"/>
    <n v="46"/>
    <n v="86"/>
    <x v="0"/>
    <n v="20000"/>
    <n v="17830"/>
    <n v="4000"/>
    <x v="0"/>
    <s v="No"/>
    <d v="2025-04-16T00:00:00"/>
    <d v="2025-05-16T00:00:00"/>
    <d v="1899-12-30T09:43:00"/>
    <d v="1899-12-30T12:02:00"/>
    <s v="D"/>
    <s v="09:43 AM"/>
    <s v="On Time"/>
    <s v="2 Hours 19 Minutes"/>
    <x v="1"/>
  </r>
  <r>
    <x v="431"/>
    <x v="18"/>
    <x v="9"/>
    <x v="0"/>
    <s v="Madurai"/>
    <x v="6"/>
    <s v="Karthik"/>
    <n v="83"/>
    <n v="75"/>
    <x v="1"/>
    <n v="18000"/>
    <n v="18650"/>
    <n v="2000"/>
    <x v="0"/>
    <s v="No"/>
    <d v="2025-12-28T00:00:00"/>
    <d v="2026-04-27T00:00:00"/>
    <d v="1899-12-30T10:54:00"/>
    <d v="1899-12-30T15:40:00"/>
    <s v="B"/>
    <s v="10:54 AM"/>
    <s v="Delayed"/>
    <s v="4 Hours 46 Minutes"/>
    <x v="0"/>
  </r>
  <r>
    <x v="432"/>
    <x v="207"/>
    <x v="7"/>
    <x v="1"/>
    <s v="Chennai"/>
    <x v="4"/>
    <s v="John"/>
    <n v="97"/>
    <n v="99"/>
    <x v="2"/>
    <n v="10000"/>
    <n v="11800"/>
    <n v="0"/>
    <x v="1"/>
    <s v="No"/>
    <d v="2025-02-13T00:00:00"/>
    <d v="2025-05-14T00:00:00"/>
    <d v="1899-12-30T08:47:00"/>
    <d v="1899-12-30T12:17:00"/>
    <s v="A"/>
    <s v="08:47 AM"/>
    <s v="On Time"/>
    <s v="3 Hours 30 Minutes"/>
    <x v="1"/>
  </r>
  <r>
    <x v="433"/>
    <x v="179"/>
    <x v="0"/>
    <x v="1"/>
    <s v="Hyderabad"/>
    <x v="4"/>
    <s v="John"/>
    <n v="54"/>
    <n v="71"/>
    <x v="0"/>
    <n v="10000"/>
    <n v="8030"/>
    <n v="2000"/>
    <x v="0"/>
    <s v="No"/>
    <d v="2025-02-28T00:00:00"/>
    <d v="2025-05-29T00:00:00"/>
    <d v="1899-12-30T08:03:00"/>
    <d v="1899-12-30T10:23:00"/>
    <s v="D"/>
    <s v="08:03 AM"/>
    <s v="On Time"/>
    <s v="2 Hours 20 Minutes"/>
    <x v="1"/>
  </r>
  <r>
    <x v="434"/>
    <x v="91"/>
    <x v="3"/>
    <x v="0"/>
    <s v="Trichy"/>
    <x v="5"/>
    <s v="Mani Prabhu"/>
    <n v="50"/>
    <n v="94"/>
    <x v="0"/>
    <n v="15000"/>
    <n v="14520"/>
    <n v="2000"/>
    <x v="0"/>
    <s v="No"/>
    <d v="2025-11-26T00:00:00"/>
    <d v="2026-03-26T00:00:00"/>
    <d v="1899-12-30T08:46:00"/>
    <d v="1899-12-30T12:31:00"/>
    <s v="D"/>
    <s v="08:46 AM"/>
    <s v="Delayed"/>
    <s v="3 Hours 45 Minutes"/>
    <x v="1"/>
  </r>
  <r>
    <x v="435"/>
    <x v="26"/>
    <x v="6"/>
    <x v="0"/>
    <s v="Bengaluru"/>
    <x v="4"/>
    <s v="John"/>
    <n v="61"/>
    <n v="60"/>
    <x v="3"/>
    <n v="20000"/>
    <n v="23010"/>
    <n v="0"/>
    <x v="1"/>
    <s v="No"/>
    <d v="2025-02-06T00:00:00"/>
    <d v="2025-06-06T00:00:00"/>
    <d v="1899-12-30T09:12:00"/>
    <d v="1899-12-30T12:47:00"/>
    <s v="C"/>
    <s v="09:12 AM"/>
    <s v="Delayed"/>
    <s v="3 Hours 35 Minutes"/>
    <x v="1"/>
  </r>
  <r>
    <x v="436"/>
    <x v="125"/>
    <x v="5"/>
    <x v="1"/>
    <s v="Madurai"/>
    <x v="6"/>
    <s v="Karthik"/>
    <n v="59"/>
    <n v="90"/>
    <x v="0"/>
    <n v="15000"/>
    <n v="17700"/>
    <n v="0"/>
    <x v="1"/>
    <s v="No"/>
    <d v="2025-02-25T00:00:00"/>
    <d v="2025-03-27T00:00:00"/>
    <d v="1899-12-30T10:32:00"/>
    <d v="1899-12-30T13:57:00"/>
    <s v="D"/>
    <s v="10:32 AM"/>
    <s v="On Time"/>
    <s v="3 Hours 25 Minutes"/>
    <x v="0"/>
  </r>
  <r>
    <x v="437"/>
    <x v="165"/>
    <x v="4"/>
    <x v="0"/>
    <s v="Madurai"/>
    <x v="1"/>
    <s v="Nandhini"/>
    <n v="66"/>
    <n v="95"/>
    <x v="3"/>
    <n v="12000"/>
    <n v="10390"/>
    <n v="2000"/>
    <x v="0"/>
    <s v="No"/>
    <d v="2025-05-03T00:00:00"/>
    <d v="2025-10-30T00:00:00"/>
    <d v="1899-12-30T08:52:00"/>
    <d v="1899-12-30T12:11:00"/>
    <s v="C"/>
    <s v="08:52 AM"/>
    <s v="Delayed"/>
    <s v="3 Hours 19 Minutes"/>
    <x v="1"/>
  </r>
  <r>
    <x v="438"/>
    <x v="105"/>
    <x v="7"/>
    <x v="0"/>
    <s v="Vellore"/>
    <x v="2"/>
    <s v="Priya"/>
    <n v="81"/>
    <n v="63"/>
    <x v="1"/>
    <n v="20000"/>
    <n v="23600"/>
    <n v="0"/>
    <x v="1"/>
    <s v="Yes"/>
    <d v="2025-04-06T00:00:00"/>
    <d v="2025-08-04T00:00:00"/>
    <d v="1899-12-30T09:48:00"/>
    <d v="1899-12-30T14:08:00"/>
    <s v="B"/>
    <s v="09:48 AM"/>
    <s v="Delayed"/>
    <s v="4 Hours 20 Minutes"/>
    <x v="1"/>
  </r>
  <r>
    <x v="439"/>
    <x v="36"/>
    <x v="3"/>
    <x v="0"/>
    <s v="Coimbatore"/>
    <x v="4"/>
    <s v="John"/>
    <n v="100"/>
    <n v="75"/>
    <x v="2"/>
    <n v="12000"/>
    <n v="10980"/>
    <n v="2000"/>
    <x v="0"/>
    <s v="No"/>
    <d v="2025-06-10T00:00:00"/>
    <d v="2025-10-08T00:00:00"/>
    <d v="1899-12-30T08:24:00"/>
    <d v="1899-12-30T11:05:00"/>
    <s v="A"/>
    <s v="08:24 AM"/>
    <s v="Delayed"/>
    <s v="2 Hours 41 Minutes"/>
    <x v="1"/>
  </r>
  <r>
    <x v="440"/>
    <x v="85"/>
    <x v="6"/>
    <x v="0"/>
    <s v="Bengaluru"/>
    <x v="7"/>
    <s v="Sneha"/>
    <n v="54"/>
    <n v="99"/>
    <x v="0"/>
    <n v="20000"/>
    <n v="23600"/>
    <n v="0"/>
    <x v="1"/>
    <s v="No"/>
    <d v="2025-09-29T00:00:00"/>
    <d v="2025-10-29T00:00:00"/>
    <d v="1899-12-30T09:17:00"/>
    <d v="1899-12-30T11:58:00"/>
    <s v="D"/>
    <s v="09:17 AM"/>
    <s v="On Time"/>
    <s v="2 Hours 41 Minutes"/>
    <x v="1"/>
  </r>
  <r>
    <x v="441"/>
    <x v="101"/>
    <x v="2"/>
    <x v="0"/>
    <s v="Hyderabad"/>
    <x v="5"/>
    <s v="Mani Prabhu"/>
    <n v="43"/>
    <n v="98"/>
    <x v="0"/>
    <n v="12000"/>
    <n v="12390"/>
    <n v="0"/>
    <x v="1"/>
    <s v="No"/>
    <d v="2025-11-25T00:00:00"/>
    <d v="2026-03-25T00:00:00"/>
    <d v="1899-12-30T08:43:00"/>
    <d v="1899-12-30T13:08:00"/>
    <s v="D"/>
    <s v="08:43 AM"/>
    <s v="Delayed"/>
    <s v="4 Hours 25 Minutes"/>
    <x v="1"/>
  </r>
  <r>
    <x v="442"/>
    <x v="78"/>
    <x v="8"/>
    <x v="1"/>
    <s v="Bengaluru"/>
    <x v="4"/>
    <s v="John"/>
    <n v="56"/>
    <n v="91"/>
    <x v="0"/>
    <n v="12000"/>
    <n v="12980"/>
    <n v="0"/>
    <x v="1"/>
    <s v="No"/>
    <d v="2025-11-30T00:00:00"/>
    <d v="2026-03-30T00:00:00"/>
    <d v="1899-12-30T08:26:00"/>
    <d v="1899-12-30T12:54:00"/>
    <s v="D"/>
    <s v="08:26 AM"/>
    <s v="Delayed"/>
    <s v="4 Hours 28 Minutes"/>
    <x v="1"/>
  </r>
  <r>
    <x v="443"/>
    <x v="33"/>
    <x v="10"/>
    <x v="0"/>
    <s v="Trichy"/>
    <x v="1"/>
    <s v="Nandhini"/>
    <n v="42"/>
    <n v="63"/>
    <x v="0"/>
    <n v="10000"/>
    <n v="9800"/>
    <n v="2000"/>
    <x v="0"/>
    <s v="No"/>
    <d v="2025-04-20T00:00:00"/>
    <d v="2025-06-19T00:00:00"/>
    <d v="1899-12-30T08:25:00"/>
    <d v="1899-12-30T10:26:00"/>
    <s v="D"/>
    <s v="08:25 AM"/>
    <s v="On Time"/>
    <s v="2 Hours 1 Minutes"/>
    <x v="1"/>
  </r>
  <r>
    <x v="444"/>
    <x v="130"/>
    <x v="7"/>
    <x v="0"/>
    <s v="Vellore"/>
    <x v="4"/>
    <s v="John"/>
    <n v="100"/>
    <n v="99"/>
    <x v="2"/>
    <n v="10000"/>
    <n v="11800"/>
    <n v="0"/>
    <x v="1"/>
    <s v="No"/>
    <d v="2025-03-20T00:00:00"/>
    <d v="2025-04-19T00:00:00"/>
    <d v="1899-12-30T09:07:00"/>
    <d v="1899-12-30T11:23:00"/>
    <s v="A"/>
    <s v="09:07 AM"/>
    <s v="On Time"/>
    <s v="2 Hours 16 Minutes"/>
    <x v="1"/>
  </r>
  <r>
    <x v="445"/>
    <x v="80"/>
    <x v="0"/>
    <x v="1"/>
    <s v="Bengaluru"/>
    <x v="1"/>
    <s v="Nandhini"/>
    <n v="71"/>
    <n v="60"/>
    <x v="3"/>
    <n v="15000"/>
    <n v="13930"/>
    <n v="2000"/>
    <x v="0"/>
    <s v="Yes"/>
    <d v="2025-05-10T00:00:00"/>
    <d v="2025-09-07T00:00:00"/>
    <d v="1899-12-30T09:25:00"/>
    <d v="1899-12-30T12:12:00"/>
    <s v="C"/>
    <s v="09:25 AM"/>
    <s v="Delayed"/>
    <s v="2 Hours 47 Minutes"/>
    <x v="1"/>
  </r>
  <r>
    <x v="446"/>
    <x v="181"/>
    <x v="6"/>
    <x v="0"/>
    <s v="Thoothukudi"/>
    <x v="3"/>
    <s v="Arun"/>
    <n v="85"/>
    <n v="85"/>
    <x v="1"/>
    <n v="20000"/>
    <n v="20420"/>
    <n v="2000"/>
    <x v="0"/>
    <s v="No"/>
    <d v="2025-04-22T00:00:00"/>
    <d v="2025-07-21T00:00:00"/>
    <d v="1899-12-30T10:36:00"/>
    <d v="1899-12-30T15:28:00"/>
    <s v="B"/>
    <s v="10:36 AM"/>
    <s v="On Time"/>
    <s v="4 Hours 52 Minutes"/>
    <x v="0"/>
  </r>
  <r>
    <x v="447"/>
    <x v="51"/>
    <x v="0"/>
    <x v="1"/>
    <s v="Erode"/>
    <x v="5"/>
    <s v="Mani Prabhu"/>
    <n v="82"/>
    <n v="85"/>
    <x v="1"/>
    <n v="18000"/>
    <n v="21240"/>
    <n v="0"/>
    <x v="1"/>
    <s v="No"/>
    <d v="2025-04-30T00:00:00"/>
    <d v="2025-06-29T00:00:00"/>
    <d v="1899-12-30T08:30:00"/>
    <d v="1899-12-30T09:34:00"/>
    <s v="B"/>
    <s v="08:30 AM"/>
    <s v="On Time"/>
    <s v="1 Hours 4 Minutes"/>
    <x v="1"/>
  </r>
  <r>
    <x v="448"/>
    <x v="200"/>
    <x v="10"/>
    <x v="0"/>
    <s v="Tirunelveli"/>
    <x v="5"/>
    <s v="Mani Prabhu"/>
    <n v="77"/>
    <n v="67"/>
    <x v="1"/>
    <n v="18000"/>
    <n v="17470"/>
    <n v="2000"/>
    <x v="0"/>
    <s v="No"/>
    <d v="2025-01-09T00:00:00"/>
    <d v="2025-03-10T00:00:00"/>
    <d v="1899-12-30T10:10:00"/>
    <d v="1899-12-30T12:52:00"/>
    <s v="B"/>
    <s v="10:10 AM"/>
    <s v="On Time"/>
    <s v="2 Hours 42 Minutes"/>
    <x v="0"/>
  </r>
  <r>
    <x v="449"/>
    <x v="18"/>
    <x v="5"/>
    <x v="0"/>
    <s v="Erode"/>
    <x v="2"/>
    <s v="Priya"/>
    <n v="68"/>
    <n v="61"/>
    <x v="3"/>
    <n v="20000"/>
    <n v="19600"/>
    <n v="4000"/>
    <x v="0"/>
    <s v="No"/>
    <d v="2025-06-25T00:00:00"/>
    <d v="2025-12-22T00:00:00"/>
    <d v="1899-12-30T09:18:00"/>
    <d v="1899-12-30T10:25:00"/>
    <s v="C"/>
    <s v="09:18 AM"/>
    <s v="Delayed"/>
    <s v="1 Hours 7 Minutes"/>
    <x v="1"/>
  </r>
  <r>
    <x v="450"/>
    <x v="109"/>
    <x v="7"/>
    <x v="0"/>
    <s v="Kanchipuram"/>
    <x v="5"/>
    <s v="Mani Prabhu"/>
    <n v="46"/>
    <n v="93"/>
    <x v="0"/>
    <n v="10000"/>
    <n v="8030"/>
    <n v="2000"/>
    <x v="0"/>
    <s v="No"/>
    <d v="2025-01-22T00:00:00"/>
    <d v="2025-07-21T00:00:00"/>
    <d v="1899-12-30T08:20:00"/>
    <d v="1899-12-30T10:21:00"/>
    <s v="D"/>
    <s v="08:20 AM"/>
    <s v="Delayed"/>
    <s v="2 Hours 1 Minutes"/>
    <x v="1"/>
  </r>
  <r>
    <x v="451"/>
    <x v="208"/>
    <x v="5"/>
    <x v="1"/>
    <s v="Tirunelveli"/>
    <x v="0"/>
    <s v="David"/>
    <n v="68"/>
    <n v="75"/>
    <x v="3"/>
    <n v="20000"/>
    <n v="19010"/>
    <n v="4000"/>
    <x v="0"/>
    <s v="No"/>
    <d v="2025-03-19T00:00:00"/>
    <d v="2025-05-18T00:00:00"/>
    <d v="1899-12-30T09:12:00"/>
    <d v="1899-12-30T10:23:00"/>
    <s v="C"/>
    <s v="09:12 AM"/>
    <s v="On Time"/>
    <s v="1 Hours 11 Minutes"/>
    <x v="1"/>
  </r>
  <r>
    <x v="452"/>
    <x v="92"/>
    <x v="3"/>
    <x v="0"/>
    <s v="Thoothukudi"/>
    <x v="1"/>
    <s v="Nandhini"/>
    <n v="47"/>
    <n v="95"/>
    <x v="0"/>
    <n v="12000"/>
    <n v="8980"/>
    <n v="4000"/>
    <x v="0"/>
    <s v="No"/>
    <d v="2025-07-07T00:00:00"/>
    <d v="2025-08-06T00:00:00"/>
    <d v="1899-12-30T10:50:00"/>
    <d v="1899-12-30T12:30:00"/>
    <s v="D"/>
    <s v="10:50 AM"/>
    <s v="On Time"/>
    <s v="1 Hours 40 Minutes"/>
    <x v="0"/>
  </r>
  <r>
    <x v="453"/>
    <x v="49"/>
    <x v="2"/>
    <x v="0"/>
    <s v="Thoothukudi"/>
    <x v="0"/>
    <s v="David"/>
    <n v="91"/>
    <n v="63"/>
    <x v="2"/>
    <n v="10000"/>
    <n v="9800"/>
    <n v="2000"/>
    <x v="0"/>
    <s v="No"/>
    <d v="2025-12-07T00:00:00"/>
    <d v="2026-03-07T00:00:00"/>
    <d v="1899-12-30T08:34:00"/>
    <d v="1899-12-30T11:25:00"/>
    <s v="A"/>
    <s v="08:34 AM"/>
    <s v="On Time"/>
    <s v="2 Hours 51 Minutes"/>
    <x v="1"/>
  </r>
  <r>
    <x v="454"/>
    <x v="209"/>
    <x v="1"/>
    <x v="0"/>
    <s v="Vellore"/>
    <x v="1"/>
    <s v="Nandhini"/>
    <n v="65"/>
    <n v="72"/>
    <x v="3"/>
    <n v="18000"/>
    <n v="19240"/>
    <n v="2000"/>
    <x v="0"/>
    <s v="No"/>
    <d v="2025-01-21T00:00:00"/>
    <d v="2025-07-20T00:00:00"/>
    <d v="1899-12-30T10:47:00"/>
    <d v="1899-12-30T14:20:00"/>
    <s v="C"/>
    <s v="10:47 AM"/>
    <s v="Delayed"/>
    <s v="3 Hours 33 Minutes"/>
    <x v="0"/>
  </r>
  <r>
    <x v="455"/>
    <x v="96"/>
    <x v="3"/>
    <x v="1"/>
    <s v="Thoothukudi"/>
    <x v="0"/>
    <s v="David"/>
    <n v="100"/>
    <n v="97"/>
    <x v="2"/>
    <n v="10000"/>
    <n v="6620"/>
    <n v="4000"/>
    <x v="0"/>
    <s v="No"/>
    <d v="2025-03-13T00:00:00"/>
    <d v="2025-04-12T00:00:00"/>
    <d v="1899-12-30T09:46:00"/>
    <d v="1899-12-30T14:40:00"/>
    <s v="A"/>
    <s v="09:46 AM"/>
    <s v="On Time"/>
    <s v="4 Hours 54 Minutes"/>
    <x v="1"/>
  </r>
  <r>
    <x v="456"/>
    <x v="159"/>
    <x v="9"/>
    <x v="1"/>
    <s v="Kanchipuram"/>
    <x v="0"/>
    <s v="David"/>
    <n v="38"/>
    <n v="94"/>
    <x v="0"/>
    <n v="12000"/>
    <n v="12160"/>
    <n v="2000"/>
    <x v="0"/>
    <s v="No"/>
    <d v="2025-06-07T00:00:00"/>
    <d v="2025-10-05T00:00:00"/>
    <d v="1899-12-30T10:29:00"/>
    <d v="1899-12-30T12:08:00"/>
    <s v="D"/>
    <s v="10:29 AM"/>
    <s v="Delayed"/>
    <s v="1 Hours 39 Minutes"/>
    <x v="0"/>
  </r>
  <r>
    <x v="457"/>
    <x v="168"/>
    <x v="6"/>
    <x v="0"/>
    <s v="Hyderabad"/>
    <x v="2"/>
    <s v="Priya"/>
    <n v="64"/>
    <n v="74"/>
    <x v="3"/>
    <n v="18000"/>
    <n v="19240"/>
    <n v="2000"/>
    <x v="0"/>
    <s v="No"/>
    <d v="2025-08-07T00:00:00"/>
    <d v="2025-10-06T00:00:00"/>
    <d v="1899-12-30T09:52:00"/>
    <d v="1899-12-30T11:41:00"/>
    <s v="C"/>
    <s v="09:52 AM"/>
    <s v="On Time"/>
    <s v="1 Hours 49 Minutes"/>
    <x v="1"/>
  </r>
  <r>
    <x v="458"/>
    <x v="31"/>
    <x v="10"/>
    <x v="0"/>
    <s v="Erode"/>
    <x v="5"/>
    <s v="Mani Prabhu"/>
    <n v="47"/>
    <n v="79"/>
    <x v="0"/>
    <n v="15000"/>
    <n v="16520"/>
    <n v="0"/>
    <x v="1"/>
    <s v="No"/>
    <d v="2025-06-19T00:00:00"/>
    <d v="2025-10-17T00:00:00"/>
    <d v="1899-12-30T09:47:00"/>
    <d v="1899-12-30T13:29:00"/>
    <s v="D"/>
    <s v="09:47 AM"/>
    <s v="Delayed"/>
    <s v="3 Hours 42 Minutes"/>
    <x v="1"/>
  </r>
  <r>
    <x v="459"/>
    <x v="83"/>
    <x v="2"/>
    <x v="1"/>
    <s v="Salem"/>
    <x v="0"/>
    <s v="David"/>
    <n v="36"/>
    <n v="78"/>
    <x v="0"/>
    <n v="10000"/>
    <n v="9800"/>
    <n v="2000"/>
    <x v="0"/>
    <s v="No"/>
    <d v="2025-08-25T00:00:00"/>
    <d v="2025-11-23T00:00:00"/>
    <d v="1899-12-30T09:20:00"/>
    <d v="1899-12-30T12:17:00"/>
    <s v="D"/>
    <s v="09:20 AM"/>
    <s v="On Time"/>
    <s v="2 Hours 57 Minutes"/>
    <x v="1"/>
  </r>
  <r>
    <x v="460"/>
    <x v="69"/>
    <x v="9"/>
    <x v="0"/>
    <s v="Trichy"/>
    <x v="7"/>
    <s v="Sneha"/>
    <n v="35"/>
    <n v="72"/>
    <x v="0"/>
    <n v="12000"/>
    <n v="12980"/>
    <n v="0"/>
    <x v="1"/>
    <s v="Yes"/>
    <d v="2025-08-30T00:00:00"/>
    <d v="2025-11-28T00:00:00"/>
    <d v="1899-12-30T08:21:00"/>
    <d v="1899-12-30T11:25:00"/>
    <s v="D"/>
    <s v="08:21 AM"/>
    <s v="On Time"/>
    <s v="3 Hours 4 Minutes"/>
    <x v="1"/>
  </r>
  <r>
    <x v="461"/>
    <x v="13"/>
    <x v="0"/>
    <x v="0"/>
    <s v="Trichy"/>
    <x v="3"/>
    <s v="Arun"/>
    <n v="71"/>
    <n v="89"/>
    <x v="3"/>
    <n v="10000"/>
    <n v="7210"/>
    <n v="4000"/>
    <x v="0"/>
    <s v="No"/>
    <d v="2025-06-10T00:00:00"/>
    <d v="2025-09-08T00:00:00"/>
    <d v="1899-12-30T10:46:00"/>
    <d v="1899-12-30T14:08:00"/>
    <s v="C"/>
    <s v="10:46 AM"/>
    <s v="On Time"/>
    <s v="3 Hours 22 Minutes"/>
    <x v="0"/>
  </r>
  <r>
    <x v="462"/>
    <x v="112"/>
    <x v="7"/>
    <x v="1"/>
    <s v="Madurai"/>
    <x v="7"/>
    <s v="Sneha"/>
    <n v="46"/>
    <n v="83"/>
    <x v="0"/>
    <n v="18000"/>
    <n v="19240"/>
    <n v="2000"/>
    <x v="0"/>
    <s v="No"/>
    <d v="2025-08-17T00:00:00"/>
    <d v="2025-11-15T00:00:00"/>
    <d v="1899-12-30T08:25:00"/>
    <d v="1899-12-30T12:26:00"/>
    <s v="D"/>
    <s v="08:25 AM"/>
    <s v="On Time"/>
    <s v="4 Hours 1 Minutes"/>
    <x v="1"/>
  </r>
  <r>
    <x v="463"/>
    <x v="0"/>
    <x v="8"/>
    <x v="1"/>
    <s v="Vellore"/>
    <x v="1"/>
    <s v="Nandhini"/>
    <n v="93"/>
    <n v="98"/>
    <x v="2"/>
    <n v="10000"/>
    <n v="11210"/>
    <n v="0"/>
    <x v="1"/>
    <s v="No"/>
    <d v="2025-08-18T00:00:00"/>
    <d v="2025-12-16T00:00:00"/>
    <d v="1899-12-30T08:47:00"/>
    <d v="1899-12-30T13:14:00"/>
    <s v="A"/>
    <s v="08:47 AM"/>
    <s v="Delayed"/>
    <s v="4 Hours 27 Minutes"/>
    <x v="1"/>
  </r>
  <r>
    <x v="464"/>
    <x v="196"/>
    <x v="7"/>
    <x v="1"/>
    <s v="Salem"/>
    <x v="5"/>
    <s v="Mani Prabhu"/>
    <n v="52"/>
    <n v="98"/>
    <x v="0"/>
    <n v="18000"/>
    <n v="19470"/>
    <n v="0"/>
    <x v="1"/>
    <s v="No"/>
    <d v="2025-08-24T00:00:00"/>
    <d v="2026-02-20T00:00:00"/>
    <d v="1899-12-30T09:52:00"/>
    <d v="1899-12-30T11:27:00"/>
    <s v="D"/>
    <s v="09:52 AM"/>
    <s v="Delayed"/>
    <s v="1 Hours 35 Minutes"/>
    <x v="1"/>
  </r>
  <r>
    <x v="465"/>
    <x v="178"/>
    <x v="1"/>
    <x v="1"/>
    <s v="Erode"/>
    <x v="7"/>
    <s v="Sneha"/>
    <n v="82"/>
    <n v="83"/>
    <x v="1"/>
    <n v="10000"/>
    <n v="8030"/>
    <n v="2000"/>
    <x v="0"/>
    <s v="No"/>
    <d v="2025-09-16T00:00:00"/>
    <d v="2025-11-15T00:00:00"/>
    <d v="1899-12-30T10:27:00"/>
    <d v="1899-12-30T12:33:00"/>
    <s v="B"/>
    <s v="10:27 AM"/>
    <s v="On Time"/>
    <s v="2 Hours 6 Minutes"/>
    <x v="0"/>
  </r>
  <r>
    <x v="466"/>
    <x v="132"/>
    <x v="8"/>
    <x v="1"/>
    <s v="Vellore"/>
    <x v="1"/>
    <s v="Nandhini"/>
    <n v="53"/>
    <n v="77"/>
    <x v="0"/>
    <n v="12000"/>
    <n v="10160"/>
    <n v="4000"/>
    <x v="0"/>
    <s v="No"/>
    <d v="2025-04-28T00:00:00"/>
    <d v="2025-05-28T00:00:00"/>
    <d v="1899-12-30T09:07:00"/>
    <d v="1899-12-30T13:21:00"/>
    <s v="D"/>
    <s v="09:07 AM"/>
    <s v="On Time"/>
    <s v="4 Hours 14 Minutes"/>
    <x v="1"/>
  </r>
  <r>
    <x v="467"/>
    <x v="183"/>
    <x v="1"/>
    <x v="1"/>
    <s v="Tirunelveli"/>
    <x v="2"/>
    <s v="Priya"/>
    <n v="49"/>
    <n v="95"/>
    <x v="0"/>
    <n v="20000"/>
    <n v="17830"/>
    <n v="4000"/>
    <x v="0"/>
    <s v="No"/>
    <d v="2025-03-30T00:00:00"/>
    <d v="2025-04-29T00:00:00"/>
    <d v="1899-12-30T08:33:00"/>
    <d v="1899-12-30T13:32:00"/>
    <s v="D"/>
    <s v="08:33 AM"/>
    <s v="On Time"/>
    <s v="4 Hours 59 Minutes"/>
    <x v="1"/>
  </r>
  <r>
    <x v="468"/>
    <x v="191"/>
    <x v="9"/>
    <x v="1"/>
    <s v="Erode"/>
    <x v="3"/>
    <s v="Arun"/>
    <n v="90"/>
    <n v="79"/>
    <x v="2"/>
    <n v="20000"/>
    <n v="17830"/>
    <n v="4000"/>
    <x v="0"/>
    <s v="No"/>
    <d v="2025-04-10T00:00:00"/>
    <d v="2025-08-08T00:00:00"/>
    <d v="1899-12-30T10:20:00"/>
    <d v="1899-12-30T13:47:00"/>
    <s v="A"/>
    <s v="10:20 AM"/>
    <s v="Delayed"/>
    <s v="3 Hours 27 Minutes"/>
    <x v="0"/>
  </r>
  <r>
    <x v="469"/>
    <x v="136"/>
    <x v="3"/>
    <x v="0"/>
    <s v="Bengaluru"/>
    <x v="5"/>
    <s v="Mani Prabhu"/>
    <n v="35"/>
    <n v="78"/>
    <x v="0"/>
    <n v="12000"/>
    <n v="12390"/>
    <n v="0"/>
    <x v="1"/>
    <s v="No"/>
    <d v="2025-01-09T00:00:00"/>
    <d v="2025-04-09T00:00:00"/>
    <d v="1899-12-30T10:13:00"/>
    <d v="1899-12-30T11:36:00"/>
    <s v="D"/>
    <s v="10:13 AM"/>
    <s v="On Time"/>
    <s v="1 Hours 23 Minutes"/>
    <x v="0"/>
  </r>
  <r>
    <x v="470"/>
    <x v="138"/>
    <x v="6"/>
    <x v="0"/>
    <s v="Tirunelveli"/>
    <x v="4"/>
    <s v="John"/>
    <n v="95"/>
    <n v="63"/>
    <x v="2"/>
    <n v="10000"/>
    <n v="7210"/>
    <n v="4000"/>
    <x v="0"/>
    <s v="No"/>
    <d v="2025-09-02T00:00:00"/>
    <d v="2025-12-31T00:00:00"/>
    <d v="1899-12-30T09:01:00"/>
    <d v="1899-12-30T13:59:00"/>
    <s v="A"/>
    <s v="09:01 AM"/>
    <s v="Delayed"/>
    <s v="4 Hours 58 Minutes"/>
    <x v="1"/>
  </r>
  <r>
    <x v="471"/>
    <x v="210"/>
    <x v="6"/>
    <x v="0"/>
    <s v="Thoothukudi"/>
    <x v="6"/>
    <s v="Karthik"/>
    <n v="59"/>
    <n v="73"/>
    <x v="0"/>
    <n v="15000"/>
    <n v="17110"/>
    <n v="0"/>
    <x v="1"/>
    <s v="No"/>
    <d v="2025-07-19T00:00:00"/>
    <d v="2025-10-17T00:00:00"/>
    <d v="1899-12-30T09:28:00"/>
    <d v="1899-12-30T12:28:00"/>
    <s v="D"/>
    <s v="09:28 AM"/>
    <s v="On Time"/>
    <s v="3 Hours 0 Minutes"/>
    <x v="1"/>
  </r>
  <r>
    <x v="472"/>
    <x v="36"/>
    <x v="6"/>
    <x v="0"/>
    <s v="Kanchipuram"/>
    <x v="7"/>
    <s v="Sneha"/>
    <n v="73"/>
    <n v="71"/>
    <x v="3"/>
    <n v="10000"/>
    <n v="10620"/>
    <n v="0"/>
    <x v="1"/>
    <s v="No"/>
    <d v="2025-10-17T00:00:00"/>
    <d v="2025-11-16T00:00:00"/>
    <d v="1899-12-30T08:21:00"/>
    <d v="1899-12-30T13:19:00"/>
    <s v="C"/>
    <s v="08:21 AM"/>
    <s v="On Time"/>
    <s v="4 Hours 58 Minutes"/>
    <x v="1"/>
  </r>
  <r>
    <x v="473"/>
    <x v="128"/>
    <x v="9"/>
    <x v="0"/>
    <s v="Salem"/>
    <x v="7"/>
    <s v="Sneha"/>
    <n v="89"/>
    <n v="66"/>
    <x v="1"/>
    <n v="10000"/>
    <n v="7210"/>
    <n v="4000"/>
    <x v="0"/>
    <s v="Yes"/>
    <d v="2025-09-20T00:00:00"/>
    <d v="2025-12-19T00:00:00"/>
    <d v="1899-12-30T10:58:00"/>
    <d v="1899-12-30T15:49:00"/>
    <s v="B"/>
    <s v="10:58 AM"/>
    <s v="On Time"/>
    <s v="4 Hours 51 Minutes"/>
    <x v="0"/>
  </r>
  <r>
    <x v="474"/>
    <x v="143"/>
    <x v="4"/>
    <x v="1"/>
    <s v="Trichy"/>
    <x v="2"/>
    <s v="Priya"/>
    <n v="76"/>
    <n v="98"/>
    <x v="1"/>
    <n v="20000"/>
    <n v="23010"/>
    <n v="0"/>
    <x v="1"/>
    <s v="No"/>
    <d v="2025-02-28T00:00:00"/>
    <d v="2025-06-28T00:00:00"/>
    <d v="1899-12-30T08:21:00"/>
    <d v="1899-12-30T10:58:00"/>
    <s v="B"/>
    <s v="08:21 AM"/>
    <s v="Delayed"/>
    <s v="2 Hours 37 Minutes"/>
    <x v="1"/>
  </r>
  <r>
    <x v="475"/>
    <x v="128"/>
    <x v="2"/>
    <x v="1"/>
    <s v="Salem"/>
    <x v="3"/>
    <s v="Arun"/>
    <n v="79"/>
    <n v="65"/>
    <x v="1"/>
    <n v="12000"/>
    <n v="12980"/>
    <n v="0"/>
    <x v="1"/>
    <s v="No"/>
    <d v="2025-04-10T00:00:00"/>
    <d v="2025-08-08T00:00:00"/>
    <d v="1899-12-30T09:46:00"/>
    <d v="1899-12-30T13:53:00"/>
    <s v="B"/>
    <s v="09:46 AM"/>
    <s v="Delayed"/>
    <s v="4 Hours 7 Minutes"/>
    <x v="1"/>
  </r>
  <r>
    <x v="476"/>
    <x v="167"/>
    <x v="1"/>
    <x v="0"/>
    <s v="Coimbatore"/>
    <x v="2"/>
    <s v="Priya"/>
    <n v="94"/>
    <n v="72"/>
    <x v="2"/>
    <n v="15000"/>
    <n v="12520"/>
    <n v="4000"/>
    <x v="0"/>
    <s v="No"/>
    <d v="2025-07-16T00:00:00"/>
    <d v="2025-09-14T00:00:00"/>
    <d v="1899-12-30T09:17:00"/>
    <d v="1899-12-30T13:41:00"/>
    <s v="A"/>
    <s v="09:17 AM"/>
    <s v="On Time"/>
    <s v="4 Hours 24 Minutes"/>
    <x v="1"/>
  </r>
  <r>
    <x v="477"/>
    <x v="41"/>
    <x v="0"/>
    <x v="0"/>
    <s v="Hyderabad"/>
    <x v="5"/>
    <s v="Mani Prabhu"/>
    <n v="95"/>
    <n v="75"/>
    <x v="2"/>
    <n v="15000"/>
    <n v="15110"/>
    <n v="2000"/>
    <x v="0"/>
    <s v="No"/>
    <d v="2025-01-10T00:00:00"/>
    <d v="2025-04-10T00:00:00"/>
    <d v="1899-12-30T09:03:00"/>
    <d v="1899-12-30T13:56:00"/>
    <s v="A"/>
    <s v="09:03 AM"/>
    <s v="On Time"/>
    <s v="4 Hours 53 Minutes"/>
    <x v="1"/>
  </r>
  <r>
    <x v="478"/>
    <x v="73"/>
    <x v="10"/>
    <x v="1"/>
    <s v="Hyderabad"/>
    <x v="6"/>
    <s v="Karthik"/>
    <n v="100"/>
    <n v="78"/>
    <x v="2"/>
    <n v="15000"/>
    <n v="17700"/>
    <n v="0"/>
    <x v="1"/>
    <s v="No"/>
    <d v="2025-09-18T00:00:00"/>
    <d v="2025-10-18T00:00:00"/>
    <d v="1899-12-30T09:34:00"/>
    <d v="1899-12-30T12:19:00"/>
    <s v="A"/>
    <s v="09:34 AM"/>
    <s v="On Time"/>
    <s v="2 Hours 45 Minutes"/>
    <x v="1"/>
  </r>
  <r>
    <x v="479"/>
    <x v="5"/>
    <x v="7"/>
    <x v="1"/>
    <s v="Vellore"/>
    <x v="5"/>
    <s v="Mani Prabhu"/>
    <n v="54"/>
    <n v="68"/>
    <x v="0"/>
    <n v="10000"/>
    <n v="6030"/>
    <n v="4000"/>
    <x v="0"/>
    <s v="Yes"/>
    <d v="2025-07-13T00:00:00"/>
    <d v="2025-10-11T00:00:00"/>
    <d v="1899-12-30T09:21:00"/>
    <d v="1899-12-30T11:20:00"/>
    <s v="D"/>
    <s v="09:21 AM"/>
    <s v="On Time"/>
    <s v="1 Hours 59 Minutes"/>
    <x v="1"/>
  </r>
  <r>
    <x v="480"/>
    <x v="190"/>
    <x v="6"/>
    <x v="0"/>
    <s v="Hyderabad"/>
    <x v="6"/>
    <s v="Karthik"/>
    <n v="89"/>
    <n v="63"/>
    <x v="1"/>
    <n v="20000"/>
    <n v="19830"/>
    <n v="2000"/>
    <x v="0"/>
    <s v="No"/>
    <d v="2025-07-15T00:00:00"/>
    <d v="2025-08-14T00:00:00"/>
    <d v="1899-12-30T09:22:00"/>
    <d v="1899-12-30T13:16:00"/>
    <s v="B"/>
    <s v="09:22 AM"/>
    <s v="On Time"/>
    <s v="3 Hours 54 Minutes"/>
    <x v="1"/>
  </r>
  <r>
    <x v="481"/>
    <x v="211"/>
    <x v="0"/>
    <x v="0"/>
    <s v="Salem"/>
    <x v="2"/>
    <s v="Priya"/>
    <n v="62"/>
    <n v="62"/>
    <x v="3"/>
    <n v="18000"/>
    <n v="19240"/>
    <n v="2000"/>
    <x v="0"/>
    <s v="No"/>
    <d v="2025-07-30T00:00:00"/>
    <d v="2025-11-27T00:00:00"/>
    <d v="1899-12-30T09:04:00"/>
    <d v="1899-12-30T12:26:00"/>
    <s v="C"/>
    <s v="09:04 AM"/>
    <s v="Delayed"/>
    <s v="3 Hours 22 Minutes"/>
    <x v="1"/>
  </r>
  <r>
    <x v="482"/>
    <x v="172"/>
    <x v="8"/>
    <x v="0"/>
    <s v="Trichy"/>
    <x v="4"/>
    <s v="John"/>
    <n v="61"/>
    <n v="79"/>
    <x v="3"/>
    <n v="10000"/>
    <n v="6620"/>
    <n v="4000"/>
    <x v="0"/>
    <s v="No"/>
    <d v="2025-11-11T00:00:00"/>
    <d v="2026-01-10T00:00:00"/>
    <d v="1899-12-30T10:03:00"/>
    <d v="1899-12-30T14:58:00"/>
    <s v="C"/>
    <s v="10:03 AM"/>
    <s v="On Time"/>
    <s v="4 Hours 55 Minutes"/>
    <x v="0"/>
  </r>
  <r>
    <x v="483"/>
    <x v="10"/>
    <x v="9"/>
    <x v="1"/>
    <s v="Erode"/>
    <x v="4"/>
    <s v="John"/>
    <n v="82"/>
    <n v="82"/>
    <x v="1"/>
    <n v="20000"/>
    <n v="21830"/>
    <n v="0"/>
    <x v="1"/>
    <s v="No"/>
    <d v="2025-06-01T00:00:00"/>
    <d v="2025-11-28T00:00:00"/>
    <d v="1899-12-30T09:10:00"/>
    <d v="1899-12-30T10:24:00"/>
    <s v="B"/>
    <s v="09:10 AM"/>
    <s v="Delayed"/>
    <s v="1 Hours 14 Minutes"/>
    <x v="1"/>
  </r>
  <r>
    <x v="484"/>
    <x v="45"/>
    <x v="8"/>
    <x v="0"/>
    <s v="Erode"/>
    <x v="0"/>
    <s v="David"/>
    <n v="51"/>
    <n v="93"/>
    <x v="0"/>
    <n v="18000"/>
    <n v="21240"/>
    <n v="0"/>
    <x v="1"/>
    <s v="No"/>
    <d v="2025-09-30T00:00:00"/>
    <d v="2026-03-29T00:00:00"/>
    <d v="1899-12-30T08:26:00"/>
    <d v="1899-12-30T12:46:00"/>
    <s v="D"/>
    <s v="08:26 AM"/>
    <s v="Delayed"/>
    <s v="4 Hours 20 Minutes"/>
    <x v="1"/>
  </r>
  <r>
    <x v="485"/>
    <x v="197"/>
    <x v="8"/>
    <x v="1"/>
    <s v="Tirunelveli"/>
    <x v="7"/>
    <s v="Sneha"/>
    <n v="73"/>
    <n v="95"/>
    <x v="3"/>
    <n v="18000"/>
    <n v="18060"/>
    <n v="2000"/>
    <x v="0"/>
    <s v="No"/>
    <d v="2025-01-16T00:00:00"/>
    <d v="2025-02-15T00:00:00"/>
    <d v="1899-12-30T08:17:00"/>
    <d v="1899-12-30T11:41:00"/>
    <s v="C"/>
    <s v="08:17 AM"/>
    <s v="On Time"/>
    <s v="3 Hours 24 Minutes"/>
    <x v="1"/>
  </r>
  <r>
    <x v="486"/>
    <x v="115"/>
    <x v="9"/>
    <x v="1"/>
    <s v="Madurai"/>
    <x v="6"/>
    <s v="Karthik"/>
    <n v="68"/>
    <n v="73"/>
    <x v="3"/>
    <n v="18000"/>
    <n v="19240"/>
    <n v="2000"/>
    <x v="0"/>
    <s v="No"/>
    <d v="2025-11-03T00:00:00"/>
    <d v="2026-01-02T00:00:00"/>
    <d v="1899-12-30T10:48:00"/>
    <d v="1899-12-30T15:10:00"/>
    <s v="C"/>
    <s v="10:48 AM"/>
    <s v="On Time"/>
    <s v="4 Hours 22 Minutes"/>
    <x v="0"/>
  </r>
  <r>
    <x v="487"/>
    <x v="77"/>
    <x v="4"/>
    <x v="0"/>
    <s v="Bengaluru"/>
    <x v="5"/>
    <s v="Mani Prabhu"/>
    <n v="79"/>
    <n v="74"/>
    <x v="1"/>
    <n v="20000"/>
    <n v="19600"/>
    <n v="4000"/>
    <x v="0"/>
    <s v="No"/>
    <d v="2025-01-25T00:00:00"/>
    <d v="2025-02-24T00:00:00"/>
    <d v="1899-12-30T08:00:00"/>
    <d v="1899-12-30T12:26:00"/>
    <s v="B"/>
    <s v="08:00 AM"/>
    <s v="On Time"/>
    <s v="4 Hours 26 Minutes"/>
    <x v="1"/>
  </r>
  <r>
    <x v="488"/>
    <x v="212"/>
    <x v="10"/>
    <x v="1"/>
    <s v="Madurai"/>
    <x v="4"/>
    <s v="John"/>
    <n v="91"/>
    <n v="74"/>
    <x v="2"/>
    <n v="15000"/>
    <n v="16520"/>
    <n v="0"/>
    <x v="1"/>
    <s v="No"/>
    <d v="2025-03-18T00:00:00"/>
    <d v="2025-06-16T00:00:00"/>
    <d v="1899-12-30T08:05:00"/>
    <d v="1899-12-30T12:47:00"/>
    <s v="A"/>
    <s v="08:05 AM"/>
    <s v="On Time"/>
    <s v="4 Hours 42 Minutes"/>
    <x v="1"/>
  </r>
  <r>
    <x v="489"/>
    <x v="213"/>
    <x v="8"/>
    <x v="1"/>
    <s v="Coimbatore"/>
    <x v="3"/>
    <s v="Arun"/>
    <n v="80"/>
    <n v="89"/>
    <x v="1"/>
    <n v="12000"/>
    <n v="8980"/>
    <n v="4000"/>
    <x v="0"/>
    <s v="No"/>
    <d v="2025-05-30T00:00:00"/>
    <d v="2025-09-27T00:00:00"/>
    <d v="1899-12-30T09:11:00"/>
    <d v="1899-12-30T14:08:00"/>
    <s v="B"/>
    <s v="09:11 AM"/>
    <s v="Delayed"/>
    <s v="4 Hours 57 Minutes"/>
    <x v="1"/>
  </r>
  <r>
    <x v="490"/>
    <x v="43"/>
    <x v="3"/>
    <x v="0"/>
    <s v="Coimbatore"/>
    <x v="1"/>
    <s v="Nandhini"/>
    <n v="51"/>
    <n v="71"/>
    <x v="0"/>
    <n v="20000"/>
    <n v="23600"/>
    <n v="0"/>
    <x v="1"/>
    <s v="No"/>
    <d v="2025-07-28T00:00:00"/>
    <d v="2025-10-26T00:00:00"/>
    <d v="1899-12-30T08:20:00"/>
    <d v="1899-12-30T10:55:00"/>
    <s v="D"/>
    <s v="08:20 AM"/>
    <s v="On Time"/>
    <s v="2 Hours 35 Minutes"/>
    <x v="1"/>
  </r>
  <r>
    <x v="491"/>
    <x v="121"/>
    <x v="4"/>
    <x v="1"/>
    <s v="Bengaluru"/>
    <x v="0"/>
    <s v="David"/>
    <n v="41"/>
    <n v="92"/>
    <x v="0"/>
    <n v="15000"/>
    <n v="17700"/>
    <n v="0"/>
    <x v="1"/>
    <s v="No"/>
    <d v="2025-02-27T00:00:00"/>
    <d v="2025-08-26T00:00:00"/>
    <d v="1899-12-30T09:33:00"/>
    <d v="1899-12-30T12:51:00"/>
    <s v="D"/>
    <s v="09:33 AM"/>
    <s v="Delayed"/>
    <s v="3 Hours 18 Minutes"/>
    <x v="1"/>
  </r>
  <r>
    <x v="492"/>
    <x v="12"/>
    <x v="9"/>
    <x v="1"/>
    <s v="Salem"/>
    <x v="5"/>
    <s v="Mani Prabhu"/>
    <n v="51"/>
    <n v="91"/>
    <x v="0"/>
    <n v="20000"/>
    <n v="23010"/>
    <n v="0"/>
    <x v="1"/>
    <s v="No"/>
    <d v="2025-02-21T00:00:00"/>
    <d v="2025-05-22T00:00:00"/>
    <d v="1899-12-30T09:37:00"/>
    <d v="1899-12-30T12:46:00"/>
    <s v="D"/>
    <s v="09:37 AM"/>
    <s v="On Time"/>
    <s v="3 Hours 9 Minutes"/>
    <x v="1"/>
  </r>
  <r>
    <x v="493"/>
    <x v="100"/>
    <x v="6"/>
    <x v="0"/>
    <s v="Salem"/>
    <x v="4"/>
    <s v="John"/>
    <n v="63"/>
    <n v="89"/>
    <x v="3"/>
    <n v="18000"/>
    <n v="18060"/>
    <n v="2000"/>
    <x v="0"/>
    <s v="No"/>
    <d v="2025-08-01T00:00:00"/>
    <d v="2025-09-30T00:00:00"/>
    <d v="1899-12-30T08:52:00"/>
    <d v="1899-12-30T11:28:00"/>
    <s v="C"/>
    <s v="08:52 AM"/>
    <s v="On Time"/>
    <s v="2 Hours 36 Minutes"/>
    <x v="1"/>
  </r>
  <r>
    <x v="494"/>
    <x v="125"/>
    <x v="5"/>
    <x v="1"/>
    <s v="Madurai"/>
    <x v="1"/>
    <s v="Nandhini"/>
    <n v="74"/>
    <n v="97"/>
    <x v="3"/>
    <n v="15000"/>
    <n v="15110"/>
    <n v="2000"/>
    <x v="0"/>
    <s v="No"/>
    <d v="2025-10-17T00:00:00"/>
    <d v="2025-11-16T00:00:00"/>
    <d v="1899-12-30T09:34:00"/>
    <d v="1899-12-30T12:48:00"/>
    <s v="C"/>
    <s v="09:34 AM"/>
    <s v="On Time"/>
    <s v="3 Hours 14 Minutes"/>
    <x v="1"/>
  </r>
  <r>
    <x v="495"/>
    <x v="214"/>
    <x v="8"/>
    <x v="1"/>
    <s v="Coimbatore"/>
    <x v="2"/>
    <s v="Priya"/>
    <n v="96"/>
    <n v="91"/>
    <x v="2"/>
    <n v="15000"/>
    <n v="15930"/>
    <n v="0"/>
    <x v="1"/>
    <s v="No"/>
    <d v="2025-05-11T00:00:00"/>
    <d v="2025-06-10T00:00:00"/>
    <d v="1899-12-30T08:39:00"/>
    <d v="1899-12-30T09:58:00"/>
    <s v="A"/>
    <s v="08:39 AM"/>
    <s v="On Time"/>
    <s v="1 Hours 19 Minutes"/>
    <x v="1"/>
  </r>
  <r>
    <x v="496"/>
    <x v="140"/>
    <x v="4"/>
    <x v="0"/>
    <s v="Vellore"/>
    <x v="4"/>
    <s v="John"/>
    <n v="99"/>
    <n v="99"/>
    <x v="2"/>
    <n v="15000"/>
    <n v="11930"/>
    <n v="4000"/>
    <x v="0"/>
    <s v="No"/>
    <d v="2025-08-08T00:00:00"/>
    <d v="2025-09-07T00:00:00"/>
    <d v="1899-12-30T10:14:00"/>
    <d v="1899-12-30T11:56:00"/>
    <s v="A"/>
    <s v="10:14 AM"/>
    <s v="On Time"/>
    <s v="1 Hours 42 Minutes"/>
    <x v="0"/>
  </r>
  <r>
    <x v="497"/>
    <x v="133"/>
    <x v="1"/>
    <x v="0"/>
    <s v="Kanchipuram"/>
    <x v="1"/>
    <s v="Nandhini"/>
    <n v="90"/>
    <n v="74"/>
    <x v="2"/>
    <n v="15000"/>
    <n v="12520"/>
    <n v="4000"/>
    <x v="0"/>
    <s v="No"/>
    <d v="2025-07-13T00:00:00"/>
    <d v="2025-09-11T00:00:00"/>
    <d v="1899-12-30T10:39:00"/>
    <d v="1899-12-30T15:06:00"/>
    <s v="A"/>
    <s v="10:39 AM"/>
    <s v="On Time"/>
    <s v="4 Hours 27 Minutes"/>
    <x v="0"/>
  </r>
  <r>
    <x v="498"/>
    <x v="215"/>
    <x v="3"/>
    <x v="1"/>
    <s v="Hyderabad"/>
    <x v="3"/>
    <s v="Arun"/>
    <n v="46"/>
    <n v="95"/>
    <x v="0"/>
    <n v="20000"/>
    <n v="21600"/>
    <n v="2000"/>
    <x v="0"/>
    <s v="No"/>
    <d v="2025-11-27T00:00:00"/>
    <d v="2026-01-26T00:00:00"/>
    <d v="1899-12-30T09:27:00"/>
    <d v="1899-12-30T10:55:00"/>
    <s v="D"/>
    <s v="09:27 AM"/>
    <s v="On Time"/>
    <s v="1 Hours 28 Minutes"/>
    <x v="1"/>
  </r>
  <r>
    <x v="499"/>
    <x v="153"/>
    <x v="9"/>
    <x v="0"/>
    <s v="Madurai"/>
    <x v="0"/>
    <s v="David"/>
    <n v="85"/>
    <n v="93"/>
    <x v="1"/>
    <n v="20000"/>
    <n v="22420"/>
    <n v="0"/>
    <x v="1"/>
    <s v="No"/>
    <d v="2025-03-04T00:00:00"/>
    <d v="2025-06-02T00:00:00"/>
    <d v="1899-12-30T10:32:00"/>
    <d v="1899-12-30T14:59:00"/>
    <s v="B"/>
    <s v="10:32 AM"/>
    <s v="On Time"/>
    <s v="4 Hours 27 Minutes"/>
    <x v="0"/>
  </r>
  <r>
    <x v="500"/>
    <x v="129"/>
    <x v="6"/>
    <x v="0"/>
    <s v="Thoothukudi"/>
    <x v="1"/>
    <s v="Nandhini"/>
    <n v="56"/>
    <n v="78"/>
    <x v="0"/>
    <n v="12000"/>
    <n v="8980"/>
    <n v="4000"/>
    <x v="0"/>
    <s v="No"/>
    <d v="2025-12-11T00:00:00"/>
    <d v="2026-03-11T00:00:00"/>
    <d v="1899-12-30T08:57:00"/>
    <d v="1899-12-30T11:17:00"/>
    <s v="D"/>
    <s v="08:57 AM"/>
    <s v="On Time"/>
    <s v="2 Hours 20 Minutes"/>
    <x v="1"/>
  </r>
  <r>
    <x v="501"/>
    <x v="89"/>
    <x v="1"/>
    <x v="1"/>
    <s v="Hyderabad"/>
    <x v="2"/>
    <s v="Priya"/>
    <n v="75"/>
    <n v="62"/>
    <x v="1"/>
    <n v="15000"/>
    <n v="14520"/>
    <n v="2000"/>
    <x v="0"/>
    <s v="No"/>
    <d v="2025-03-16T00:00:00"/>
    <d v="2025-06-14T00:00:00"/>
    <d v="1899-12-30T08:43:00"/>
    <d v="1899-12-30T13:41:00"/>
    <s v="B"/>
    <s v="08:43 AM"/>
    <s v="On Time"/>
    <s v="4 Hours 58 Minutes"/>
    <x v="1"/>
  </r>
  <r>
    <x v="502"/>
    <x v="133"/>
    <x v="0"/>
    <x v="1"/>
    <s v="Kanchipuram"/>
    <x v="5"/>
    <s v="Mani Prabhu"/>
    <n v="62"/>
    <n v="74"/>
    <x v="3"/>
    <n v="10000"/>
    <n v="11800"/>
    <n v="0"/>
    <x v="1"/>
    <s v="No"/>
    <d v="2025-03-07T00:00:00"/>
    <d v="2025-09-03T00:00:00"/>
    <d v="1899-12-30T09:23:00"/>
    <d v="1899-12-30T12:48:00"/>
    <s v="C"/>
    <s v="09:23 AM"/>
    <s v="Delayed"/>
    <s v="3 Hours 25 Minutes"/>
    <x v="1"/>
  </r>
  <r>
    <x v="503"/>
    <x v="0"/>
    <x v="10"/>
    <x v="1"/>
    <s v="Madurai"/>
    <x v="4"/>
    <s v="John"/>
    <n v="36"/>
    <n v="71"/>
    <x v="0"/>
    <n v="18000"/>
    <n v="18650"/>
    <n v="2000"/>
    <x v="0"/>
    <s v="No"/>
    <d v="2025-08-19T00:00:00"/>
    <d v="2025-10-18T00:00:00"/>
    <d v="1899-12-30T09:39:00"/>
    <d v="1899-12-30T14:19:00"/>
    <s v="D"/>
    <s v="09:39 AM"/>
    <s v="On Time"/>
    <s v="4 Hours 40 Minutes"/>
    <x v="1"/>
  </r>
  <r>
    <x v="504"/>
    <x v="178"/>
    <x v="2"/>
    <x v="1"/>
    <s v="Trichy"/>
    <x v="7"/>
    <s v="Sneha"/>
    <n v="56"/>
    <n v="91"/>
    <x v="0"/>
    <n v="12000"/>
    <n v="9570"/>
    <n v="4000"/>
    <x v="0"/>
    <s v="No"/>
    <d v="2025-08-22T00:00:00"/>
    <d v="2025-09-21T00:00:00"/>
    <d v="1899-12-30T10:30:00"/>
    <d v="1899-12-30T14:47:00"/>
    <s v="D"/>
    <s v="10:30 AM"/>
    <s v="On Time"/>
    <s v="4 Hours 17 Minutes"/>
    <x v="0"/>
  </r>
  <r>
    <x v="505"/>
    <x v="123"/>
    <x v="3"/>
    <x v="0"/>
    <s v="Coimbatore"/>
    <x v="0"/>
    <s v="David"/>
    <n v="70"/>
    <n v="75"/>
    <x v="3"/>
    <n v="20000"/>
    <n v="23600"/>
    <n v="0"/>
    <x v="1"/>
    <s v="No"/>
    <d v="2025-07-11T00:00:00"/>
    <d v="2025-11-08T00:00:00"/>
    <d v="1899-12-30T09:16:00"/>
    <d v="1899-12-30T12:21:00"/>
    <s v="C"/>
    <s v="09:16 AM"/>
    <s v="Delayed"/>
    <s v="3 Hours 5 Minutes"/>
    <x v="1"/>
  </r>
  <r>
    <x v="506"/>
    <x v="112"/>
    <x v="4"/>
    <x v="1"/>
    <s v="Chennai"/>
    <x v="6"/>
    <s v="Karthik"/>
    <n v="46"/>
    <n v="75"/>
    <x v="0"/>
    <n v="20000"/>
    <n v="22420"/>
    <n v="0"/>
    <x v="1"/>
    <s v="No"/>
    <d v="2025-07-29T00:00:00"/>
    <d v="2025-09-27T00:00:00"/>
    <d v="1899-12-30T10:47:00"/>
    <d v="1899-12-30T14:24:00"/>
    <s v="D"/>
    <s v="10:47 AM"/>
    <s v="On Time"/>
    <s v="3 Hours 37 Minutes"/>
    <x v="0"/>
  </r>
  <r>
    <x v="507"/>
    <x v="122"/>
    <x v="8"/>
    <x v="0"/>
    <s v="Coimbatore"/>
    <x v="3"/>
    <s v="Arun"/>
    <n v="47"/>
    <n v="92"/>
    <x v="0"/>
    <n v="20000"/>
    <n v="21600"/>
    <n v="2000"/>
    <x v="0"/>
    <s v="No"/>
    <d v="2025-02-27T00:00:00"/>
    <d v="2025-05-28T00:00:00"/>
    <d v="1899-12-30T09:04:00"/>
    <d v="1899-12-30T12:24:00"/>
    <s v="D"/>
    <s v="09:04 AM"/>
    <s v="On Time"/>
    <s v="3 Hours 20 Minutes"/>
    <x v="1"/>
  </r>
  <r>
    <x v="508"/>
    <x v="83"/>
    <x v="7"/>
    <x v="1"/>
    <s v="Hyderabad"/>
    <x v="7"/>
    <s v="Sneha"/>
    <n v="68"/>
    <n v="85"/>
    <x v="3"/>
    <n v="12000"/>
    <n v="10390"/>
    <n v="2000"/>
    <x v="0"/>
    <s v="No"/>
    <d v="2025-10-22T00:00:00"/>
    <d v="2026-04-20T00:00:00"/>
    <d v="1899-12-30T08:50:00"/>
    <d v="1899-12-30T10:04:00"/>
    <s v="C"/>
    <s v="08:50 AM"/>
    <s v="Delayed"/>
    <s v="1 Hours 14 Minutes"/>
    <x v="1"/>
  </r>
  <r>
    <x v="509"/>
    <x v="57"/>
    <x v="3"/>
    <x v="1"/>
    <s v="Hyderabad"/>
    <x v="6"/>
    <s v="Karthik"/>
    <n v="35"/>
    <n v="88"/>
    <x v="0"/>
    <n v="18000"/>
    <n v="18650"/>
    <n v="2000"/>
    <x v="0"/>
    <s v="No"/>
    <d v="2025-01-22T00:00:00"/>
    <d v="2025-07-21T00:00:00"/>
    <d v="1899-12-30T08:13:00"/>
    <d v="1899-12-30T10:23:00"/>
    <s v="D"/>
    <s v="08:13 AM"/>
    <s v="Delayed"/>
    <s v="2 Hours 10 Minutes"/>
    <x v="1"/>
  </r>
  <r>
    <x v="510"/>
    <x v="81"/>
    <x v="10"/>
    <x v="1"/>
    <s v="Tirunelveli"/>
    <x v="6"/>
    <s v="Karthik"/>
    <n v="66"/>
    <n v="96"/>
    <x v="3"/>
    <n v="20000"/>
    <n v="21600"/>
    <n v="2000"/>
    <x v="0"/>
    <s v="No"/>
    <d v="2025-01-02T00:00:00"/>
    <d v="2025-04-02T00:00:00"/>
    <d v="1899-12-30T10:08:00"/>
    <d v="1899-12-30T15:02:00"/>
    <s v="C"/>
    <s v="10:08 AM"/>
    <s v="On Time"/>
    <s v="4 Hours 54 Minutes"/>
    <x v="0"/>
  </r>
  <r>
    <x v="511"/>
    <x v="216"/>
    <x v="1"/>
    <x v="0"/>
    <s v="Madurai"/>
    <x v="5"/>
    <s v="Mani Prabhu"/>
    <n v="84"/>
    <n v="86"/>
    <x v="1"/>
    <n v="12000"/>
    <n v="10390"/>
    <n v="2000"/>
    <x v="0"/>
    <s v="No"/>
    <d v="2025-09-07T00:00:00"/>
    <d v="2025-12-06T00:00:00"/>
    <d v="1899-12-30T08:29:00"/>
    <d v="1899-12-30T10:14:00"/>
    <s v="B"/>
    <s v="08:29 AM"/>
    <s v="On Time"/>
    <s v="1 Hours 45 Minutes"/>
    <x v="1"/>
  </r>
  <r>
    <x v="512"/>
    <x v="138"/>
    <x v="7"/>
    <x v="1"/>
    <s v="Coimbatore"/>
    <x v="4"/>
    <s v="John"/>
    <n v="68"/>
    <n v="71"/>
    <x v="3"/>
    <n v="15000"/>
    <n v="17110"/>
    <n v="0"/>
    <x v="1"/>
    <s v="No"/>
    <d v="2025-07-25T00:00:00"/>
    <d v="2026-01-21T00:00:00"/>
    <d v="1899-12-30T08:12:00"/>
    <d v="1899-12-30T10:12:00"/>
    <s v="C"/>
    <s v="08:12 AM"/>
    <s v="Delayed"/>
    <s v="2 Hours 0 Minutes"/>
    <x v="1"/>
  </r>
  <r>
    <x v="513"/>
    <x v="184"/>
    <x v="7"/>
    <x v="1"/>
    <s v="Erode"/>
    <x v="5"/>
    <s v="Mani Prabhu"/>
    <n v="64"/>
    <n v="75"/>
    <x v="3"/>
    <n v="12000"/>
    <n v="10160"/>
    <n v="4000"/>
    <x v="0"/>
    <s v="No"/>
    <d v="2025-07-24T00:00:00"/>
    <d v="2025-09-22T00:00:00"/>
    <d v="1899-12-30T10:55:00"/>
    <d v="1899-12-30T13:35:00"/>
    <s v="C"/>
    <s v="10:55 AM"/>
    <s v="On Time"/>
    <s v="2 Hours 40 Minutes"/>
    <x v="0"/>
  </r>
  <r>
    <x v="514"/>
    <x v="99"/>
    <x v="8"/>
    <x v="0"/>
    <s v="Hyderabad"/>
    <x v="1"/>
    <s v="Nandhini"/>
    <n v="97"/>
    <n v="67"/>
    <x v="2"/>
    <n v="12000"/>
    <n v="11570"/>
    <n v="2000"/>
    <x v="0"/>
    <s v="No"/>
    <d v="2025-08-25T00:00:00"/>
    <d v="2025-10-24T00:00:00"/>
    <d v="1899-12-30T10:20:00"/>
    <d v="1899-12-30T14:18:00"/>
    <s v="A"/>
    <s v="10:20 AM"/>
    <s v="On Time"/>
    <s v="3 Hours 58 Minutes"/>
    <x v="0"/>
  </r>
  <r>
    <x v="515"/>
    <x v="109"/>
    <x v="9"/>
    <x v="1"/>
    <s v="Tirunelveli"/>
    <x v="3"/>
    <s v="Arun"/>
    <n v="93"/>
    <n v="83"/>
    <x v="2"/>
    <n v="20000"/>
    <n v="17830"/>
    <n v="4000"/>
    <x v="0"/>
    <s v="No"/>
    <d v="2025-03-21T00:00:00"/>
    <d v="2025-06-19T00:00:00"/>
    <d v="1899-12-30T10:45:00"/>
    <d v="1899-12-30T12:20:00"/>
    <s v="A"/>
    <s v="10:45 AM"/>
    <s v="On Time"/>
    <s v="1 Hours 35 Minutes"/>
    <x v="0"/>
  </r>
  <r>
    <x v="516"/>
    <x v="102"/>
    <x v="3"/>
    <x v="1"/>
    <s v="Vellore"/>
    <x v="6"/>
    <s v="Karthik"/>
    <n v="75"/>
    <n v="78"/>
    <x v="1"/>
    <n v="20000"/>
    <n v="23010"/>
    <n v="0"/>
    <x v="1"/>
    <s v="No"/>
    <d v="2025-04-08T00:00:00"/>
    <d v="2025-10-05T00:00:00"/>
    <d v="1899-12-30T08:22:00"/>
    <d v="1899-12-30T11:05:00"/>
    <s v="B"/>
    <s v="08:22 AM"/>
    <s v="Delayed"/>
    <s v="2 Hours 43 Minutes"/>
    <x v="1"/>
  </r>
  <r>
    <x v="517"/>
    <x v="62"/>
    <x v="2"/>
    <x v="1"/>
    <s v="Trichy"/>
    <x v="2"/>
    <s v="Priya"/>
    <n v="75"/>
    <n v="78"/>
    <x v="1"/>
    <n v="12000"/>
    <n v="9570"/>
    <n v="4000"/>
    <x v="0"/>
    <s v="No"/>
    <d v="2025-08-24T00:00:00"/>
    <d v="2025-10-23T00:00:00"/>
    <d v="1899-12-30T08:12:00"/>
    <d v="1899-12-30T12:17:00"/>
    <s v="B"/>
    <s v="08:12 AM"/>
    <s v="On Time"/>
    <s v="4 Hours 5 Minutes"/>
    <x v="1"/>
  </r>
  <r>
    <x v="518"/>
    <x v="68"/>
    <x v="6"/>
    <x v="1"/>
    <s v="Erode"/>
    <x v="5"/>
    <s v="Mani Prabhu"/>
    <n v="95"/>
    <n v="71"/>
    <x v="2"/>
    <n v="18000"/>
    <n v="18060"/>
    <n v="2000"/>
    <x v="0"/>
    <s v="No"/>
    <d v="2025-01-04T00:00:00"/>
    <d v="2025-07-03T00:00:00"/>
    <d v="1899-12-30T10:35:00"/>
    <d v="1899-12-30T11:44:00"/>
    <s v="A"/>
    <s v="10:35 AM"/>
    <s v="Delayed"/>
    <s v="1 Hours 9 Minutes"/>
    <x v="0"/>
  </r>
  <r>
    <x v="519"/>
    <x v="67"/>
    <x v="4"/>
    <x v="0"/>
    <s v="Trichy"/>
    <x v="1"/>
    <s v="Nandhini"/>
    <n v="62"/>
    <n v="90"/>
    <x v="3"/>
    <n v="18000"/>
    <n v="20060"/>
    <n v="0"/>
    <x v="1"/>
    <s v="No"/>
    <d v="2025-02-11T00:00:00"/>
    <d v="2025-06-11T00:00:00"/>
    <d v="1899-12-30T10:20:00"/>
    <d v="1899-12-30T12:07:00"/>
    <s v="C"/>
    <s v="10:20 AM"/>
    <s v="Delayed"/>
    <s v="1 Hours 47 Minutes"/>
    <x v="0"/>
  </r>
  <r>
    <x v="520"/>
    <x v="217"/>
    <x v="9"/>
    <x v="0"/>
    <s v="Bengaluru"/>
    <x v="0"/>
    <s v="David"/>
    <n v="79"/>
    <n v="74"/>
    <x v="1"/>
    <n v="10000"/>
    <n v="6620"/>
    <n v="4000"/>
    <x v="0"/>
    <s v="No"/>
    <d v="2025-09-14T00:00:00"/>
    <d v="2025-10-14T00:00:00"/>
    <d v="1899-12-30T09:27:00"/>
    <d v="1899-12-30T11:54:00"/>
    <s v="B"/>
    <s v="09:27 AM"/>
    <s v="On Time"/>
    <s v="2 Hours 27 Minutes"/>
    <x v="1"/>
  </r>
  <r>
    <x v="521"/>
    <x v="218"/>
    <x v="4"/>
    <x v="1"/>
    <s v="Coimbatore"/>
    <x v="7"/>
    <s v="Sneha"/>
    <n v="54"/>
    <n v="97"/>
    <x v="0"/>
    <n v="15000"/>
    <n v="13700"/>
    <n v="4000"/>
    <x v="0"/>
    <s v="No"/>
    <d v="2025-04-25T00:00:00"/>
    <d v="2025-06-24T00:00:00"/>
    <d v="1899-12-30T08:25:00"/>
    <d v="1899-12-30T12:54:00"/>
    <s v="D"/>
    <s v="08:25 AM"/>
    <s v="On Time"/>
    <s v="4 Hours 29 Minutes"/>
    <x v="1"/>
  </r>
  <r>
    <x v="522"/>
    <x v="205"/>
    <x v="0"/>
    <x v="0"/>
    <s v="Trichy"/>
    <x v="1"/>
    <s v="Nandhini"/>
    <n v="96"/>
    <n v="90"/>
    <x v="2"/>
    <n v="15000"/>
    <n v="15700"/>
    <n v="2000"/>
    <x v="0"/>
    <s v="No"/>
    <d v="2025-06-12T00:00:00"/>
    <d v="2025-10-10T00:00:00"/>
    <d v="1899-12-30T10:32:00"/>
    <d v="1899-12-30T14:18:00"/>
    <s v="A"/>
    <s v="10:32 AM"/>
    <s v="Delayed"/>
    <s v="3 Hours 46 Minutes"/>
    <x v="0"/>
  </r>
  <r>
    <x v="523"/>
    <x v="58"/>
    <x v="10"/>
    <x v="0"/>
    <s v="Coimbatore"/>
    <x v="4"/>
    <s v="John"/>
    <n v="84"/>
    <n v="86"/>
    <x v="1"/>
    <n v="15000"/>
    <n v="11930"/>
    <n v="4000"/>
    <x v="0"/>
    <s v="No"/>
    <d v="2025-05-30T00:00:00"/>
    <d v="2025-06-29T00:00:00"/>
    <d v="1899-12-30T10:11:00"/>
    <d v="1899-12-30T13:50:00"/>
    <s v="B"/>
    <s v="10:11 AM"/>
    <s v="On Time"/>
    <s v="3 Hours 39 Minutes"/>
    <x v="0"/>
  </r>
  <r>
    <x v="524"/>
    <x v="162"/>
    <x v="4"/>
    <x v="0"/>
    <s v="Thoothukudi"/>
    <x v="0"/>
    <s v="David"/>
    <n v="82"/>
    <n v="65"/>
    <x v="1"/>
    <n v="10000"/>
    <n v="7210"/>
    <n v="4000"/>
    <x v="0"/>
    <s v="No"/>
    <d v="2025-07-06T00:00:00"/>
    <d v="2026-01-02T00:00:00"/>
    <d v="1899-12-30T10:33:00"/>
    <d v="1899-12-30T15:28:00"/>
    <s v="B"/>
    <s v="10:33 AM"/>
    <s v="Delayed"/>
    <s v="4 Hours 55 Minutes"/>
    <x v="0"/>
  </r>
  <r>
    <x v="525"/>
    <x v="60"/>
    <x v="3"/>
    <x v="0"/>
    <s v="Hyderabad"/>
    <x v="1"/>
    <s v="Nandhini"/>
    <n v="47"/>
    <n v="66"/>
    <x v="0"/>
    <n v="10000"/>
    <n v="10620"/>
    <n v="0"/>
    <x v="1"/>
    <s v="No"/>
    <d v="2025-11-04T00:00:00"/>
    <d v="2026-02-02T00:00:00"/>
    <d v="1899-12-30T10:22:00"/>
    <d v="1899-12-30T14:19:00"/>
    <s v="D"/>
    <s v="10:22 AM"/>
    <s v="On Time"/>
    <s v="3 Hours 57 Minutes"/>
    <x v="0"/>
  </r>
  <r>
    <x v="526"/>
    <x v="77"/>
    <x v="9"/>
    <x v="1"/>
    <s v="Trichy"/>
    <x v="1"/>
    <s v="Nandhini"/>
    <n v="88"/>
    <n v="83"/>
    <x v="1"/>
    <n v="10000"/>
    <n v="10030"/>
    <n v="0"/>
    <x v="1"/>
    <s v="No"/>
    <d v="2025-01-29T00:00:00"/>
    <d v="2025-07-28T00:00:00"/>
    <d v="1899-12-30T09:10:00"/>
    <d v="1899-12-30T10:19:00"/>
    <s v="B"/>
    <s v="09:10 AM"/>
    <s v="Delayed"/>
    <s v="1 Hours 9 Minutes"/>
    <x v="1"/>
  </r>
  <r>
    <x v="527"/>
    <x v="61"/>
    <x v="10"/>
    <x v="0"/>
    <s v="Vellore"/>
    <x v="5"/>
    <s v="Mani Prabhu"/>
    <n v="98"/>
    <n v="77"/>
    <x v="2"/>
    <n v="12000"/>
    <n v="8390"/>
    <n v="4000"/>
    <x v="0"/>
    <s v="No"/>
    <d v="2025-08-23T00:00:00"/>
    <d v="2025-10-22T00:00:00"/>
    <d v="1899-12-30T10:52:00"/>
    <d v="1899-12-30T12:44:00"/>
    <s v="A"/>
    <s v="10:52 AM"/>
    <s v="On Time"/>
    <s v="1 Hours 52 Minutes"/>
    <x v="0"/>
  </r>
  <r>
    <x v="528"/>
    <x v="26"/>
    <x v="0"/>
    <x v="0"/>
    <s v="Chennai"/>
    <x v="5"/>
    <s v="Mani Prabhu"/>
    <n v="62"/>
    <n v="98"/>
    <x v="3"/>
    <n v="18000"/>
    <n v="18650"/>
    <n v="2000"/>
    <x v="0"/>
    <s v="No"/>
    <d v="2025-07-24T00:00:00"/>
    <d v="2026-01-20T00:00:00"/>
    <d v="1899-12-30T08:25:00"/>
    <d v="1899-12-30T12:59:00"/>
    <s v="C"/>
    <s v="08:25 AM"/>
    <s v="Delayed"/>
    <s v="4 Hours 34 Minutes"/>
    <x v="1"/>
  </r>
  <r>
    <x v="529"/>
    <x v="165"/>
    <x v="2"/>
    <x v="0"/>
    <s v="Erode"/>
    <x v="0"/>
    <s v="David"/>
    <n v="51"/>
    <n v="73"/>
    <x v="0"/>
    <n v="10000"/>
    <n v="11210"/>
    <n v="0"/>
    <x v="1"/>
    <s v="No"/>
    <d v="2025-04-19T00:00:00"/>
    <d v="2025-10-16T00:00:00"/>
    <d v="1899-12-30T10:17:00"/>
    <d v="1899-12-30T14:13:00"/>
    <s v="D"/>
    <s v="10:17 AM"/>
    <s v="Delayed"/>
    <s v="3 Hours 56 Minutes"/>
    <x v="0"/>
  </r>
  <r>
    <x v="530"/>
    <x v="120"/>
    <x v="3"/>
    <x v="1"/>
    <s v="Chennai"/>
    <x v="0"/>
    <s v="David"/>
    <n v="36"/>
    <n v="84"/>
    <x v="0"/>
    <n v="18000"/>
    <n v="15470"/>
    <n v="4000"/>
    <x v="0"/>
    <s v="No"/>
    <d v="2025-10-30T00:00:00"/>
    <d v="2025-12-29T00:00:00"/>
    <d v="1899-12-30T09:02:00"/>
    <d v="1899-12-30T13:16:00"/>
    <s v="D"/>
    <s v="09:02 AM"/>
    <s v="On Time"/>
    <s v="4 Hours 14 Minutes"/>
    <x v="1"/>
  </r>
  <r>
    <x v="531"/>
    <x v="148"/>
    <x v="6"/>
    <x v="1"/>
    <s v="Salem"/>
    <x v="1"/>
    <s v="Nandhini"/>
    <n v="38"/>
    <n v="61"/>
    <x v="0"/>
    <n v="12000"/>
    <n v="10980"/>
    <n v="2000"/>
    <x v="0"/>
    <s v="No"/>
    <d v="2025-04-10T00:00:00"/>
    <d v="2025-08-08T00:00:00"/>
    <d v="1899-12-30T09:23:00"/>
    <d v="1899-12-30T12:56:00"/>
    <s v="D"/>
    <s v="09:23 AM"/>
    <s v="Delayed"/>
    <s v="3 Hours 33 Minutes"/>
    <x v="1"/>
  </r>
  <r>
    <x v="532"/>
    <x v="125"/>
    <x v="0"/>
    <x v="1"/>
    <s v="Chennai"/>
    <x v="7"/>
    <s v="Sneha"/>
    <n v="92"/>
    <n v="68"/>
    <x v="2"/>
    <n v="20000"/>
    <n v="18420"/>
    <n v="4000"/>
    <x v="0"/>
    <s v="No"/>
    <d v="2025-09-27T00:00:00"/>
    <d v="2025-11-26T00:00:00"/>
    <d v="1899-12-30T08:04:00"/>
    <d v="1899-12-30T10:33:00"/>
    <s v="A"/>
    <s v="08:04 AM"/>
    <s v="On Time"/>
    <s v="2 Hours 29 Minutes"/>
    <x v="1"/>
  </r>
  <r>
    <x v="533"/>
    <x v="74"/>
    <x v="3"/>
    <x v="0"/>
    <s v="Tirunelveli"/>
    <x v="6"/>
    <s v="Karthik"/>
    <n v="70"/>
    <n v="79"/>
    <x v="3"/>
    <n v="18000"/>
    <n v="17240"/>
    <n v="4000"/>
    <x v="0"/>
    <s v="No"/>
    <d v="2025-04-28T00:00:00"/>
    <d v="2025-08-26T00:00:00"/>
    <d v="1899-12-30T10:02:00"/>
    <d v="1899-12-30T13:27:00"/>
    <s v="C"/>
    <s v="10:02 AM"/>
    <s v="Delayed"/>
    <s v="3 Hours 25 Minutes"/>
    <x v="0"/>
  </r>
  <r>
    <x v="534"/>
    <x v="216"/>
    <x v="3"/>
    <x v="1"/>
    <s v="Thoothukudi"/>
    <x v="7"/>
    <s v="Sneha"/>
    <n v="77"/>
    <n v="94"/>
    <x v="1"/>
    <n v="15000"/>
    <n v="13110"/>
    <n v="4000"/>
    <x v="0"/>
    <s v="No"/>
    <d v="2025-01-12T00:00:00"/>
    <d v="2025-05-12T00:00:00"/>
    <d v="1899-12-30T10:51:00"/>
    <d v="1899-12-30T13:22:00"/>
    <s v="B"/>
    <s v="10:51 AM"/>
    <s v="Delayed"/>
    <s v="2 Hours 31 Minutes"/>
    <x v="0"/>
  </r>
  <r>
    <x v="535"/>
    <x v="91"/>
    <x v="9"/>
    <x v="0"/>
    <s v="Bengaluru"/>
    <x v="7"/>
    <s v="Sneha"/>
    <n v="55"/>
    <n v="62"/>
    <x v="0"/>
    <n v="15000"/>
    <n v="13700"/>
    <n v="4000"/>
    <x v="0"/>
    <s v="Yes"/>
    <d v="2025-12-25T00:00:00"/>
    <d v="2026-06-23T00:00:00"/>
    <d v="1899-12-30T08:14:00"/>
    <d v="1899-12-30T10:15:00"/>
    <s v="D"/>
    <s v="08:14 AM"/>
    <s v="Delayed"/>
    <s v="2 Hours 1 Minutes"/>
    <x v="1"/>
  </r>
  <r>
    <x v="536"/>
    <x v="218"/>
    <x v="3"/>
    <x v="1"/>
    <s v="Bengaluru"/>
    <x v="2"/>
    <s v="Priya"/>
    <n v="76"/>
    <n v="62"/>
    <x v="1"/>
    <n v="10000"/>
    <n v="7210"/>
    <n v="4000"/>
    <x v="0"/>
    <s v="No"/>
    <d v="2025-11-20T00:00:00"/>
    <d v="2026-05-19T00:00:00"/>
    <d v="1899-12-30T08:34:00"/>
    <d v="1899-12-30T09:34:00"/>
    <s v="B"/>
    <s v="08:34 AM"/>
    <s v="Delayed"/>
    <s v="1 Hours 0 Minutes"/>
    <x v="1"/>
  </r>
  <r>
    <x v="537"/>
    <x v="180"/>
    <x v="7"/>
    <x v="1"/>
    <s v="Madurai"/>
    <x v="6"/>
    <s v="Karthik"/>
    <n v="74"/>
    <n v="85"/>
    <x v="3"/>
    <n v="18000"/>
    <n v="19240"/>
    <n v="2000"/>
    <x v="0"/>
    <s v="No"/>
    <d v="2025-05-18T00:00:00"/>
    <d v="2025-06-17T00:00:00"/>
    <d v="1899-12-30T10:19:00"/>
    <d v="1899-12-30T11:52:00"/>
    <s v="C"/>
    <s v="10:19 AM"/>
    <s v="On Time"/>
    <s v="1 Hours 33 Minutes"/>
    <x v="0"/>
  </r>
  <r>
    <x v="538"/>
    <x v="12"/>
    <x v="4"/>
    <x v="0"/>
    <s v="Thoothukudi"/>
    <x v="1"/>
    <s v="Nandhini"/>
    <n v="54"/>
    <n v="88"/>
    <x v="0"/>
    <n v="12000"/>
    <n v="11570"/>
    <n v="2000"/>
    <x v="0"/>
    <s v="No"/>
    <d v="2025-01-09T00:00:00"/>
    <d v="2025-02-08T00:00:00"/>
    <d v="1899-12-30T09:58:00"/>
    <d v="1899-12-30T11:50:00"/>
    <s v="D"/>
    <s v="09:58 AM"/>
    <s v="On Time"/>
    <s v="1 Hours 52 Minutes"/>
    <x v="1"/>
  </r>
  <r>
    <x v="539"/>
    <x v="176"/>
    <x v="10"/>
    <x v="0"/>
    <s v="Chennai"/>
    <x v="5"/>
    <s v="Mani Prabhu"/>
    <n v="50"/>
    <n v="87"/>
    <x v="0"/>
    <n v="15000"/>
    <n v="11930"/>
    <n v="4000"/>
    <x v="0"/>
    <s v="No"/>
    <d v="2025-09-15T00:00:00"/>
    <d v="2026-01-13T00:00:00"/>
    <d v="1899-12-30T08:52:00"/>
    <d v="1899-12-30T10:20:00"/>
    <s v="D"/>
    <s v="08:52 AM"/>
    <s v="Delayed"/>
    <s v="1 Hours 28 Minutes"/>
    <x v="1"/>
  </r>
  <r>
    <x v="540"/>
    <x v="136"/>
    <x v="0"/>
    <x v="0"/>
    <s v="Trichy"/>
    <x v="1"/>
    <s v="Nandhini"/>
    <n v="85"/>
    <n v="67"/>
    <x v="1"/>
    <n v="15000"/>
    <n v="13700"/>
    <n v="4000"/>
    <x v="0"/>
    <s v="No"/>
    <d v="2025-09-22T00:00:00"/>
    <d v="2025-10-22T00:00:00"/>
    <d v="1899-12-30T09:36:00"/>
    <d v="1899-12-30T12:12:00"/>
    <s v="B"/>
    <s v="09:36 AM"/>
    <s v="On Time"/>
    <s v="2 Hours 36 Minutes"/>
    <x v="1"/>
  </r>
  <r>
    <x v="541"/>
    <x v="45"/>
    <x v="2"/>
    <x v="0"/>
    <s v="Tirunelveli"/>
    <x v="6"/>
    <s v="Karthik"/>
    <n v="75"/>
    <n v="64"/>
    <x v="1"/>
    <n v="10000"/>
    <n v="8620"/>
    <n v="2000"/>
    <x v="0"/>
    <s v="Yes"/>
    <d v="2025-05-22T00:00:00"/>
    <d v="2025-11-18T00:00:00"/>
    <d v="1899-12-30T08:16:00"/>
    <d v="1899-12-30T09:46:00"/>
    <s v="B"/>
    <s v="08:16 AM"/>
    <s v="Delayed"/>
    <s v="1 Hours 30 Minutes"/>
    <x v="1"/>
  </r>
  <r>
    <x v="542"/>
    <x v="205"/>
    <x v="9"/>
    <x v="1"/>
    <s v="Salem"/>
    <x v="0"/>
    <s v="David"/>
    <n v="46"/>
    <n v="100"/>
    <x v="0"/>
    <n v="15000"/>
    <n v="14520"/>
    <n v="2000"/>
    <x v="0"/>
    <s v="No"/>
    <d v="2025-02-16T00:00:00"/>
    <d v="2025-08-15T00:00:00"/>
    <d v="1899-12-30T09:35:00"/>
    <d v="1899-12-30T13:55:00"/>
    <s v="D"/>
    <s v="09:35 AM"/>
    <s v="Delayed"/>
    <s v="4 Hours 20 Minutes"/>
    <x v="1"/>
  </r>
  <r>
    <x v="543"/>
    <x v="38"/>
    <x v="8"/>
    <x v="0"/>
    <s v="Chennai"/>
    <x v="4"/>
    <s v="John"/>
    <n v="44"/>
    <n v="83"/>
    <x v="0"/>
    <n v="10000"/>
    <n v="11210"/>
    <n v="0"/>
    <x v="1"/>
    <s v="No"/>
    <d v="2025-09-13T00:00:00"/>
    <d v="2026-03-12T00:00:00"/>
    <d v="1899-12-30T11:00:00"/>
    <d v="1899-12-30T12:15:00"/>
    <s v="D"/>
    <s v="11:00 AM"/>
    <s v="Delayed"/>
    <s v="1 Hours 15 Minutes"/>
    <x v="0"/>
  </r>
  <r>
    <x v="544"/>
    <x v="141"/>
    <x v="2"/>
    <x v="0"/>
    <s v="Hyderabad"/>
    <x v="6"/>
    <s v="Karthik"/>
    <n v="89"/>
    <n v="89"/>
    <x v="1"/>
    <n v="12000"/>
    <n v="14160"/>
    <n v="0"/>
    <x v="1"/>
    <s v="No"/>
    <d v="2025-05-08T00:00:00"/>
    <d v="2025-08-06T00:00:00"/>
    <d v="1899-12-30T09:53:00"/>
    <d v="1899-12-30T12:06:00"/>
    <s v="B"/>
    <s v="09:53 AM"/>
    <s v="On Time"/>
    <s v="2 Hours 13 Minutes"/>
    <x v="1"/>
  </r>
  <r>
    <x v="545"/>
    <x v="205"/>
    <x v="9"/>
    <x v="1"/>
    <s v="Trichy"/>
    <x v="0"/>
    <s v="David"/>
    <n v="38"/>
    <n v="93"/>
    <x v="0"/>
    <n v="20000"/>
    <n v="21600"/>
    <n v="2000"/>
    <x v="0"/>
    <s v="No"/>
    <d v="2025-06-24T00:00:00"/>
    <d v="2025-10-22T00:00:00"/>
    <d v="1899-12-30T08:00:00"/>
    <d v="1899-12-30T12:54:00"/>
    <s v="D"/>
    <s v="08:00 AM"/>
    <s v="Delayed"/>
    <s v="4 Hours 54 Minutes"/>
    <x v="1"/>
  </r>
  <r>
    <x v="546"/>
    <x v="153"/>
    <x v="5"/>
    <x v="0"/>
    <s v="Madurai"/>
    <x v="2"/>
    <s v="Priya"/>
    <n v="92"/>
    <n v="89"/>
    <x v="2"/>
    <n v="10000"/>
    <n v="9800"/>
    <n v="2000"/>
    <x v="0"/>
    <s v="No"/>
    <d v="2025-12-09T00:00:00"/>
    <d v="2026-03-09T00:00:00"/>
    <d v="1899-12-30T10:47:00"/>
    <d v="1899-12-30T13:06:00"/>
    <s v="A"/>
    <s v="10:47 AM"/>
    <s v="On Time"/>
    <s v="2 Hours 19 Minutes"/>
    <x v="0"/>
  </r>
  <r>
    <x v="547"/>
    <x v="164"/>
    <x v="10"/>
    <x v="1"/>
    <s v="Tirunelveli"/>
    <x v="2"/>
    <s v="Priya"/>
    <n v="92"/>
    <n v="87"/>
    <x v="2"/>
    <n v="15000"/>
    <n v="15110"/>
    <n v="2000"/>
    <x v="0"/>
    <s v="No"/>
    <d v="2025-12-10T00:00:00"/>
    <d v="2026-01-09T00:00:00"/>
    <d v="1899-12-30T09:02:00"/>
    <d v="1899-12-30T11:45:00"/>
    <s v="A"/>
    <s v="09:02 AM"/>
    <s v="On Time"/>
    <s v="2 Hours 43 Minutes"/>
    <x v="1"/>
  </r>
  <r>
    <x v="548"/>
    <x v="82"/>
    <x v="5"/>
    <x v="1"/>
    <s v="Bengaluru"/>
    <x v="5"/>
    <s v="Mani Prabhu"/>
    <n v="80"/>
    <n v="64"/>
    <x v="1"/>
    <n v="15000"/>
    <n v="13110"/>
    <n v="4000"/>
    <x v="0"/>
    <s v="No"/>
    <d v="2025-07-23T00:00:00"/>
    <d v="2025-08-22T00:00:00"/>
    <d v="1899-12-30T10:23:00"/>
    <d v="1899-12-30T11:54:00"/>
    <s v="B"/>
    <s v="10:23 AM"/>
    <s v="On Time"/>
    <s v="1 Hours 31 Minutes"/>
    <x v="0"/>
  </r>
  <r>
    <x v="549"/>
    <x v="118"/>
    <x v="0"/>
    <x v="0"/>
    <s v="Coimbatore"/>
    <x v="7"/>
    <s v="Sneha"/>
    <n v="90"/>
    <n v="97"/>
    <x v="2"/>
    <n v="10000"/>
    <n v="6620"/>
    <n v="4000"/>
    <x v="0"/>
    <s v="No"/>
    <d v="2025-11-18T00:00:00"/>
    <d v="2026-02-16T00:00:00"/>
    <d v="1899-12-30T09:41:00"/>
    <d v="1899-12-30T13:05:00"/>
    <s v="A"/>
    <s v="09:41 AM"/>
    <s v="On Time"/>
    <s v="3 Hours 24 Minutes"/>
    <x v="1"/>
  </r>
  <r>
    <x v="550"/>
    <x v="219"/>
    <x v="9"/>
    <x v="0"/>
    <s v="Salem"/>
    <x v="0"/>
    <s v="David"/>
    <n v="91"/>
    <n v="92"/>
    <x v="2"/>
    <n v="10000"/>
    <n v="8030"/>
    <n v="2000"/>
    <x v="0"/>
    <s v="No"/>
    <d v="2025-02-20T00:00:00"/>
    <d v="2025-08-19T00:00:00"/>
    <d v="1899-12-30T10:20:00"/>
    <d v="1899-12-30T14:02:00"/>
    <s v="A"/>
    <s v="10:20 AM"/>
    <s v="Delayed"/>
    <s v="3 Hours 42 Minutes"/>
    <x v="0"/>
  </r>
  <r>
    <x v="551"/>
    <x v="110"/>
    <x v="2"/>
    <x v="0"/>
    <s v="Thoothukudi"/>
    <x v="5"/>
    <s v="Mani Prabhu"/>
    <n v="87"/>
    <n v="73"/>
    <x v="1"/>
    <n v="10000"/>
    <n v="7800"/>
    <n v="4000"/>
    <x v="0"/>
    <s v="No"/>
    <d v="2025-12-11T00:00:00"/>
    <d v="2026-06-09T00:00:00"/>
    <d v="1899-12-30T10:03:00"/>
    <d v="1899-12-30T14:33:00"/>
    <s v="B"/>
    <s v="10:03 AM"/>
    <s v="Delayed"/>
    <s v="4 Hours 30 Minutes"/>
    <x v="0"/>
  </r>
  <r>
    <x v="552"/>
    <x v="78"/>
    <x v="1"/>
    <x v="0"/>
    <s v="Trichy"/>
    <x v="7"/>
    <s v="Sneha"/>
    <n v="75"/>
    <n v="75"/>
    <x v="1"/>
    <n v="12000"/>
    <n v="10980"/>
    <n v="2000"/>
    <x v="0"/>
    <s v="No"/>
    <d v="2025-01-17T00:00:00"/>
    <d v="2025-04-17T00:00:00"/>
    <d v="1899-12-30T09:40:00"/>
    <d v="1899-12-30T11:06:00"/>
    <s v="B"/>
    <s v="09:40 AM"/>
    <s v="On Time"/>
    <s v="1 Hours 26 Minutes"/>
    <x v="1"/>
  </r>
  <r>
    <x v="553"/>
    <x v="39"/>
    <x v="4"/>
    <x v="1"/>
    <s v="Madurai"/>
    <x v="5"/>
    <s v="Mani Prabhu"/>
    <n v="76"/>
    <n v="74"/>
    <x v="1"/>
    <n v="15000"/>
    <n v="15700"/>
    <n v="2000"/>
    <x v="0"/>
    <s v="No"/>
    <d v="2025-08-28T00:00:00"/>
    <d v="2025-09-27T00:00:00"/>
    <d v="1899-12-30T10:32:00"/>
    <d v="1899-12-30T12:10:00"/>
    <s v="B"/>
    <s v="10:32 AM"/>
    <s v="On Time"/>
    <s v="1 Hours 38 Minutes"/>
    <x v="0"/>
  </r>
  <r>
    <x v="554"/>
    <x v="102"/>
    <x v="4"/>
    <x v="0"/>
    <s v="Salem"/>
    <x v="2"/>
    <s v="Priya"/>
    <n v="79"/>
    <n v="96"/>
    <x v="1"/>
    <n v="12000"/>
    <n v="11570"/>
    <n v="2000"/>
    <x v="0"/>
    <s v="No"/>
    <d v="2025-08-27T00:00:00"/>
    <d v="2025-10-26T00:00:00"/>
    <d v="1899-12-30T09:22:00"/>
    <d v="1899-12-30T12:53:00"/>
    <s v="B"/>
    <s v="09:22 AM"/>
    <s v="On Time"/>
    <s v="3 Hours 31 Minutes"/>
    <x v="1"/>
  </r>
  <r>
    <x v="555"/>
    <x v="13"/>
    <x v="8"/>
    <x v="0"/>
    <s v="Madurai"/>
    <x v="4"/>
    <s v="John"/>
    <n v="64"/>
    <n v="82"/>
    <x v="3"/>
    <n v="12000"/>
    <n v="11570"/>
    <n v="2000"/>
    <x v="0"/>
    <s v="No"/>
    <d v="2025-12-31T00:00:00"/>
    <d v="2026-03-01T00:00:00"/>
    <d v="1899-12-30T09:56:00"/>
    <d v="1899-12-30T11:29:00"/>
    <s v="C"/>
    <s v="09:56 AM"/>
    <s v="On Time"/>
    <s v="1 Hours 33 Minutes"/>
    <x v="1"/>
  </r>
  <r>
    <x v="556"/>
    <x v="41"/>
    <x v="2"/>
    <x v="1"/>
    <s v="Kanchipuram"/>
    <x v="1"/>
    <s v="Nandhini"/>
    <n v="65"/>
    <n v="76"/>
    <x v="3"/>
    <n v="20000"/>
    <n v="22420"/>
    <n v="0"/>
    <x v="1"/>
    <s v="No"/>
    <d v="2025-10-03T00:00:00"/>
    <d v="2025-12-02T00:00:00"/>
    <d v="1899-12-30T10:30:00"/>
    <d v="1899-12-30T14:11:00"/>
    <s v="C"/>
    <s v="10:30 AM"/>
    <s v="On Time"/>
    <s v="3 Hours 41 Minutes"/>
    <x v="0"/>
  </r>
  <r>
    <x v="557"/>
    <x v="126"/>
    <x v="10"/>
    <x v="1"/>
    <s v="Coimbatore"/>
    <x v="0"/>
    <s v="David"/>
    <n v="85"/>
    <n v="78"/>
    <x v="1"/>
    <n v="20000"/>
    <n v="21600"/>
    <n v="2000"/>
    <x v="0"/>
    <s v="No"/>
    <d v="2025-05-13T00:00:00"/>
    <d v="2025-06-12T00:00:00"/>
    <d v="1899-12-30T09:52:00"/>
    <d v="1899-12-30T11:30:00"/>
    <s v="B"/>
    <s v="09:52 AM"/>
    <s v="On Time"/>
    <s v="1 Hours 38 Minutes"/>
    <x v="1"/>
  </r>
  <r>
    <x v="558"/>
    <x v="180"/>
    <x v="2"/>
    <x v="1"/>
    <s v="Hyderabad"/>
    <x v="2"/>
    <s v="Priya"/>
    <n v="49"/>
    <n v="89"/>
    <x v="0"/>
    <n v="10000"/>
    <n v="6030"/>
    <n v="4000"/>
    <x v="0"/>
    <s v="No"/>
    <d v="2025-03-15T00:00:00"/>
    <d v="2025-05-14T00:00:00"/>
    <d v="1899-12-30T10:16:00"/>
    <d v="1899-12-30T13:01:00"/>
    <s v="D"/>
    <s v="10:16 AM"/>
    <s v="On Time"/>
    <s v="2 Hours 45 Minutes"/>
    <x v="0"/>
  </r>
  <r>
    <x v="559"/>
    <x v="2"/>
    <x v="6"/>
    <x v="0"/>
    <s v="Coimbatore"/>
    <x v="5"/>
    <s v="Mani Prabhu"/>
    <n v="86"/>
    <n v="94"/>
    <x v="1"/>
    <n v="12000"/>
    <n v="9570"/>
    <n v="4000"/>
    <x v="0"/>
    <s v="No"/>
    <d v="2025-07-19T00:00:00"/>
    <d v="2025-10-17T00:00:00"/>
    <d v="1899-12-30T08:30:00"/>
    <d v="1899-12-30T11:01:00"/>
    <s v="B"/>
    <s v="08:30 AM"/>
    <s v="On Time"/>
    <s v="2 Hours 31 Minutes"/>
    <x v="1"/>
  </r>
  <r>
    <x v="560"/>
    <x v="19"/>
    <x v="6"/>
    <x v="0"/>
    <s v="Bengaluru"/>
    <x v="5"/>
    <s v="Mani Prabhu"/>
    <n v="76"/>
    <n v="98"/>
    <x v="1"/>
    <n v="20000"/>
    <n v="21010"/>
    <n v="2000"/>
    <x v="0"/>
    <s v="No"/>
    <d v="2025-07-04T00:00:00"/>
    <d v="2025-11-01T00:00:00"/>
    <d v="1899-12-30T08:48:00"/>
    <d v="1899-12-30T10:05:00"/>
    <s v="B"/>
    <s v="08:48 AM"/>
    <s v="Delayed"/>
    <s v="1 Hours 17 Minutes"/>
    <x v="1"/>
  </r>
  <r>
    <x v="561"/>
    <x v="113"/>
    <x v="2"/>
    <x v="0"/>
    <s v="Chennai"/>
    <x v="3"/>
    <s v="Arun"/>
    <n v="87"/>
    <n v="78"/>
    <x v="1"/>
    <n v="10000"/>
    <n v="7800"/>
    <n v="4000"/>
    <x v="0"/>
    <s v="No"/>
    <d v="2025-09-20T00:00:00"/>
    <d v="2026-03-19T00:00:00"/>
    <d v="1899-12-30T10:10:00"/>
    <d v="1899-12-30T12:06:00"/>
    <s v="B"/>
    <s v="10:10 AM"/>
    <s v="Delayed"/>
    <s v="1 Hours 56 Minutes"/>
    <x v="0"/>
  </r>
  <r>
    <x v="562"/>
    <x v="28"/>
    <x v="3"/>
    <x v="1"/>
    <s v="Chennai"/>
    <x v="1"/>
    <s v="Nandhini"/>
    <n v="39"/>
    <n v="73"/>
    <x v="0"/>
    <n v="12000"/>
    <n v="12980"/>
    <n v="0"/>
    <x v="1"/>
    <s v="Yes"/>
    <d v="2025-06-20T00:00:00"/>
    <d v="2025-12-17T00:00:00"/>
    <d v="1899-12-30T10:10:00"/>
    <d v="1899-12-30T13:36:00"/>
    <s v="D"/>
    <s v="10:10 AM"/>
    <s v="Delayed"/>
    <s v="3 Hours 26 Minutes"/>
    <x v="0"/>
  </r>
  <r>
    <x v="563"/>
    <x v="74"/>
    <x v="1"/>
    <x v="0"/>
    <s v="Kanchipuram"/>
    <x v="5"/>
    <s v="Mani Prabhu"/>
    <n v="56"/>
    <n v="85"/>
    <x v="0"/>
    <n v="18000"/>
    <n v="18650"/>
    <n v="2000"/>
    <x v="0"/>
    <s v="No"/>
    <d v="2025-09-28T00:00:00"/>
    <d v="2026-01-26T00:00:00"/>
    <d v="1899-12-30T09:23:00"/>
    <d v="1899-12-30T12:32:00"/>
    <s v="D"/>
    <s v="09:23 AM"/>
    <s v="Delayed"/>
    <s v="3 Hours 9 Minutes"/>
    <x v="1"/>
  </r>
  <r>
    <x v="564"/>
    <x v="55"/>
    <x v="6"/>
    <x v="1"/>
    <s v="Erode"/>
    <x v="7"/>
    <s v="Sneha"/>
    <n v="68"/>
    <n v="96"/>
    <x v="3"/>
    <n v="10000"/>
    <n v="6030"/>
    <n v="4000"/>
    <x v="0"/>
    <s v="No"/>
    <d v="2025-10-23T00:00:00"/>
    <d v="2026-02-20T00:00:00"/>
    <d v="1899-12-30T08:12:00"/>
    <d v="1899-12-30T09:41:00"/>
    <s v="C"/>
    <s v="08:12 AM"/>
    <s v="Delayed"/>
    <s v="1 Hours 29 Minutes"/>
    <x v="1"/>
  </r>
  <r>
    <x v="565"/>
    <x v="18"/>
    <x v="3"/>
    <x v="1"/>
    <s v="Bengaluru"/>
    <x v="7"/>
    <s v="Sneha"/>
    <n v="50"/>
    <n v="69"/>
    <x v="0"/>
    <n v="15000"/>
    <n v="11930"/>
    <n v="4000"/>
    <x v="0"/>
    <s v="No"/>
    <d v="2025-03-18T00:00:00"/>
    <d v="2025-07-16T00:00:00"/>
    <d v="1899-12-30T08:54:00"/>
    <d v="1899-12-30T10:19:00"/>
    <s v="D"/>
    <s v="08:54 AM"/>
    <s v="Delayed"/>
    <s v="1 Hours 25 Minutes"/>
    <x v="1"/>
  </r>
  <r>
    <x v="566"/>
    <x v="173"/>
    <x v="7"/>
    <x v="1"/>
    <s v="Hyderabad"/>
    <x v="7"/>
    <s v="Sneha"/>
    <n v="80"/>
    <n v="73"/>
    <x v="1"/>
    <n v="10000"/>
    <n v="8620"/>
    <n v="2000"/>
    <x v="0"/>
    <s v="No"/>
    <d v="2025-01-13T00:00:00"/>
    <d v="2025-07-12T00:00:00"/>
    <d v="1899-12-30T08:07:00"/>
    <d v="1899-12-30T11:28:00"/>
    <s v="B"/>
    <s v="08:07 AM"/>
    <s v="Delayed"/>
    <s v="3 Hours 21 Minutes"/>
    <x v="1"/>
  </r>
  <r>
    <x v="567"/>
    <x v="190"/>
    <x v="10"/>
    <x v="0"/>
    <s v="Erode"/>
    <x v="0"/>
    <s v="David"/>
    <n v="87"/>
    <n v="92"/>
    <x v="1"/>
    <n v="18000"/>
    <n v="16060"/>
    <n v="4000"/>
    <x v="0"/>
    <s v="No"/>
    <d v="2025-06-09T00:00:00"/>
    <d v="2025-08-08T00:00:00"/>
    <d v="1899-12-30T10:04:00"/>
    <d v="1899-12-30T13:13:00"/>
    <s v="B"/>
    <s v="10:04 AM"/>
    <s v="On Time"/>
    <s v="3 Hours 9 Minutes"/>
    <x v="0"/>
  </r>
  <r>
    <x v="568"/>
    <x v="164"/>
    <x v="10"/>
    <x v="1"/>
    <s v="Erode"/>
    <x v="1"/>
    <s v="Nandhini"/>
    <n v="74"/>
    <n v="63"/>
    <x v="3"/>
    <n v="15000"/>
    <n v="16520"/>
    <n v="0"/>
    <x v="1"/>
    <s v="No"/>
    <d v="2025-10-18T00:00:00"/>
    <d v="2026-04-16T00:00:00"/>
    <d v="1899-12-30T08:50:00"/>
    <d v="1899-12-30T11:45:00"/>
    <s v="C"/>
    <s v="08:50 AM"/>
    <s v="Delayed"/>
    <s v="2 Hours 55 Minutes"/>
    <x v="1"/>
  </r>
  <r>
    <x v="569"/>
    <x v="63"/>
    <x v="7"/>
    <x v="0"/>
    <s v="Kanchipuram"/>
    <x v="1"/>
    <s v="Nandhini"/>
    <n v="99"/>
    <n v="77"/>
    <x v="2"/>
    <n v="20000"/>
    <n v="18420"/>
    <n v="4000"/>
    <x v="0"/>
    <s v="No"/>
    <d v="2025-12-13T00:00:00"/>
    <d v="2026-03-13T00:00:00"/>
    <d v="1899-12-30T10:43:00"/>
    <d v="1899-12-30T15:17:00"/>
    <s v="A"/>
    <s v="10:43 AM"/>
    <s v="On Time"/>
    <s v="4 Hours 34 Minutes"/>
    <x v="0"/>
  </r>
  <r>
    <x v="570"/>
    <x v="220"/>
    <x v="6"/>
    <x v="0"/>
    <s v="Salem"/>
    <x v="4"/>
    <s v="John"/>
    <n v="57"/>
    <n v="66"/>
    <x v="0"/>
    <n v="10000"/>
    <n v="11210"/>
    <n v="0"/>
    <x v="1"/>
    <s v="No"/>
    <d v="2025-09-26T00:00:00"/>
    <d v="2025-11-25T00:00:00"/>
    <d v="1899-12-30T08:13:00"/>
    <d v="1899-12-30T11:06:00"/>
    <s v="D"/>
    <s v="08:13 AM"/>
    <s v="On Time"/>
    <s v="2 Hours 53 Minutes"/>
    <x v="1"/>
  </r>
  <r>
    <x v="571"/>
    <x v="165"/>
    <x v="10"/>
    <x v="0"/>
    <s v="Madurai"/>
    <x v="5"/>
    <s v="Mani Prabhu"/>
    <n v="53"/>
    <n v="91"/>
    <x v="0"/>
    <n v="18000"/>
    <n v="19470"/>
    <n v="0"/>
    <x v="1"/>
    <s v="No"/>
    <d v="2025-11-09T00:00:00"/>
    <d v="2026-02-07T00:00:00"/>
    <d v="1899-12-30T10:20:00"/>
    <d v="1899-12-30T13:27:00"/>
    <s v="D"/>
    <s v="10:20 AM"/>
    <s v="On Time"/>
    <s v="3 Hours 7 Minutes"/>
    <x v="0"/>
  </r>
  <r>
    <x v="572"/>
    <x v="221"/>
    <x v="2"/>
    <x v="1"/>
    <s v="Trichy"/>
    <x v="4"/>
    <s v="John"/>
    <n v="57"/>
    <n v="69"/>
    <x v="0"/>
    <n v="10000"/>
    <n v="6030"/>
    <n v="4000"/>
    <x v="0"/>
    <s v="No"/>
    <d v="2025-05-10T00:00:00"/>
    <d v="2025-06-09T00:00:00"/>
    <d v="1899-12-30T09:15:00"/>
    <d v="1899-12-30T13:32:00"/>
    <s v="D"/>
    <s v="09:15 AM"/>
    <s v="On Time"/>
    <s v="4 Hours 17 Minutes"/>
    <x v="1"/>
  </r>
  <r>
    <x v="573"/>
    <x v="222"/>
    <x v="10"/>
    <x v="1"/>
    <s v="Trichy"/>
    <x v="6"/>
    <s v="Karthik"/>
    <n v="82"/>
    <n v="77"/>
    <x v="1"/>
    <n v="20000"/>
    <n v="19830"/>
    <n v="2000"/>
    <x v="0"/>
    <s v="No"/>
    <d v="2025-06-22T00:00:00"/>
    <d v="2025-09-20T00:00:00"/>
    <d v="1899-12-30T10:57:00"/>
    <d v="1899-12-30T12:17:00"/>
    <s v="B"/>
    <s v="10:57 AM"/>
    <s v="On Time"/>
    <s v="1 Hours 20 Minutes"/>
    <x v="0"/>
  </r>
  <r>
    <x v="574"/>
    <x v="16"/>
    <x v="3"/>
    <x v="1"/>
    <s v="Thoothukudi"/>
    <x v="2"/>
    <s v="Priya"/>
    <n v="71"/>
    <n v="75"/>
    <x v="3"/>
    <n v="10000"/>
    <n v="11210"/>
    <n v="0"/>
    <x v="1"/>
    <s v="No"/>
    <d v="2025-03-07T00:00:00"/>
    <d v="2025-04-06T00:00:00"/>
    <d v="1899-12-30T09:02:00"/>
    <d v="1899-12-30T13:24:00"/>
    <s v="C"/>
    <s v="09:02 AM"/>
    <s v="On Time"/>
    <s v="4 Hours 22 Minutes"/>
    <x v="1"/>
  </r>
  <r>
    <x v="575"/>
    <x v="16"/>
    <x v="4"/>
    <x v="1"/>
    <s v="Tirunelveli"/>
    <x v="3"/>
    <s v="Arun"/>
    <n v="78"/>
    <n v="93"/>
    <x v="1"/>
    <n v="12000"/>
    <n v="8980"/>
    <n v="4000"/>
    <x v="0"/>
    <s v="No"/>
    <d v="2025-10-06T00:00:00"/>
    <d v="2026-01-04T00:00:00"/>
    <d v="1899-12-30T08:30:00"/>
    <d v="1899-12-30T09:33:00"/>
    <s v="B"/>
    <s v="08:30 AM"/>
    <s v="On Time"/>
    <s v="1 Hours 3 Minutes"/>
    <x v="1"/>
  </r>
  <r>
    <x v="576"/>
    <x v="71"/>
    <x v="10"/>
    <x v="0"/>
    <s v="Kanchipuram"/>
    <x v="5"/>
    <s v="Mani Prabhu"/>
    <n v="60"/>
    <n v="70"/>
    <x v="3"/>
    <n v="20000"/>
    <n v="18420"/>
    <n v="4000"/>
    <x v="0"/>
    <s v="No"/>
    <d v="2025-08-07T00:00:00"/>
    <d v="2025-09-06T00:00:00"/>
    <d v="1899-12-30T08:38:00"/>
    <d v="1899-12-30T10:48:00"/>
    <s v="C"/>
    <s v="08:38 AM"/>
    <s v="On Time"/>
    <s v="2 Hours 10 Minutes"/>
    <x v="1"/>
  </r>
  <r>
    <x v="577"/>
    <x v="0"/>
    <x v="1"/>
    <x v="1"/>
    <s v="Bengaluru"/>
    <x v="0"/>
    <s v="David"/>
    <n v="36"/>
    <n v="87"/>
    <x v="0"/>
    <n v="20000"/>
    <n v="22420"/>
    <n v="0"/>
    <x v="1"/>
    <s v="No"/>
    <d v="2025-02-27T00:00:00"/>
    <d v="2025-04-28T00:00:00"/>
    <d v="1899-12-30T08:36:00"/>
    <d v="1899-12-30T10:43:00"/>
    <s v="D"/>
    <s v="08:36 AM"/>
    <s v="On Time"/>
    <s v="2 Hours 7 Minutes"/>
    <x v="1"/>
  </r>
  <r>
    <x v="578"/>
    <x v="117"/>
    <x v="10"/>
    <x v="0"/>
    <s v="Hyderabad"/>
    <x v="4"/>
    <s v="John"/>
    <n v="84"/>
    <n v="67"/>
    <x v="1"/>
    <n v="10000"/>
    <n v="10030"/>
    <n v="0"/>
    <x v="1"/>
    <s v="No"/>
    <d v="2025-10-10T00:00:00"/>
    <d v="2025-12-09T00:00:00"/>
    <d v="1899-12-30T08:40:00"/>
    <d v="1899-12-30T09:58:00"/>
    <s v="B"/>
    <s v="08:40 AM"/>
    <s v="On Time"/>
    <s v="1 Hours 18 Minutes"/>
    <x v="1"/>
  </r>
  <r>
    <x v="579"/>
    <x v="45"/>
    <x v="2"/>
    <x v="1"/>
    <s v="Coimbatore"/>
    <x v="1"/>
    <s v="Nandhini"/>
    <n v="86"/>
    <n v="60"/>
    <x v="1"/>
    <n v="10000"/>
    <n v="8030"/>
    <n v="2000"/>
    <x v="0"/>
    <s v="No"/>
    <d v="2025-12-15T00:00:00"/>
    <d v="2026-01-14T00:00:00"/>
    <d v="1899-12-30T08:23:00"/>
    <d v="1899-12-30T10:03:00"/>
    <s v="B"/>
    <s v="08:23 AM"/>
    <s v="On Time"/>
    <s v="1 Hours 40 Minutes"/>
    <x v="1"/>
  </r>
  <r>
    <x v="580"/>
    <x v="31"/>
    <x v="0"/>
    <x v="0"/>
    <s v="Hyderabad"/>
    <x v="0"/>
    <s v="David"/>
    <n v="44"/>
    <n v="80"/>
    <x v="0"/>
    <n v="15000"/>
    <n v="17700"/>
    <n v="0"/>
    <x v="1"/>
    <s v="No"/>
    <d v="2025-11-04T00:00:00"/>
    <d v="2026-05-03T00:00:00"/>
    <d v="1899-12-30T10:17:00"/>
    <d v="1899-12-30T14:19:00"/>
    <s v="D"/>
    <s v="10:17 AM"/>
    <s v="Delayed"/>
    <s v="4 Hours 2 Minutes"/>
    <x v="0"/>
  </r>
  <r>
    <x v="581"/>
    <x v="214"/>
    <x v="2"/>
    <x v="0"/>
    <s v="Hyderabad"/>
    <x v="6"/>
    <s v="Karthik"/>
    <n v="55"/>
    <n v="75"/>
    <x v="0"/>
    <n v="12000"/>
    <n v="13570"/>
    <n v="0"/>
    <x v="1"/>
    <s v="No"/>
    <d v="2025-01-12T00:00:00"/>
    <d v="2025-07-11T00:00:00"/>
    <d v="1899-12-30T10:43:00"/>
    <d v="1899-12-30T14:29:00"/>
    <s v="D"/>
    <s v="10:43 AM"/>
    <s v="Delayed"/>
    <s v="3 Hours 46 Minutes"/>
    <x v="0"/>
  </r>
  <r>
    <x v="582"/>
    <x v="59"/>
    <x v="2"/>
    <x v="1"/>
    <s v="Madurai"/>
    <x v="5"/>
    <s v="Mani Prabhu"/>
    <n v="46"/>
    <n v="68"/>
    <x v="0"/>
    <n v="18000"/>
    <n v="17470"/>
    <n v="2000"/>
    <x v="0"/>
    <s v="No"/>
    <d v="2025-11-18T00:00:00"/>
    <d v="2026-01-17T00:00:00"/>
    <d v="1899-12-30T09:28:00"/>
    <d v="1899-12-30T12:02:00"/>
    <s v="D"/>
    <s v="09:28 AM"/>
    <s v="On Time"/>
    <s v="2 Hours 34 Minutes"/>
    <x v="1"/>
  </r>
  <r>
    <x v="583"/>
    <x v="117"/>
    <x v="8"/>
    <x v="1"/>
    <s v="Chennai"/>
    <x v="1"/>
    <s v="Nandhini"/>
    <n v="57"/>
    <n v="68"/>
    <x v="0"/>
    <n v="12000"/>
    <n v="9570"/>
    <n v="4000"/>
    <x v="0"/>
    <s v="No"/>
    <d v="2025-10-30T00:00:00"/>
    <d v="2026-04-28T00:00:00"/>
    <d v="1899-12-30T08:24:00"/>
    <d v="1899-12-30T11:48:00"/>
    <s v="D"/>
    <s v="08:24 AM"/>
    <s v="Delayed"/>
    <s v="3 Hours 24 Minutes"/>
    <x v="1"/>
  </r>
  <r>
    <x v="584"/>
    <x v="37"/>
    <x v="10"/>
    <x v="0"/>
    <s v="Salem"/>
    <x v="1"/>
    <s v="Nandhini"/>
    <n v="66"/>
    <n v="98"/>
    <x v="3"/>
    <n v="10000"/>
    <n v="8620"/>
    <n v="2000"/>
    <x v="0"/>
    <s v="No"/>
    <d v="2025-06-17T00:00:00"/>
    <d v="2025-12-14T00:00:00"/>
    <d v="1899-12-30T10:44:00"/>
    <d v="1899-12-30T15:11:00"/>
    <s v="C"/>
    <s v="10:44 AM"/>
    <s v="Delayed"/>
    <s v="4 Hours 27 Minutes"/>
    <x v="0"/>
  </r>
  <r>
    <x v="585"/>
    <x v="162"/>
    <x v="2"/>
    <x v="0"/>
    <s v="Erode"/>
    <x v="2"/>
    <s v="Priya"/>
    <n v="85"/>
    <n v="68"/>
    <x v="1"/>
    <n v="12000"/>
    <n v="12980"/>
    <n v="0"/>
    <x v="1"/>
    <s v="Yes"/>
    <d v="2025-09-21T00:00:00"/>
    <d v="2026-01-19T00:00:00"/>
    <d v="1899-12-30T10:32:00"/>
    <d v="1899-12-30T14:21:00"/>
    <s v="B"/>
    <s v="10:32 AM"/>
    <s v="Delayed"/>
    <s v="3 Hours 49 Minutes"/>
    <x v="0"/>
  </r>
  <r>
    <x v="586"/>
    <x v="189"/>
    <x v="10"/>
    <x v="1"/>
    <s v="Tirunelveli"/>
    <x v="0"/>
    <s v="David"/>
    <n v="65"/>
    <n v="73"/>
    <x v="3"/>
    <n v="10000"/>
    <n v="8620"/>
    <n v="2000"/>
    <x v="0"/>
    <s v="No"/>
    <d v="2025-12-15T00:00:00"/>
    <d v="2026-01-14T00:00:00"/>
    <d v="1899-12-30T08:20:00"/>
    <d v="1899-12-30T09:29:00"/>
    <s v="C"/>
    <s v="08:20 AM"/>
    <s v="On Time"/>
    <s v="1 Hours 9 Minutes"/>
    <x v="1"/>
  </r>
  <r>
    <x v="587"/>
    <x v="36"/>
    <x v="5"/>
    <x v="1"/>
    <s v="Erode"/>
    <x v="4"/>
    <s v="John"/>
    <n v="76"/>
    <n v="71"/>
    <x v="1"/>
    <n v="12000"/>
    <n v="10390"/>
    <n v="2000"/>
    <x v="0"/>
    <s v="No"/>
    <d v="2025-06-21T00:00:00"/>
    <d v="2025-09-19T00:00:00"/>
    <d v="1899-12-30T10:52:00"/>
    <d v="1899-12-30T12:41:00"/>
    <s v="B"/>
    <s v="10:52 AM"/>
    <s v="On Time"/>
    <s v="1 Hours 49 Minutes"/>
    <x v="0"/>
  </r>
  <r>
    <x v="588"/>
    <x v="193"/>
    <x v="5"/>
    <x v="0"/>
    <s v="Hyderabad"/>
    <x v="6"/>
    <s v="Karthik"/>
    <n v="73"/>
    <n v="73"/>
    <x v="3"/>
    <n v="20000"/>
    <n v="19600"/>
    <n v="4000"/>
    <x v="0"/>
    <s v="No"/>
    <d v="2025-12-09T00:00:00"/>
    <d v="2026-02-07T00:00:00"/>
    <d v="1899-12-30T10:32:00"/>
    <d v="1899-12-30T13:18:00"/>
    <s v="C"/>
    <s v="10:32 AM"/>
    <s v="On Time"/>
    <s v="2 Hours 46 Minutes"/>
    <x v="0"/>
  </r>
  <r>
    <x v="589"/>
    <x v="137"/>
    <x v="7"/>
    <x v="1"/>
    <s v="Coimbatore"/>
    <x v="5"/>
    <s v="Mani Prabhu"/>
    <n v="82"/>
    <n v="67"/>
    <x v="1"/>
    <n v="18000"/>
    <n v="18650"/>
    <n v="2000"/>
    <x v="0"/>
    <s v="Yes"/>
    <d v="2025-01-19T00:00:00"/>
    <d v="2025-04-19T00:00:00"/>
    <d v="1899-12-30T09:35:00"/>
    <d v="1899-12-30T14:31:00"/>
    <s v="B"/>
    <s v="09:35 AM"/>
    <s v="On Time"/>
    <s v="4 Hours 56 Minutes"/>
    <x v="1"/>
  </r>
  <r>
    <x v="590"/>
    <x v="66"/>
    <x v="10"/>
    <x v="0"/>
    <s v="Hyderabad"/>
    <x v="6"/>
    <s v="Karthik"/>
    <n v="90"/>
    <n v="72"/>
    <x v="2"/>
    <n v="10000"/>
    <n v="9800"/>
    <n v="2000"/>
    <x v="0"/>
    <s v="No"/>
    <d v="2025-03-18T00:00:00"/>
    <d v="2025-07-16T00:00:00"/>
    <d v="1899-12-30T09:58:00"/>
    <d v="1899-12-30T13:19:00"/>
    <s v="A"/>
    <s v="09:58 AM"/>
    <s v="Delayed"/>
    <s v="3 Hours 21 Minutes"/>
    <x v="1"/>
  </r>
  <r>
    <x v="591"/>
    <x v="32"/>
    <x v="8"/>
    <x v="1"/>
    <s v="Trichy"/>
    <x v="7"/>
    <s v="Sneha"/>
    <n v="40"/>
    <n v="75"/>
    <x v="0"/>
    <n v="12000"/>
    <n v="12160"/>
    <n v="2000"/>
    <x v="0"/>
    <s v="No"/>
    <d v="2025-03-17T00:00:00"/>
    <d v="2025-05-16T00:00:00"/>
    <d v="1899-12-30T09:10:00"/>
    <d v="1899-12-30T10:25:00"/>
    <s v="D"/>
    <s v="09:10 AM"/>
    <s v="On Time"/>
    <s v="1 Hours 15 Minutes"/>
    <x v="1"/>
  </r>
  <r>
    <x v="592"/>
    <x v="160"/>
    <x v="9"/>
    <x v="1"/>
    <s v="Erode"/>
    <x v="1"/>
    <s v="Nandhini"/>
    <n v="41"/>
    <n v="92"/>
    <x v="0"/>
    <n v="18000"/>
    <n v="17470"/>
    <n v="2000"/>
    <x v="0"/>
    <s v="No"/>
    <d v="2025-08-23T00:00:00"/>
    <d v="2025-09-22T00:00:00"/>
    <d v="1899-12-30T08:26:00"/>
    <d v="1899-12-30T12:28:00"/>
    <s v="D"/>
    <s v="08:26 AM"/>
    <s v="On Time"/>
    <s v="4 Hours 2 Minutes"/>
    <x v="1"/>
  </r>
  <r>
    <x v="593"/>
    <x v="4"/>
    <x v="2"/>
    <x v="1"/>
    <s v="Thoothukudi"/>
    <x v="5"/>
    <s v="Mani Prabhu"/>
    <n v="73"/>
    <n v="87"/>
    <x v="3"/>
    <n v="15000"/>
    <n v="13700"/>
    <n v="4000"/>
    <x v="0"/>
    <s v="No"/>
    <d v="2025-02-05T00:00:00"/>
    <d v="2025-04-06T00:00:00"/>
    <d v="1899-12-30T08:08:00"/>
    <d v="1899-12-30T11:08:00"/>
    <s v="C"/>
    <s v="08:08 AM"/>
    <s v="On Time"/>
    <s v="3 Hours 0 Minutes"/>
    <x v="1"/>
  </r>
  <r>
    <x v="594"/>
    <x v="193"/>
    <x v="6"/>
    <x v="0"/>
    <s v="Kanchipuram"/>
    <x v="6"/>
    <s v="Karthik"/>
    <n v="55"/>
    <n v="71"/>
    <x v="0"/>
    <n v="12000"/>
    <n v="12390"/>
    <n v="0"/>
    <x v="1"/>
    <s v="No"/>
    <d v="2025-04-14T00:00:00"/>
    <d v="2025-06-13T00:00:00"/>
    <d v="1899-12-30T08:02:00"/>
    <d v="1899-12-30T09:24:00"/>
    <s v="D"/>
    <s v="08:02 AM"/>
    <s v="On Time"/>
    <s v="1 Hours 22 Minutes"/>
    <x v="1"/>
  </r>
  <r>
    <x v="595"/>
    <x v="203"/>
    <x v="4"/>
    <x v="0"/>
    <s v="Tirunelveli"/>
    <x v="6"/>
    <s v="Karthik"/>
    <n v="87"/>
    <n v="77"/>
    <x v="1"/>
    <n v="12000"/>
    <n v="12980"/>
    <n v="0"/>
    <x v="1"/>
    <s v="No"/>
    <d v="2025-07-19T00:00:00"/>
    <d v="2025-08-18T00:00:00"/>
    <d v="1899-12-30T09:03:00"/>
    <d v="1899-12-30T12:28:00"/>
    <s v="B"/>
    <s v="09:03 AM"/>
    <s v="On Time"/>
    <s v="3 Hours 25 Minutes"/>
    <x v="1"/>
  </r>
  <r>
    <x v="596"/>
    <x v="194"/>
    <x v="3"/>
    <x v="1"/>
    <s v="Trichy"/>
    <x v="4"/>
    <s v="John"/>
    <n v="35"/>
    <n v="75"/>
    <x v="0"/>
    <n v="18000"/>
    <n v="18060"/>
    <n v="2000"/>
    <x v="0"/>
    <s v="No"/>
    <d v="2025-11-03T00:00:00"/>
    <d v="2026-03-03T00:00:00"/>
    <d v="1899-12-30T08:09:00"/>
    <d v="1899-12-30T12:19:00"/>
    <s v="D"/>
    <s v="08:09 AM"/>
    <s v="Delayed"/>
    <s v="4 Hours 10 Minutes"/>
    <x v="1"/>
  </r>
  <r>
    <x v="597"/>
    <x v="97"/>
    <x v="6"/>
    <x v="0"/>
    <s v="Madurai"/>
    <x v="2"/>
    <s v="Priya"/>
    <n v="62"/>
    <n v="70"/>
    <x v="3"/>
    <n v="20000"/>
    <n v="21600"/>
    <n v="2000"/>
    <x v="0"/>
    <s v="No"/>
    <d v="2025-04-14T00:00:00"/>
    <d v="2025-05-14T00:00:00"/>
    <d v="1899-12-30T09:08:00"/>
    <d v="1899-12-30T12:20:00"/>
    <s v="C"/>
    <s v="09:08 AM"/>
    <s v="On Time"/>
    <s v="3 Hours 12 Minutes"/>
    <x v="1"/>
  </r>
  <r>
    <x v="598"/>
    <x v="76"/>
    <x v="2"/>
    <x v="1"/>
    <s v="Madurai"/>
    <x v="1"/>
    <s v="Nandhini"/>
    <n v="67"/>
    <n v="86"/>
    <x v="3"/>
    <n v="10000"/>
    <n v="11800"/>
    <n v="0"/>
    <x v="1"/>
    <s v="No"/>
    <d v="2025-02-27T00:00:00"/>
    <d v="2025-05-28T00:00:00"/>
    <d v="1899-12-30T09:14:00"/>
    <d v="1899-12-30T12:07:00"/>
    <s v="C"/>
    <s v="09:14 AM"/>
    <s v="On Time"/>
    <s v="2 Hours 53 Minutes"/>
    <x v="1"/>
  </r>
  <r>
    <x v="599"/>
    <x v="22"/>
    <x v="3"/>
    <x v="0"/>
    <s v="Thoothukudi"/>
    <x v="3"/>
    <s v="Arun"/>
    <n v="72"/>
    <n v="65"/>
    <x v="3"/>
    <n v="12000"/>
    <n v="10160"/>
    <n v="4000"/>
    <x v="0"/>
    <s v="No"/>
    <d v="2025-09-26T00:00:00"/>
    <d v="2026-01-24T00:00:00"/>
    <d v="1899-12-30T09:44:00"/>
    <d v="1899-12-30T12:45:00"/>
    <s v="C"/>
    <s v="09:44 AM"/>
    <s v="Delayed"/>
    <s v="3 Hours 1 Minutes"/>
    <x v="1"/>
  </r>
  <r>
    <x v="600"/>
    <x v="135"/>
    <x v="10"/>
    <x v="1"/>
    <s v="Kanchipuram"/>
    <x v="4"/>
    <s v="John"/>
    <n v="57"/>
    <n v="90"/>
    <x v="0"/>
    <n v="15000"/>
    <n v="14520"/>
    <n v="2000"/>
    <x v="0"/>
    <s v="No"/>
    <d v="2025-04-12T00:00:00"/>
    <d v="2025-08-10T00:00:00"/>
    <d v="1899-12-30T10:18:00"/>
    <d v="1899-12-30T11:18:00"/>
    <s v="D"/>
    <s v="10:18 AM"/>
    <s v="Delayed"/>
    <s v="1 Hours 0 Minutes"/>
    <x v="0"/>
  </r>
  <r>
    <x v="601"/>
    <x v="75"/>
    <x v="10"/>
    <x v="1"/>
    <s v="Trichy"/>
    <x v="7"/>
    <s v="Sneha"/>
    <n v="79"/>
    <n v="97"/>
    <x v="1"/>
    <n v="10000"/>
    <n v="8620"/>
    <n v="2000"/>
    <x v="0"/>
    <s v="No"/>
    <d v="2025-03-27T00:00:00"/>
    <d v="2025-07-25T00:00:00"/>
    <d v="1899-12-30T10:50:00"/>
    <d v="1899-12-30T13:47:00"/>
    <s v="B"/>
    <s v="10:50 AM"/>
    <s v="Delayed"/>
    <s v="2 Hours 57 Minutes"/>
    <x v="0"/>
  </r>
  <r>
    <x v="602"/>
    <x v="129"/>
    <x v="9"/>
    <x v="1"/>
    <s v="Salem"/>
    <x v="1"/>
    <s v="Nandhini"/>
    <n v="43"/>
    <n v="67"/>
    <x v="0"/>
    <n v="12000"/>
    <n v="8390"/>
    <n v="4000"/>
    <x v="0"/>
    <s v="No"/>
    <d v="2025-04-29T00:00:00"/>
    <d v="2025-05-29T00:00:00"/>
    <d v="1899-12-30T09:43:00"/>
    <d v="1899-12-30T11:17:00"/>
    <s v="D"/>
    <s v="09:43 AM"/>
    <s v="On Time"/>
    <s v="1 Hours 34 Minutes"/>
    <x v="1"/>
  </r>
  <r>
    <x v="603"/>
    <x v="120"/>
    <x v="0"/>
    <x v="1"/>
    <s v="Tirunelveli"/>
    <x v="7"/>
    <s v="Sneha"/>
    <n v="67"/>
    <n v="73"/>
    <x v="3"/>
    <n v="12000"/>
    <n v="14160"/>
    <n v="0"/>
    <x v="1"/>
    <s v="No"/>
    <d v="2025-08-03T00:00:00"/>
    <d v="2025-11-01T00:00:00"/>
    <d v="1899-12-30T10:25:00"/>
    <d v="1899-12-30T13:02:00"/>
    <s v="C"/>
    <s v="10:25 AM"/>
    <s v="On Time"/>
    <s v="2 Hours 37 Minutes"/>
    <x v="0"/>
  </r>
  <r>
    <x v="604"/>
    <x v="42"/>
    <x v="1"/>
    <x v="0"/>
    <s v="Thoothukudi"/>
    <x v="1"/>
    <s v="Nandhini"/>
    <n v="49"/>
    <n v="73"/>
    <x v="0"/>
    <n v="10000"/>
    <n v="9800"/>
    <n v="2000"/>
    <x v="0"/>
    <s v="No"/>
    <d v="2025-06-03T00:00:00"/>
    <d v="2025-11-30T00:00:00"/>
    <d v="1899-12-30T10:37:00"/>
    <d v="1899-12-30T12:55:00"/>
    <s v="D"/>
    <s v="10:37 AM"/>
    <s v="Delayed"/>
    <s v="2 Hours 18 Minutes"/>
    <x v="0"/>
  </r>
  <r>
    <x v="605"/>
    <x v="33"/>
    <x v="3"/>
    <x v="1"/>
    <s v="Bengaluru"/>
    <x v="0"/>
    <s v="David"/>
    <n v="93"/>
    <n v="79"/>
    <x v="2"/>
    <n v="20000"/>
    <n v="18420"/>
    <n v="4000"/>
    <x v="0"/>
    <s v="No"/>
    <d v="2025-10-16T00:00:00"/>
    <d v="2025-12-15T00:00:00"/>
    <d v="1899-12-30T10:08:00"/>
    <d v="1899-12-30T12:23:00"/>
    <s v="A"/>
    <s v="10:08 AM"/>
    <s v="On Time"/>
    <s v="2 Hours 15 Minutes"/>
    <x v="0"/>
  </r>
  <r>
    <x v="606"/>
    <x v="161"/>
    <x v="4"/>
    <x v="0"/>
    <s v="Coimbatore"/>
    <x v="1"/>
    <s v="Nandhini"/>
    <n v="66"/>
    <n v="60"/>
    <x v="3"/>
    <n v="10000"/>
    <n v="11210"/>
    <n v="0"/>
    <x v="1"/>
    <s v="No"/>
    <d v="2025-10-16T00:00:00"/>
    <d v="2025-11-15T00:00:00"/>
    <d v="1899-12-30T08:43:00"/>
    <d v="1899-12-30T11:49:00"/>
    <s v="C"/>
    <s v="08:43 AM"/>
    <s v="On Time"/>
    <s v="3 Hours 6 Minutes"/>
    <x v="1"/>
  </r>
  <r>
    <x v="607"/>
    <x v="61"/>
    <x v="10"/>
    <x v="0"/>
    <s v="Madurai"/>
    <x v="7"/>
    <s v="Sneha"/>
    <n v="93"/>
    <n v="97"/>
    <x v="2"/>
    <n v="10000"/>
    <n v="11800"/>
    <n v="0"/>
    <x v="1"/>
    <s v="No"/>
    <d v="2025-01-22T00:00:00"/>
    <d v="2025-05-22T00:00:00"/>
    <d v="1899-12-30T10:47:00"/>
    <d v="1899-12-30T12:10:00"/>
    <s v="A"/>
    <s v="10:47 AM"/>
    <s v="Delayed"/>
    <s v="1 Hours 23 Minutes"/>
    <x v="0"/>
  </r>
  <r>
    <x v="608"/>
    <x v="40"/>
    <x v="2"/>
    <x v="0"/>
    <s v="Madurai"/>
    <x v="0"/>
    <s v="David"/>
    <n v="51"/>
    <n v="94"/>
    <x v="0"/>
    <n v="18000"/>
    <n v="20650"/>
    <n v="0"/>
    <x v="1"/>
    <s v="No"/>
    <d v="2025-07-29T00:00:00"/>
    <d v="2026-01-25T00:00:00"/>
    <d v="1899-12-30T10:55:00"/>
    <d v="1899-12-30T15:01:00"/>
    <s v="D"/>
    <s v="10:55 AM"/>
    <s v="Delayed"/>
    <s v="4 Hours 6 Minutes"/>
    <x v="0"/>
  </r>
  <r>
    <x v="609"/>
    <x v="57"/>
    <x v="9"/>
    <x v="0"/>
    <s v="Thoothukudi"/>
    <x v="4"/>
    <s v="John"/>
    <n v="90"/>
    <n v="93"/>
    <x v="2"/>
    <n v="12000"/>
    <n v="14160"/>
    <n v="0"/>
    <x v="1"/>
    <s v="No"/>
    <d v="2025-09-06T00:00:00"/>
    <d v="2026-03-05T00:00:00"/>
    <d v="1899-12-30T10:35:00"/>
    <d v="1899-12-30T13:57:00"/>
    <s v="A"/>
    <s v="10:35 AM"/>
    <s v="Delayed"/>
    <s v="3 Hours 22 Minutes"/>
    <x v="0"/>
  </r>
  <r>
    <x v="610"/>
    <x v="16"/>
    <x v="2"/>
    <x v="0"/>
    <s v="Coimbatore"/>
    <x v="2"/>
    <s v="Priya"/>
    <n v="69"/>
    <n v="71"/>
    <x v="3"/>
    <n v="20000"/>
    <n v="19830"/>
    <n v="2000"/>
    <x v="0"/>
    <s v="No"/>
    <d v="2025-05-27T00:00:00"/>
    <d v="2025-08-25T00:00:00"/>
    <d v="1899-12-30T10:36:00"/>
    <d v="1899-12-30T12:35:00"/>
    <s v="C"/>
    <s v="10:36 AM"/>
    <s v="On Time"/>
    <s v="1 Hours 59 Minutes"/>
    <x v="0"/>
  </r>
  <r>
    <x v="611"/>
    <x v="17"/>
    <x v="10"/>
    <x v="0"/>
    <s v="Tirunelveli"/>
    <x v="4"/>
    <s v="John"/>
    <n v="89"/>
    <n v="98"/>
    <x v="1"/>
    <n v="15000"/>
    <n v="14520"/>
    <n v="2000"/>
    <x v="0"/>
    <s v="No"/>
    <d v="2025-02-17T00:00:00"/>
    <d v="2025-06-17T00:00:00"/>
    <d v="1899-12-30T10:34:00"/>
    <d v="1899-12-30T13:52:00"/>
    <s v="B"/>
    <s v="10:34 AM"/>
    <s v="Delayed"/>
    <s v="3 Hours 18 Minutes"/>
    <x v="0"/>
  </r>
  <r>
    <x v="612"/>
    <x v="185"/>
    <x v="4"/>
    <x v="0"/>
    <s v="Coimbatore"/>
    <x v="7"/>
    <s v="Sneha"/>
    <n v="77"/>
    <n v="72"/>
    <x v="1"/>
    <n v="10000"/>
    <n v="6030"/>
    <n v="4000"/>
    <x v="0"/>
    <s v="No"/>
    <d v="2025-02-21T00:00:00"/>
    <d v="2025-03-23T00:00:00"/>
    <d v="1899-12-30T08:56:00"/>
    <d v="1899-12-30T12:27:00"/>
    <s v="B"/>
    <s v="08:56 AM"/>
    <s v="On Time"/>
    <s v="3 Hours 31 Minutes"/>
    <x v="1"/>
  </r>
  <r>
    <x v="613"/>
    <x v="139"/>
    <x v="7"/>
    <x v="1"/>
    <s v="Chennai"/>
    <x v="7"/>
    <s v="Sneha"/>
    <n v="70"/>
    <n v="66"/>
    <x v="3"/>
    <n v="10000"/>
    <n v="9800"/>
    <n v="2000"/>
    <x v="0"/>
    <s v="No"/>
    <d v="2025-04-09T00:00:00"/>
    <d v="2025-08-07T00:00:00"/>
    <d v="1899-12-30T09:47:00"/>
    <d v="1899-12-30T13:59:00"/>
    <s v="C"/>
    <s v="09:47 AM"/>
    <s v="Delayed"/>
    <s v="4 Hours 12 Minutes"/>
    <x v="1"/>
  </r>
  <r>
    <x v="614"/>
    <x v="24"/>
    <x v="1"/>
    <x v="1"/>
    <s v="Tirunelveli"/>
    <x v="3"/>
    <s v="Arun"/>
    <n v="70"/>
    <n v="81"/>
    <x v="3"/>
    <n v="18000"/>
    <n v="16060"/>
    <n v="4000"/>
    <x v="0"/>
    <s v="No"/>
    <d v="2025-09-07T00:00:00"/>
    <d v="2026-01-05T00:00:00"/>
    <d v="1899-12-30T10:06:00"/>
    <d v="1899-12-30T13:25:00"/>
    <s v="C"/>
    <s v="10:06 AM"/>
    <s v="Delayed"/>
    <s v="3 Hours 19 Minutes"/>
    <x v="0"/>
  </r>
  <r>
    <x v="615"/>
    <x v="216"/>
    <x v="3"/>
    <x v="1"/>
    <s v="Bengaluru"/>
    <x v="5"/>
    <s v="Mani Prabhu"/>
    <n v="62"/>
    <n v="98"/>
    <x v="3"/>
    <n v="18000"/>
    <n v="20650"/>
    <n v="0"/>
    <x v="1"/>
    <s v="No"/>
    <d v="2025-07-12T00:00:00"/>
    <d v="2025-10-10T00:00:00"/>
    <d v="1899-12-30T08:39:00"/>
    <d v="1899-12-30T11:32:00"/>
    <s v="C"/>
    <s v="08:39 AM"/>
    <s v="On Time"/>
    <s v="2 Hours 53 Minutes"/>
    <x v="1"/>
  </r>
  <r>
    <x v="616"/>
    <x v="7"/>
    <x v="7"/>
    <x v="1"/>
    <s v="Bengaluru"/>
    <x v="7"/>
    <s v="Sneha"/>
    <n v="50"/>
    <n v="92"/>
    <x v="0"/>
    <n v="15000"/>
    <n v="17700"/>
    <n v="0"/>
    <x v="1"/>
    <s v="No"/>
    <d v="2025-01-25T00:00:00"/>
    <d v="2025-02-24T00:00:00"/>
    <d v="1899-12-30T09:34:00"/>
    <d v="1899-12-30T10:42:00"/>
    <s v="D"/>
    <s v="09:34 AM"/>
    <s v="On Time"/>
    <s v="1 Hours 8 Minutes"/>
    <x v="1"/>
  </r>
  <r>
    <x v="617"/>
    <x v="162"/>
    <x v="1"/>
    <x v="1"/>
    <s v="Tirunelveli"/>
    <x v="3"/>
    <s v="Arun"/>
    <n v="56"/>
    <n v="77"/>
    <x v="0"/>
    <n v="12000"/>
    <n v="14160"/>
    <n v="0"/>
    <x v="1"/>
    <s v="No"/>
    <d v="2025-05-07T00:00:00"/>
    <d v="2025-07-06T00:00:00"/>
    <d v="1899-12-30T08:54:00"/>
    <d v="1899-12-30T12:50:00"/>
    <s v="D"/>
    <s v="08:54 AM"/>
    <s v="On Time"/>
    <s v="3 Hours 56 Minutes"/>
    <x v="1"/>
  </r>
  <r>
    <x v="618"/>
    <x v="214"/>
    <x v="4"/>
    <x v="1"/>
    <s v="Vellore"/>
    <x v="6"/>
    <s v="Karthik"/>
    <n v="74"/>
    <n v="81"/>
    <x v="3"/>
    <n v="15000"/>
    <n v="13930"/>
    <n v="2000"/>
    <x v="0"/>
    <s v="No"/>
    <d v="2025-08-09T00:00:00"/>
    <d v="2026-02-05T00:00:00"/>
    <d v="1899-12-30T08:27:00"/>
    <d v="1899-12-30T09:58:00"/>
    <s v="C"/>
    <s v="08:27 AM"/>
    <s v="Delayed"/>
    <s v="1 Hours 31 Minutes"/>
    <x v="1"/>
  </r>
  <r>
    <x v="619"/>
    <x v="52"/>
    <x v="9"/>
    <x v="0"/>
    <s v="Bengaluru"/>
    <x v="5"/>
    <s v="Mani Prabhu"/>
    <n v="54"/>
    <n v="91"/>
    <x v="0"/>
    <n v="15000"/>
    <n v="11930"/>
    <n v="4000"/>
    <x v="0"/>
    <s v="No"/>
    <d v="2025-05-28T00:00:00"/>
    <d v="2025-11-24T00:00:00"/>
    <d v="1899-12-30T08:34:00"/>
    <d v="1899-12-30T12:51:00"/>
    <s v="D"/>
    <s v="08:34 AM"/>
    <s v="Delayed"/>
    <s v="4 Hours 17 Minutes"/>
    <x v="1"/>
  </r>
  <r>
    <x v="620"/>
    <x v="102"/>
    <x v="4"/>
    <x v="1"/>
    <s v="Thoothukudi"/>
    <x v="1"/>
    <s v="Nandhini"/>
    <n v="87"/>
    <n v="60"/>
    <x v="1"/>
    <n v="15000"/>
    <n v="17110"/>
    <n v="0"/>
    <x v="1"/>
    <s v="No"/>
    <d v="2025-11-14T00:00:00"/>
    <d v="2026-02-12T00:00:00"/>
    <d v="1899-12-30T08:31:00"/>
    <d v="1899-12-30T11:02:00"/>
    <s v="B"/>
    <s v="08:31 AM"/>
    <s v="On Time"/>
    <s v="2 Hours 31 Minutes"/>
    <x v="1"/>
  </r>
  <r>
    <x v="621"/>
    <x v="200"/>
    <x v="2"/>
    <x v="1"/>
    <s v="Hyderabad"/>
    <x v="6"/>
    <s v="Karthik"/>
    <n v="66"/>
    <n v="87"/>
    <x v="3"/>
    <n v="20000"/>
    <n v="18420"/>
    <n v="4000"/>
    <x v="0"/>
    <s v="No"/>
    <d v="2025-09-26T00:00:00"/>
    <d v="2026-03-25T00:00:00"/>
    <d v="1899-12-30T08:33:00"/>
    <d v="1899-12-30T09:49:00"/>
    <s v="C"/>
    <s v="08:33 AM"/>
    <s v="Delayed"/>
    <s v="1 Hours 16 Minutes"/>
    <x v="1"/>
  </r>
  <r>
    <x v="622"/>
    <x v="157"/>
    <x v="3"/>
    <x v="0"/>
    <s v="Kanchipuram"/>
    <x v="2"/>
    <s v="Priya"/>
    <n v="62"/>
    <n v="71"/>
    <x v="3"/>
    <n v="12000"/>
    <n v="12390"/>
    <n v="0"/>
    <x v="1"/>
    <s v="No"/>
    <d v="2025-08-13T00:00:00"/>
    <d v="2025-09-12T00:00:00"/>
    <d v="1899-12-30T09:10:00"/>
    <d v="1899-12-30T12:21:00"/>
    <s v="C"/>
    <s v="09:10 AM"/>
    <s v="On Time"/>
    <s v="3 Hours 11 Minutes"/>
    <x v="1"/>
  </r>
  <r>
    <x v="623"/>
    <x v="12"/>
    <x v="10"/>
    <x v="1"/>
    <s v="Thoothukudi"/>
    <x v="4"/>
    <s v="John"/>
    <n v="57"/>
    <n v="93"/>
    <x v="0"/>
    <n v="20000"/>
    <n v="17830"/>
    <n v="4000"/>
    <x v="0"/>
    <s v="No"/>
    <d v="2025-06-15T00:00:00"/>
    <d v="2025-09-13T00:00:00"/>
    <d v="1899-12-30T09:26:00"/>
    <d v="1899-12-30T11:13:00"/>
    <s v="D"/>
    <s v="09:26 AM"/>
    <s v="On Time"/>
    <s v="1 Hours 47 Minutes"/>
    <x v="1"/>
  </r>
  <r>
    <x v="624"/>
    <x v="153"/>
    <x v="3"/>
    <x v="1"/>
    <s v="Bengaluru"/>
    <x v="0"/>
    <s v="David"/>
    <n v="43"/>
    <n v="65"/>
    <x v="0"/>
    <n v="18000"/>
    <n v="18650"/>
    <n v="2000"/>
    <x v="0"/>
    <s v="No"/>
    <d v="2025-07-23T00:00:00"/>
    <d v="2025-11-20T00:00:00"/>
    <d v="1899-12-30T08:56:00"/>
    <d v="1899-12-30T12:56:00"/>
    <s v="D"/>
    <s v="08:56 AM"/>
    <s v="Delayed"/>
    <s v="4 Hours 0 Minutes"/>
    <x v="1"/>
  </r>
  <r>
    <x v="625"/>
    <x v="118"/>
    <x v="7"/>
    <x v="1"/>
    <s v="Coimbatore"/>
    <x v="3"/>
    <s v="Arun"/>
    <n v="53"/>
    <n v="87"/>
    <x v="0"/>
    <n v="12000"/>
    <n v="8390"/>
    <n v="4000"/>
    <x v="0"/>
    <s v="No"/>
    <d v="2025-08-25T00:00:00"/>
    <d v="2025-12-23T00:00:00"/>
    <d v="1899-12-30T08:49:00"/>
    <d v="1899-12-30T11:45:00"/>
    <s v="D"/>
    <s v="08:49 AM"/>
    <s v="Delayed"/>
    <s v="2 Hours 56 Minutes"/>
    <x v="1"/>
  </r>
  <r>
    <x v="626"/>
    <x v="151"/>
    <x v="10"/>
    <x v="1"/>
    <s v="Madurai"/>
    <x v="4"/>
    <s v="John"/>
    <n v="72"/>
    <n v="75"/>
    <x v="3"/>
    <n v="20000"/>
    <n v="17830"/>
    <n v="4000"/>
    <x v="0"/>
    <s v="No"/>
    <d v="2025-03-01T00:00:00"/>
    <d v="2025-05-30T00:00:00"/>
    <d v="1899-12-30T09:57:00"/>
    <d v="1899-12-30T13:01:00"/>
    <s v="C"/>
    <s v="09:57 AM"/>
    <s v="On Time"/>
    <s v="3 Hours 4 Minutes"/>
    <x v="1"/>
  </r>
  <r>
    <x v="627"/>
    <x v="223"/>
    <x v="5"/>
    <x v="1"/>
    <s v="Erode"/>
    <x v="2"/>
    <s v="Priya"/>
    <n v="37"/>
    <n v="86"/>
    <x v="0"/>
    <n v="12000"/>
    <n v="12980"/>
    <n v="0"/>
    <x v="1"/>
    <s v="No"/>
    <d v="2025-03-31T00:00:00"/>
    <d v="2025-09-27T00:00:00"/>
    <d v="1899-12-30T10:06:00"/>
    <d v="1899-12-30T14:46:00"/>
    <s v="D"/>
    <s v="10:06 AM"/>
    <s v="Delayed"/>
    <s v="4 Hours 40 Minutes"/>
    <x v="0"/>
  </r>
  <r>
    <x v="628"/>
    <x v="98"/>
    <x v="5"/>
    <x v="0"/>
    <s v="Tirunelveli"/>
    <x v="3"/>
    <s v="Arun"/>
    <n v="88"/>
    <n v="66"/>
    <x v="1"/>
    <n v="15000"/>
    <n v="16520"/>
    <n v="0"/>
    <x v="1"/>
    <s v="No"/>
    <d v="2025-09-22T00:00:00"/>
    <d v="2026-03-21T00:00:00"/>
    <d v="1899-12-30T08:03:00"/>
    <d v="1899-12-30T10:54:00"/>
    <s v="B"/>
    <s v="08:03 AM"/>
    <s v="Delayed"/>
    <s v="2 Hours 51 Minutes"/>
    <x v="1"/>
  </r>
  <r>
    <x v="629"/>
    <x v="77"/>
    <x v="4"/>
    <x v="1"/>
    <s v="Erode"/>
    <x v="5"/>
    <s v="Mani Prabhu"/>
    <n v="43"/>
    <n v="97"/>
    <x v="0"/>
    <n v="18000"/>
    <n v="16650"/>
    <n v="4000"/>
    <x v="0"/>
    <s v="No"/>
    <d v="2025-06-27T00:00:00"/>
    <d v="2025-10-25T00:00:00"/>
    <d v="1899-12-30T09:28:00"/>
    <d v="1899-12-30T11:37:00"/>
    <s v="D"/>
    <s v="09:28 AM"/>
    <s v="Delayed"/>
    <s v="2 Hours 9 Minutes"/>
    <x v="1"/>
  </r>
  <r>
    <x v="630"/>
    <x v="201"/>
    <x v="10"/>
    <x v="1"/>
    <s v="Thoothukudi"/>
    <x v="1"/>
    <s v="Nandhini"/>
    <n v="84"/>
    <n v="97"/>
    <x v="1"/>
    <n v="20000"/>
    <n v="19010"/>
    <n v="4000"/>
    <x v="0"/>
    <s v="No"/>
    <d v="2025-12-05T00:00:00"/>
    <d v="2026-04-04T00:00:00"/>
    <d v="1899-12-30T10:24:00"/>
    <d v="1899-12-30T12:54:00"/>
    <s v="B"/>
    <s v="10:24 AM"/>
    <s v="Delayed"/>
    <s v="2 Hours 30 Minutes"/>
    <x v="0"/>
  </r>
  <r>
    <x v="631"/>
    <x v="76"/>
    <x v="5"/>
    <x v="0"/>
    <s v="Erode"/>
    <x v="5"/>
    <s v="Mani Prabhu"/>
    <n v="100"/>
    <n v="63"/>
    <x v="2"/>
    <n v="12000"/>
    <n v="14160"/>
    <n v="0"/>
    <x v="1"/>
    <s v="No"/>
    <d v="2025-02-08T00:00:00"/>
    <d v="2025-08-07T00:00:00"/>
    <d v="1899-12-30T10:55:00"/>
    <d v="1899-12-30T12:43:00"/>
    <s v="A"/>
    <s v="10:55 AM"/>
    <s v="Delayed"/>
    <s v="1 Hours 48 Minutes"/>
    <x v="0"/>
  </r>
  <r>
    <x v="632"/>
    <x v="50"/>
    <x v="0"/>
    <x v="0"/>
    <s v="Vellore"/>
    <x v="0"/>
    <s v="David"/>
    <n v="100"/>
    <n v="60"/>
    <x v="2"/>
    <n v="10000"/>
    <n v="10030"/>
    <n v="0"/>
    <x v="1"/>
    <s v="Yes"/>
    <d v="2025-10-06T00:00:00"/>
    <d v="2026-02-03T00:00:00"/>
    <d v="1899-12-30T10:43:00"/>
    <d v="1899-12-30T13:32:00"/>
    <s v="A"/>
    <s v="10:43 AM"/>
    <s v="Delayed"/>
    <s v="2 Hours 49 Minutes"/>
    <x v="0"/>
  </r>
  <r>
    <x v="633"/>
    <x v="224"/>
    <x v="6"/>
    <x v="0"/>
    <s v="Trichy"/>
    <x v="5"/>
    <s v="Mani Prabhu"/>
    <n v="97"/>
    <n v="81"/>
    <x v="2"/>
    <n v="20000"/>
    <n v="21010"/>
    <n v="2000"/>
    <x v="0"/>
    <s v="No"/>
    <d v="2025-07-31T00:00:00"/>
    <d v="2025-11-28T00:00:00"/>
    <d v="1899-12-30T10:58:00"/>
    <d v="1899-12-30T14:39:00"/>
    <s v="A"/>
    <s v="10:58 AM"/>
    <s v="Delayed"/>
    <s v="3 Hours 41 Minutes"/>
    <x v="0"/>
  </r>
  <r>
    <x v="634"/>
    <x v="83"/>
    <x v="4"/>
    <x v="0"/>
    <s v="Chennai"/>
    <x v="7"/>
    <s v="Sneha"/>
    <n v="88"/>
    <n v="76"/>
    <x v="1"/>
    <n v="20000"/>
    <n v="18420"/>
    <n v="4000"/>
    <x v="0"/>
    <s v="No"/>
    <d v="2025-11-19T00:00:00"/>
    <d v="2026-02-17T00:00:00"/>
    <d v="1899-12-30T10:00:00"/>
    <d v="1899-12-30T14:29:00"/>
    <s v="B"/>
    <s v="10:00 AM"/>
    <s v="On Time"/>
    <s v="4 Hours 29 Minutes"/>
    <x v="1"/>
  </r>
  <r>
    <x v="635"/>
    <x v="179"/>
    <x v="7"/>
    <x v="1"/>
    <s v="Salem"/>
    <x v="6"/>
    <s v="Karthik"/>
    <n v="92"/>
    <n v="60"/>
    <x v="2"/>
    <n v="12000"/>
    <n v="8390"/>
    <n v="4000"/>
    <x v="0"/>
    <s v="No"/>
    <d v="2025-08-03T00:00:00"/>
    <d v="2025-12-01T00:00:00"/>
    <d v="1899-12-30T08:02:00"/>
    <d v="1899-12-30T11:17:00"/>
    <s v="A"/>
    <s v="08:02 AM"/>
    <s v="Delayed"/>
    <s v="3 Hours 15 Minutes"/>
    <x v="1"/>
  </r>
  <r>
    <x v="636"/>
    <x v="25"/>
    <x v="10"/>
    <x v="1"/>
    <s v="Madurai"/>
    <x v="4"/>
    <s v="John"/>
    <n v="53"/>
    <n v="78"/>
    <x v="0"/>
    <n v="15000"/>
    <n v="17700"/>
    <n v="0"/>
    <x v="1"/>
    <s v="No"/>
    <d v="2025-10-27T00:00:00"/>
    <d v="2026-04-25T00:00:00"/>
    <d v="1899-12-30T10:05:00"/>
    <d v="1899-12-30T12:29:00"/>
    <s v="D"/>
    <s v="10:05 AM"/>
    <s v="Delayed"/>
    <s v="2 Hours 24 Minutes"/>
    <x v="0"/>
  </r>
  <r>
    <x v="637"/>
    <x v="52"/>
    <x v="1"/>
    <x v="0"/>
    <s v="Tirunelveli"/>
    <x v="5"/>
    <s v="Mani Prabhu"/>
    <n v="74"/>
    <n v="60"/>
    <x v="3"/>
    <n v="18000"/>
    <n v="20060"/>
    <n v="0"/>
    <x v="1"/>
    <s v="No"/>
    <d v="2025-05-04T00:00:00"/>
    <d v="2025-08-02T00:00:00"/>
    <d v="1899-12-30T09:06:00"/>
    <d v="1899-12-30T11:24:00"/>
    <s v="C"/>
    <s v="09:06 AM"/>
    <s v="On Time"/>
    <s v="2 Hours 18 Minutes"/>
    <x v="1"/>
  </r>
  <r>
    <x v="638"/>
    <x v="146"/>
    <x v="10"/>
    <x v="0"/>
    <s v="Trichy"/>
    <x v="3"/>
    <s v="Arun"/>
    <n v="95"/>
    <n v="62"/>
    <x v="2"/>
    <n v="18000"/>
    <n v="17470"/>
    <n v="2000"/>
    <x v="0"/>
    <s v="No"/>
    <d v="2025-04-30T00:00:00"/>
    <d v="2025-05-30T00:00:00"/>
    <d v="1899-12-30T08:45:00"/>
    <d v="1899-12-30T10:44:00"/>
    <s v="A"/>
    <s v="08:45 AM"/>
    <s v="On Time"/>
    <s v="1 Hours 59 Minutes"/>
    <x v="1"/>
  </r>
  <r>
    <x v="639"/>
    <x v="4"/>
    <x v="7"/>
    <x v="0"/>
    <s v="Salem"/>
    <x v="4"/>
    <s v="John"/>
    <n v="73"/>
    <n v="70"/>
    <x v="3"/>
    <n v="20000"/>
    <n v="21600"/>
    <n v="2000"/>
    <x v="0"/>
    <s v="No"/>
    <d v="2025-12-22T00:00:00"/>
    <d v="2026-04-21T00:00:00"/>
    <d v="1899-12-30T09:54:00"/>
    <d v="1899-12-30T13:59:00"/>
    <s v="C"/>
    <s v="09:54 AM"/>
    <s v="Delayed"/>
    <s v="4 Hours 5 Minutes"/>
    <x v="1"/>
  </r>
  <r>
    <x v="640"/>
    <x v="225"/>
    <x v="3"/>
    <x v="1"/>
    <s v="Vellore"/>
    <x v="5"/>
    <s v="Mani Prabhu"/>
    <n v="90"/>
    <n v="85"/>
    <x v="2"/>
    <n v="15000"/>
    <n v="13110"/>
    <n v="4000"/>
    <x v="0"/>
    <s v="No"/>
    <d v="2025-07-06T00:00:00"/>
    <d v="2025-08-05T00:00:00"/>
    <d v="1899-12-30T10:04:00"/>
    <d v="1899-12-30T11:08:00"/>
    <s v="A"/>
    <s v="10:04 AM"/>
    <s v="On Time"/>
    <s v="1 Hours 4 Minutes"/>
    <x v="0"/>
  </r>
  <r>
    <x v="641"/>
    <x v="59"/>
    <x v="8"/>
    <x v="1"/>
    <s v="Madurai"/>
    <x v="5"/>
    <s v="Mani Prabhu"/>
    <n v="91"/>
    <n v="93"/>
    <x v="2"/>
    <n v="20000"/>
    <n v="18420"/>
    <n v="4000"/>
    <x v="0"/>
    <s v="No"/>
    <d v="2025-06-20T00:00:00"/>
    <d v="2025-12-17T00:00:00"/>
    <d v="1899-12-30T08:33:00"/>
    <d v="1899-12-30T09:43:00"/>
    <s v="A"/>
    <s v="08:33 AM"/>
    <s v="Delayed"/>
    <s v="1 Hours 10 Minutes"/>
    <x v="1"/>
  </r>
  <r>
    <x v="642"/>
    <x v="158"/>
    <x v="5"/>
    <x v="0"/>
    <s v="Thoothukudi"/>
    <x v="7"/>
    <s v="Sneha"/>
    <n v="43"/>
    <n v="99"/>
    <x v="0"/>
    <n v="18000"/>
    <n v="20650"/>
    <n v="0"/>
    <x v="1"/>
    <s v="No"/>
    <d v="2025-11-14T00:00:00"/>
    <d v="2026-02-12T00:00:00"/>
    <d v="1899-12-30T08:28:00"/>
    <d v="1899-12-30T12:13:00"/>
    <s v="D"/>
    <s v="08:28 AM"/>
    <s v="On Time"/>
    <s v="3 Hours 45 Minutes"/>
    <x v="1"/>
  </r>
  <r>
    <x v="643"/>
    <x v="178"/>
    <x v="7"/>
    <x v="0"/>
    <s v="Chennai"/>
    <x v="0"/>
    <s v="David"/>
    <n v="63"/>
    <n v="98"/>
    <x v="3"/>
    <n v="20000"/>
    <n v="23600"/>
    <n v="0"/>
    <x v="1"/>
    <s v="No"/>
    <d v="2025-05-25T00:00:00"/>
    <d v="2025-09-22T00:00:00"/>
    <d v="1899-12-30T09:20:00"/>
    <d v="1899-12-30T12:37:00"/>
    <s v="C"/>
    <s v="09:20 AM"/>
    <s v="Delayed"/>
    <s v="3 Hours 17 Minutes"/>
    <x v="1"/>
  </r>
  <r>
    <x v="644"/>
    <x v="207"/>
    <x v="2"/>
    <x v="0"/>
    <s v="Tirunelveli"/>
    <x v="3"/>
    <s v="Arun"/>
    <n v="62"/>
    <n v="76"/>
    <x v="3"/>
    <n v="10000"/>
    <n v="10030"/>
    <n v="0"/>
    <x v="1"/>
    <s v="No"/>
    <d v="2025-02-19T00:00:00"/>
    <d v="2025-08-18T00:00:00"/>
    <d v="1899-12-30T09:49:00"/>
    <d v="1899-12-30T14:06:00"/>
    <s v="C"/>
    <s v="09:49 AM"/>
    <s v="Delayed"/>
    <s v="4 Hours 17 Minutes"/>
    <x v="1"/>
  </r>
  <r>
    <x v="645"/>
    <x v="136"/>
    <x v="4"/>
    <x v="0"/>
    <s v="Erode"/>
    <x v="0"/>
    <s v="David"/>
    <n v="59"/>
    <n v="84"/>
    <x v="0"/>
    <n v="10000"/>
    <n v="7210"/>
    <n v="4000"/>
    <x v="0"/>
    <s v="No"/>
    <d v="2025-09-06T00:00:00"/>
    <d v="2025-12-05T00:00:00"/>
    <d v="1899-12-30T09:53:00"/>
    <d v="1899-12-30T14:36:00"/>
    <s v="D"/>
    <s v="09:53 AM"/>
    <s v="On Time"/>
    <s v="4 Hours 43 Minutes"/>
    <x v="1"/>
  </r>
  <r>
    <x v="646"/>
    <x v="215"/>
    <x v="8"/>
    <x v="1"/>
    <s v="Chennai"/>
    <x v="5"/>
    <s v="Mani Prabhu"/>
    <n v="92"/>
    <n v="73"/>
    <x v="2"/>
    <n v="12000"/>
    <n v="12980"/>
    <n v="0"/>
    <x v="1"/>
    <s v="No"/>
    <d v="2025-06-05T00:00:00"/>
    <d v="2025-12-02T00:00:00"/>
    <d v="1899-12-30T08:47:00"/>
    <d v="1899-12-30T12:57:00"/>
    <s v="A"/>
    <s v="08:47 AM"/>
    <s v="Delayed"/>
    <s v="4 Hours 10 Minutes"/>
    <x v="1"/>
  </r>
  <r>
    <x v="647"/>
    <x v="217"/>
    <x v="8"/>
    <x v="0"/>
    <s v="Salem"/>
    <x v="2"/>
    <s v="Priya"/>
    <n v="74"/>
    <n v="81"/>
    <x v="3"/>
    <n v="15000"/>
    <n v="17110"/>
    <n v="0"/>
    <x v="1"/>
    <s v="No"/>
    <d v="2025-01-06T00:00:00"/>
    <d v="2025-02-05T00:00:00"/>
    <d v="1899-12-30T10:12:00"/>
    <d v="1899-12-30T14:49:00"/>
    <s v="C"/>
    <s v="10:12 AM"/>
    <s v="On Time"/>
    <s v="4 Hours 37 Minutes"/>
    <x v="0"/>
  </r>
  <r>
    <x v="648"/>
    <x v="83"/>
    <x v="8"/>
    <x v="0"/>
    <s v="Salem"/>
    <x v="7"/>
    <s v="Sneha"/>
    <n v="46"/>
    <n v="93"/>
    <x v="0"/>
    <n v="18000"/>
    <n v="20060"/>
    <n v="0"/>
    <x v="1"/>
    <s v="No"/>
    <d v="2025-09-09T00:00:00"/>
    <d v="2025-10-09T00:00:00"/>
    <d v="1899-12-30T08:49:00"/>
    <d v="1899-12-30T11:56:00"/>
    <s v="D"/>
    <s v="08:49 AM"/>
    <s v="On Time"/>
    <s v="3 Hours 7 Minutes"/>
    <x v="1"/>
  </r>
  <r>
    <x v="649"/>
    <x v="82"/>
    <x v="2"/>
    <x v="1"/>
    <s v="Kanchipuram"/>
    <x v="7"/>
    <s v="Sneha"/>
    <n v="58"/>
    <n v="98"/>
    <x v="0"/>
    <n v="10000"/>
    <n v="8620"/>
    <n v="2000"/>
    <x v="0"/>
    <s v="No"/>
    <d v="2025-03-18T00:00:00"/>
    <d v="2025-06-16T00:00:00"/>
    <d v="1899-12-30T10:17:00"/>
    <d v="1899-12-30T13:57:00"/>
    <s v="D"/>
    <s v="10:17 AM"/>
    <s v="On Time"/>
    <s v="3 Hours 40 Minutes"/>
    <x v="0"/>
  </r>
  <r>
    <x v="650"/>
    <x v="107"/>
    <x v="0"/>
    <x v="1"/>
    <s v="Erode"/>
    <x v="4"/>
    <s v="John"/>
    <n v="84"/>
    <n v="83"/>
    <x v="1"/>
    <n v="15000"/>
    <n v="14520"/>
    <n v="2000"/>
    <x v="0"/>
    <s v="No"/>
    <d v="2025-04-14T00:00:00"/>
    <d v="2025-05-14T00:00:00"/>
    <d v="1899-12-30T10:09:00"/>
    <d v="1899-12-30T11:38:00"/>
    <s v="B"/>
    <s v="10:09 AM"/>
    <s v="On Time"/>
    <s v="1 Hours 29 Minutes"/>
    <x v="0"/>
  </r>
  <r>
    <x v="651"/>
    <x v="68"/>
    <x v="0"/>
    <x v="1"/>
    <s v="Madurai"/>
    <x v="6"/>
    <s v="Karthik"/>
    <n v="86"/>
    <n v="65"/>
    <x v="1"/>
    <n v="18000"/>
    <n v="21240"/>
    <n v="0"/>
    <x v="1"/>
    <s v="No"/>
    <d v="2025-08-07T00:00:00"/>
    <d v="2025-11-05T00:00:00"/>
    <d v="1899-12-30T08:19:00"/>
    <d v="1899-12-30T10:10:00"/>
    <s v="B"/>
    <s v="08:19 AM"/>
    <s v="On Time"/>
    <s v="1 Hours 51 Minutes"/>
    <x v="1"/>
  </r>
  <r>
    <x v="652"/>
    <x v="6"/>
    <x v="7"/>
    <x v="0"/>
    <s v="Salem"/>
    <x v="3"/>
    <s v="Arun"/>
    <n v="43"/>
    <n v="76"/>
    <x v="0"/>
    <n v="10000"/>
    <n v="11800"/>
    <n v="0"/>
    <x v="1"/>
    <s v="No"/>
    <d v="2025-06-30T00:00:00"/>
    <d v="2025-10-28T00:00:00"/>
    <d v="1899-12-30T08:14:00"/>
    <d v="1899-12-30T10:46:00"/>
    <s v="D"/>
    <s v="08:14 AM"/>
    <s v="Delayed"/>
    <s v="2 Hours 32 Minutes"/>
    <x v="1"/>
  </r>
  <r>
    <x v="653"/>
    <x v="207"/>
    <x v="9"/>
    <x v="0"/>
    <s v="Trichy"/>
    <x v="2"/>
    <s v="Priya"/>
    <n v="85"/>
    <n v="63"/>
    <x v="1"/>
    <n v="15000"/>
    <n v="16520"/>
    <n v="0"/>
    <x v="1"/>
    <s v="No"/>
    <d v="2025-05-15T00:00:00"/>
    <d v="2025-08-13T00:00:00"/>
    <d v="1899-12-30T08:22:00"/>
    <d v="1899-12-30T09:38:00"/>
    <s v="B"/>
    <s v="08:22 AM"/>
    <s v="On Time"/>
    <s v="1 Hours 16 Minutes"/>
    <x v="1"/>
  </r>
  <r>
    <x v="654"/>
    <x v="225"/>
    <x v="9"/>
    <x v="0"/>
    <s v="Madurai"/>
    <x v="0"/>
    <s v="David"/>
    <n v="72"/>
    <n v="100"/>
    <x v="3"/>
    <n v="15000"/>
    <n v="12520"/>
    <n v="4000"/>
    <x v="0"/>
    <s v="No"/>
    <d v="2025-01-08T00:00:00"/>
    <d v="2025-04-08T00:00:00"/>
    <d v="1899-12-30T09:01:00"/>
    <d v="1899-12-30T13:53:00"/>
    <s v="C"/>
    <s v="09:01 AM"/>
    <s v="On Time"/>
    <s v="4 Hours 52 Minutes"/>
    <x v="1"/>
  </r>
  <r>
    <x v="655"/>
    <x v="226"/>
    <x v="3"/>
    <x v="1"/>
    <s v="Coimbatore"/>
    <x v="4"/>
    <s v="John"/>
    <n v="59"/>
    <n v="83"/>
    <x v="0"/>
    <n v="20000"/>
    <n v="18420"/>
    <n v="4000"/>
    <x v="0"/>
    <s v="No"/>
    <d v="2025-06-13T00:00:00"/>
    <d v="2025-07-13T00:00:00"/>
    <d v="1899-12-30T08:34:00"/>
    <d v="1899-12-30T09:48:00"/>
    <s v="D"/>
    <s v="08:34 AM"/>
    <s v="On Time"/>
    <s v="1 Hours 14 Minutes"/>
    <x v="1"/>
  </r>
  <r>
    <x v="656"/>
    <x v="7"/>
    <x v="7"/>
    <x v="0"/>
    <s v="Coimbatore"/>
    <x v="4"/>
    <s v="John"/>
    <n v="96"/>
    <n v="84"/>
    <x v="2"/>
    <n v="18000"/>
    <n v="18650"/>
    <n v="2000"/>
    <x v="0"/>
    <s v="No"/>
    <d v="2025-01-28T00:00:00"/>
    <d v="2025-02-27T00:00:00"/>
    <d v="1899-12-30T10:18:00"/>
    <d v="1899-12-30T11:31:00"/>
    <s v="A"/>
    <s v="10:18 AM"/>
    <s v="On Time"/>
    <s v="1 Hours 13 Minutes"/>
    <x v="0"/>
  </r>
  <r>
    <x v="657"/>
    <x v="197"/>
    <x v="10"/>
    <x v="1"/>
    <s v="Hyderabad"/>
    <x v="7"/>
    <s v="Sneha"/>
    <n v="53"/>
    <n v="63"/>
    <x v="0"/>
    <n v="12000"/>
    <n v="14160"/>
    <n v="0"/>
    <x v="1"/>
    <s v="No"/>
    <d v="2025-10-06T00:00:00"/>
    <d v="2025-11-05T00:00:00"/>
    <d v="1899-12-30T10:38:00"/>
    <d v="1899-12-30T11:50:00"/>
    <s v="D"/>
    <s v="10:38 AM"/>
    <s v="On Time"/>
    <s v="1 Hours 12 Minutes"/>
    <x v="0"/>
  </r>
  <r>
    <x v="658"/>
    <x v="45"/>
    <x v="1"/>
    <x v="1"/>
    <s v="Bengaluru"/>
    <x v="3"/>
    <s v="Arun"/>
    <n v="89"/>
    <n v="83"/>
    <x v="1"/>
    <n v="18000"/>
    <n v="20650"/>
    <n v="0"/>
    <x v="1"/>
    <s v="No"/>
    <d v="2025-10-24T00:00:00"/>
    <d v="2026-04-22T00:00:00"/>
    <d v="1899-12-30T10:25:00"/>
    <d v="1899-12-30T15:18:00"/>
    <s v="B"/>
    <s v="10:25 AM"/>
    <s v="Delayed"/>
    <s v="4 Hours 53 Minutes"/>
    <x v="0"/>
  </r>
  <r>
    <x v="659"/>
    <x v="175"/>
    <x v="3"/>
    <x v="0"/>
    <s v="Bengaluru"/>
    <x v="3"/>
    <s v="Arun"/>
    <n v="82"/>
    <n v="92"/>
    <x v="1"/>
    <n v="18000"/>
    <n v="20650"/>
    <n v="0"/>
    <x v="1"/>
    <s v="No"/>
    <d v="2025-08-02T00:00:00"/>
    <d v="2026-01-29T00:00:00"/>
    <d v="1899-12-30T10:58:00"/>
    <d v="1899-12-30T14:39:00"/>
    <s v="B"/>
    <s v="10:58 AM"/>
    <s v="Delayed"/>
    <s v="3 Hours 41 Minutes"/>
    <x v="0"/>
  </r>
  <r>
    <x v="660"/>
    <x v="106"/>
    <x v="4"/>
    <x v="1"/>
    <s v="Vellore"/>
    <x v="0"/>
    <s v="David"/>
    <n v="86"/>
    <n v="92"/>
    <x v="1"/>
    <n v="20000"/>
    <n v="23010"/>
    <n v="0"/>
    <x v="1"/>
    <s v="No"/>
    <d v="2025-07-12T00:00:00"/>
    <d v="2025-09-10T00:00:00"/>
    <d v="1899-12-30T09:41:00"/>
    <d v="1899-12-30T13:25:00"/>
    <s v="B"/>
    <s v="09:41 AM"/>
    <s v="On Time"/>
    <s v="3 Hours 44 Minutes"/>
    <x v="1"/>
  </r>
  <r>
    <x v="661"/>
    <x v="227"/>
    <x v="4"/>
    <x v="1"/>
    <s v="Madurai"/>
    <x v="2"/>
    <s v="Priya"/>
    <n v="82"/>
    <n v="66"/>
    <x v="1"/>
    <n v="20000"/>
    <n v="23600"/>
    <n v="0"/>
    <x v="1"/>
    <s v="No"/>
    <d v="2025-01-02T00:00:00"/>
    <d v="2025-07-01T00:00:00"/>
    <d v="1899-12-30T08:47:00"/>
    <d v="1899-12-30T12:31:00"/>
    <s v="B"/>
    <s v="08:47 AM"/>
    <s v="Delayed"/>
    <s v="3 Hours 44 Minutes"/>
    <x v="1"/>
  </r>
  <r>
    <x v="662"/>
    <x v="148"/>
    <x v="4"/>
    <x v="1"/>
    <s v="Trichy"/>
    <x v="5"/>
    <s v="Mani Prabhu"/>
    <n v="80"/>
    <n v="96"/>
    <x v="1"/>
    <n v="18000"/>
    <n v="18060"/>
    <n v="2000"/>
    <x v="0"/>
    <s v="No"/>
    <d v="2025-03-12T00:00:00"/>
    <d v="2025-09-08T00:00:00"/>
    <d v="1899-12-30T08:03:00"/>
    <d v="1899-12-30T10:07:00"/>
    <s v="B"/>
    <s v="08:03 AM"/>
    <s v="Delayed"/>
    <s v="2 Hours 4 Minutes"/>
    <x v="1"/>
  </r>
  <r>
    <x v="663"/>
    <x v="180"/>
    <x v="6"/>
    <x v="1"/>
    <s v="Coimbatore"/>
    <x v="6"/>
    <s v="Karthik"/>
    <n v="83"/>
    <n v="100"/>
    <x v="1"/>
    <n v="12000"/>
    <n v="9570"/>
    <n v="4000"/>
    <x v="0"/>
    <s v="No"/>
    <d v="2025-06-22T00:00:00"/>
    <d v="2025-09-20T00:00:00"/>
    <d v="1899-12-30T09:22:00"/>
    <d v="1899-12-30T11:07:00"/>
    <s v="B"/>
    <s v="09:22 AM"/>
    <s v="On Time"/>
    <s v="1 Hours 45 Minutes"/>
    <x v="1"/>
  </r>
  <r>
    <x v="664"/>
    <x v="84"/>
    <x v="6"/>
    <x v="1"/>
    <s v="Tirunelveli"/>
    <x v="0"/>
    <s v="David"/>
    <n v="82"/>
    <n v="79"/>
    <x v="1"/>
    <n v="12000"/>
    <n v="12390"/>
    <n v="0"/>
    <x v="1"/>
    <s v="No"/>
    <d v="2025-10-17T00:00:00"/>
    <d v="2025-11-16T00:00:00"/>
    <d v="1899-12-30T08:38:00"/>
    <d v="1899-12-30T10:11:00"/>
    <s v="B"/>
    <s v="08:38 AM"/>
    <s v="On Time"/>
    <s v="1 Hours 33 Minutes"/>
    <x v="1"/>
  </r>
  <r>
    <x v="665"/>
    <x v="121"/>
    <x v="0"/>
    <x v="1"/>
    <s v="Tirunelveli"/>
    <x v="3"/>
    <s v="Arun"/>
    <n v="97"/>
    <n v="60"/>
    <x v="2"/>
    <n v="12000"/>
    <n v="10980"/>
    <n v="2000"/>
    <x v="0"/>
    <s v="Yes"/>
    <d v="2025-05-22T00:00:00"/>
    <d v="2025-09-19T00:00:00"/>
    <d v="1899-12-30T09:03:00"/>
    <d v="1899-12-30T11:54:00"/>
    <s v="A"/>
    <s v="09:03 AM"/>
    <s v="Delayed"/>
    <s v="2 Hours 51 Minutes"/>
    <x v="1"/>
  </r>
  <r>
    <x v="666"/>
    <x v="105"/>
    <x v="2"/>
    <x v="0"/>
    <s v="Bengaluru"/>
    <x v="7"/>
    <s v="Sneha"/>
    <n v="82"/>
    <n v="93"/>
    <x v="1"/>
    <n v="12000"/>
    <n v="12980"/>
    <n v="0"/>
    <x v="1"/>
    <s v="No"/>
    <d v="2025-10-19T00:00:00"/>
    <d v="2026-01-17T00:00:00"/>
    <d v="1899-12-30T10:16:00"/>
    <d v="1899-12-30T15:01:00"/>
    <s v="B"/>
    <s v="10:16 AM"/>
    <s v="On Time"/>
    <s v="4 Hours 45 Minutes"/>
    <x v="0"/>
  </r>
  <r>
    <x v="667"/>
    <x v="44"/>
    <x v="10"/>
    <x v="1"/>
    <s v="Salem"/>
    <x v="3"/>
    <s v="Arun"/>
    <n v="81"/>
    <n v="75"/>
    <x v="1"/>
    <n v="15000"/>
    <n v="13930"/>
    <n v="2000"/>
    <x v="0"/>
    <s v="No"/>
    <d v="2025-06-06T00:00:00"/>
    <d v="2025-08-05T00:00:00"/>
    <d v="1899-12-30T10:33:00"/>
    <d v="1899-12-30T12:49:00"/>
    <s v="B"/>
    <s v="10:33 AM"/>
    <s v="On Time"/>
    <s v="2 Hours 16 Minutes"/>
    <x v="0"/>
  </r>
  <r>
    <x v="668"/>
    <x v="74"/>
    <x v="0"/>
    <x v="1"/>
    <s v="Tirunelveli"/>
    <x v="6"/>
    <s v="Karthik"/>
    <n v="40"/>
    <n v="73"/>
    <x v="0"/>
    <n v="20000"/>
    <n v="22420"/>
    <n v="0"/>
    <x v="1"/>
    <s v="No"/>
    <d v="2025-07-17T00:00:00"/>
    <d v="2025-11-14T00:00:00"/>
    <d v="1899-12-30T08:25:00"/>
    <d v="1899-12-30T11:13:00"/>
    <s v="D"/>
    <s v="08:25 AM"/>
    <s v="Delayed"/>
    <s v="2 Hours 48 Minutes"/>
    <x v="1"/>
  </r>
  <r>
    <x v="669"/>
    <x v="163"/>
    <x v="9"/>
    <x v="0"/>
    <s v="Kanchipuram"/>
    <x v="3"/>
    <s v="Arun"/>
    <n v="98"/>
    <n v="72"/>
    <x v="2"/>
    <n v="20000"/>
    <n v="19600"/>
    <n v="4000"/>
    <x v="0"/>
    <s v="No"/>
    <d v="2025-06-04T00:00:00"/>
    <d v="2025-08-03T00:00:00"/>
    <d v="1899-12-30T09:14:00"/>
    <d v="1899-12-30T13:38:00"/>
    <s v="A"/>
    <s v="09:14 AM"/>
    <s v="On Time"/>
    <s v="4 Hours 24 Minutes"/>
    <x v="1"/>
  </r>
  <r>
    <x v="670"/>
    <x v="168"/>
    <x v="2"/>
    <x v="0"/>
    <s v="Trichy"/>
    <x v="1"/>
    <s v="Nandhini"/>
    <n v="99"/>
    <n v="67"/>
    <x v="2"/>
    <n v="10000"/>
    <n v="10620"/>
    <n v="0"/>
    <x v="1"/>
    <s v="No"/>
    <d v="2025-07-03T00:00:00"/>
    <d v="2025-08-02T00:00:00"/>
    <d v="1899-12-30T10:39:00"/>
    <d v="1899-12-30T15:14:00"/>
    <s v="A"/>
    <s v="10:39 AM"/>
    <s v="On Time"/>
    <s v="4 Hours 35 Minutes"/>
    <x v="0"/>
  </r>
  <r>
    <x v="671"/>
    <x v="12"/>
    <x v="10"/>
    <x v="1"/>
    <s v="Coimbatore"/>
    <x v="5"/>
    <s v="Mani Prabhu"/>
    <n v="94"/>
    <n v="85"/>
    <x v="2"/>
    <n v="10000"/>
    <n v="9210"/>
    <n v="2000"/>
    <x v="0"/>
    <s v="No"/>
    <d v="2025-07-16T00:00:00"/>
    <d v="2026-01-12T00:00:00"/>
    <d v="1899-12-30T08:46:00"/>
    <d v="1899-12-30T11:02:00"/>
    <s v="A"/>
    <s v="08:46 AM"/>
    <s v="Delayed"/>
    <s v="2 Hours 16 Minutes"/>
    <x v="1"/>
  </r>
  <r>
    <x v="672"/>
    <x v="62"/>
    <x v="3"/>
    <x v="0"/>
    <s v="Chennai"/>
    <x v="4"/>
    <s v="John"/>
    <n v="62"/>
    <n v="83"/>
    <x v="3"/>
    <n v="20000"/>
    <n v="21010"/>
    <n v="2000"/>
    <x v="0"/>
    <s v="No"/>
    <d v="2025-12-14T00:00:00"/>
    <d v="2026-01-13T00:00:00"/>
    <d v="1899-12-30T10:44:00"/>
    <d v="1899-12-30T15:27:00"/>
    <s v="C"/>
    <s v="10:44 AM"/>
    <s v="On Time"/>
    <s v="4 Hours 43 Minutes"/>
    <x v="0"/>
  </r>
  <r>
    <x v="673"/>
    <x v="83"/>
    <x v="4"/>
    <x v="1"/>
    <s v="Hyderabad"/>
    <x v="3"/>
    <s v="Arun"/>
    <n v="82"/>
    <n v="80"/>
    <x v="1"/>
    <n v="15000"/>
    <n v="13700"/>
    <n v="4000"/>
    <x v="0"/>
    <s v="No"/>
    <d v="2025-09-22T00:00:00"/>
    <d v="2026-03-21T00:00:00"/>
    <d v="1899-12-30T10:39:00"/>
    <d v="1899-12-30T13:49:00"/>
    <s v="B"/>
    <s v="10:39 AM"/>
    <s v="Delayed"/>
    <s v="3 Hours 10 Minutes"/>
    <x v="0"/>
  </r>
  <r>
    <x v="674"/>
    <x v="101"/>
    <x v="8"/>
    <x v="0"/>
    <s v="Kanchipuram"/>
    <x v="4"/>
    <s v="John"/>
    <n v="65"/>
    <n v="82"/>
    <x v="3"/>
    <n v="12000"/>
    <n v="14160"/>
    <n v="0"/>
    <x v="1"/>
    <s v="No"/>
    <d v="2025-11-06T00:00:00"/>
    <d v="2025-12-06T00:00:00"/>
    <d v="1899-12-30T08:14:00"/>
    <d v="1899-12-30T11:02:00"/>
    <s v="C"/>
    <s v="08:14 AM"/>
    <s v="On Time"/>
    <s v="2 Hours 48 Minutes"/>
    <x v="1"/>
  </r>
  <r>
    <x v="675"/>
    <x v="73"/>
    <x v="3"/>
    <x v="0"/>
    <s v="Bengaluru"/>
    <x v="4"/>
    <s v="John"/>
    <n v="60"/>
    <n v="75"/>
    <x v="3"/>
    <n v="10000"/>
    <n v="7210"/>
    <n v="4000"/>
    <x v="0"/>
    <s v="No"/>
    <d v="2025-12-25T00:00:00"/>
    <d v="2026-02-23T00:00:00"/>
    <d v="1899-12-30T08:30:00"/>
    <d v="1899-12-30T10:01:00"/>
    <s v="C"/>
    <s v="08:30 AM"/>
    <s v="On Time"/>
    <s v="1 Hours 31 Minutes"/>
    <x v="1"/>
  </r>
  <r>
    <x v="676"/>
    <x v="196"/>
    <x v="7"/>
    <x v="1"/>
    <s v="Madurai"/>
    <x v="1"/>
    <s v="Nandhini"/>
    <n v="48"/>
    <n v="89"/>
    <x v="0"/>
    <n v="15000"/>
    <n v="13110"/>
    <n v="4000"/>
    <x v="0"/>
    <s v="No"/>
    <d v="2025-05-19T00:00:00"/>
    <d v="2025-11-15T00:00:00"/>
    <d v="1899-12-30T09:37:00"/>
    <d v="1899-12-30T14:09:00"/>
    <s v="D"/>
    <s v="09:37 AM"/>
    <s v="Delayed"/>
    <s v="4 Hours 32 Minutes"/>
    <x v="1"/>
  </r>
  <r>
    <x v="677"/>
    <x v="33"/>
    <x v="9"/>
    <x v="1"/>
    <s v="Vellore"/>
    <x v="6"/>
    <s v="Karthik"/>
    <n v="38"/>
    <n v="65"/>
    <x v="0"/>
    <n v="12000"/>
    <n v="9570"/>
    <n v="4000"/>
    <x v="0"/>
    <s v="No"/>
    <d v="2025-01-08T00:00:00"/>
    <d v="2025-05-08T00:00:00"/>
    <d v="1899-12-30T10:47:00"/>
    <d v="1899-12-30T15:26:00"/>
    <s v="D"/>
    <s v="10:47 AM"/>
    <s v="Delayed"/>
    <s v="4 Hours 39 Minutes"/>
    <x v="0"/>
  </r>
  <r>
    <x v="678"/>
    <x v="228"/>
    <x v="4"/>
    <x v="0"/>
    <s v="Salem"/>
    <x v="1"/>
    <s v="Nandhini"/>
    <n v="91"/>
    <n v="89"/>
    <x v="2"/>
    <n v="12000"/>
    <n v="9570"/>
    <n v="4000"/>
    <x v="0"/>
    <s v="No"/>
    <d v="2025-07-27T00:00:00"/>
    <d v="2025-09-25T00:00:00"/>
    <d v="1899-12-30T08:06:00"/>
    <d v="1899-12-30T11:15:00"/>
    <s v="A"/>
    <s v="08:06 AM"/>
    <s v="On Time"/>
    <s v="3 Hours 9 Minutes"/>
    <x v="1"/>
  </r>
  <r>
    <x v="679"/>
    <x v="33"/>
    <x v="7"/>
    <x v="0"/>
    <s v="Trichy"/>
    <x v="6"/>
    <s v="Karthik"/>
    <n v="49"/>
    <n v="82"/>
    <x v="0"/>
    <n v="20000"/>
    <n v="18420"/>
    <n v="4000"/>
    <x v="0"/>
    <s v="No"/>
    <d v="2025-08-16T00:00:00"/>
    <d v="2025-12-14T00:00:00"/>
    <d v="1899-12-30T08:35:00"/>
    <d v="1899-12-30T09:56:00"/>
    <s v="D"/>
    <s v="08:35 AM"/>
    <s v="Delayed"/>
    <s v="1 Hours 21 Minutes"/>
    <x v="1"/>
  </r>
  <r>
    <x v="680"/>
    <x v="18"/>
    <x v="0"/>
    <x v="0"/>
    <s v="Salem"/>
    <x v="3"/>
    <s v="Arun"/>
    <n v="60"/>
    <n v="68"/>
    <x v="3"/>
    <n v="18000"/>
    <n v="16060"/>
    <n v="4000"/>
    <x v="0"/>
    <s v="No"/>
    <d v="2025-07-28T00:00:00"/>
    <d v="2026-01-24T00:00:00"/>
    <d v="1899-12-30T09:32:00"/>
    <d v="1899-12-30T11:32:00"/>
    <s v="C"/>
    <s v="09:32 AM"/>
    <s v="Delayed"/>
    <s v="2 Hours 0 Minutes"/>
    <x v="1"/>
  </r>
  <r>
    <x v="681"/>
    <x v="78"/>
    <x v="7"/>
    <x v="0"/>
    <s v="Coimbatore"/>
    <x v="2"/>
    <s v="Priya"/>
    <n v="38"/>
    <n v="85"/>
    <x v="0"/>
    <n v="10000"/>
    <n v="8030"/>
    <n v="2000"/>
    <x v="0"/>
    <s v="No"/>
    <d v="2025-12-27T00:00:00"/>
    <d v="2026-03-27T00:00:00"/>
    <d v="1899-12-30T10:33:00"/>
    <d v="1899-12-30T15:01:00"/>
    <s v="D"/>
    <s v="10:33 AM"/>
    <s v="On Time"/>
    <s v="4 Hours 28 Minutes"/>
    <x v="0"/>
  </r>
  <r>
    <x v="682"/>
    <x v="87"/>
    <x v="8"/>
    <x v="1"/>
    <s v="Salem"/>
    <x v="7"/>
    <s v="Sneha"/>
    <n v="85"/>
    <n v="77"/>
    <x v="1"/>
    <n v="10000"/>
    <n v="9210"/>
    <n v="2000"/>
    <x v="0"/>
    <s v="No"/>
    <d v="2025-09-13T00:00:00"/>
    <d v="2025-11-12T00:00:00"/>
    <d v="1899-12-30T09:18:00"/>
    <d v="1899-12-30T13:34:00"/>
    <s v="B"/>
    <s v="09:18 AM"/>
    <s v="On Time"/>
    <s v="4 Hours 16 Minutes"/>
    <x v="1"/>
  </r>
  <r>
    <x v="683"/>
    <x v="229"/>
    <x v="0"/>
    <x v="1"/>
    <s v="Bengaluru"/>
    <x v="1"/>
    <s v="Nandhini"/>
    <n v="87"/>
    <n v="88"/>
    <x v="1"/>
    <n v="12000"/>
    <n v="8390"/>
    <n v="4000"/>
    <x v="0"/>
    <s v="No"/>
    <d v="2025-01-23T00:00:00"/>
    <d v="2025-05-23T00:00:00"/>
    <d v="1899-12-30T09:07:00"/>
    <d v="1899-12-30T12:06:00"/>
    <s v="B"/>
    <s v="09:07 AM"/>
    <s v="Delayed"/>
    <s v="2 Hours 59 Minutes"/>
    <x v="1"/>
  </r>
  <r>
    <x v="684"/>
    <x v="128"/>
    <x v="3"/>
    <x v="1"/>
    <s v="Kanchipuram"/>
    <x v="0"/>
    <s v="David"/>
    <n v="94"/>
    <n v="96"/>
    <x v="2"/>
    <n v="20000"/>
    <n v="19830"/>
    <n v="2000"/>
    <x v="0"/>
    <s v="No"/>
    <d v="2025-08-13T00:00:00"/>
    <d v="2025-11-11T00:00:00"/>
    <d v="1899-12-30T09:19:00"/>
    <d v="1899-12-30T12:55:00"/>
    <s v="A"/>
    <s v="09:19 AM"/>
    <s v="On Time"/>
    <s v="3 Hours 36 Minutes"/>
    <x v="1"/>
  </r>
  <r>
    <x v="685"/>
    <x v="224"/>
    <x v="1"/>
    <x v="0"/>
    <s v="Erode"/>
    <x v="6"/>
    <s v="Karthik"/>
    <n v="50"/>
    <n v="96"/>
    <x v="0"/>
    <n v="20000"/>
    <n v="21830"/>
    <n v="0"/>
    <x v="1"/>
    <s v="No"/>
    <d v="2025-10-02T00:00:00"/>
    <d v="2026-03-31T00:00:00"/>
    <d v="1899-12-30T09:18:00"/>
    <d v="1899-12-30T13:26:00"/>
    <s v="D"/>
    <s v="09:18 AM"/>
    <s v="Delayed"/>
    <s v="4 Hours 8 Minutes"/>
    <x v="1"/>
  </r>
  <r>
    <x v="686"/>
    <x v="78"/>
    <x v="5"/>
    <x v="1"/>
    <s v="Salem"/>
    <x v="5"/>
    <s v="Mani Prabhu"/>
    <n v="69"/>
    <n v="72"/>
    <x v="3"/>
    <n v="15000"/>
    <n v="13930"/>
    <n v="2000"/>
    <x v="0"/>
    <s v="No"/>
    <d v="2025-01-20T00:00:00"/>
    <d v="2025-04-20T00:00:00"/>
    <d v="1899-12-30T09:46:00"/>
    <d v="1899-12-30T12:46:00"/>
    <s v="C"/>
    <s v="09:46 AM"/>
    <s v="On Time"/>
    <s v="3 Hours 0 Minutes"/>
    <x v="1"/>
  </r>
  <r>
    <x v="687"/>
    <x v="168"/>
    <x v="8"/>
    <x v="1"/>
    <s v="Kanchipuram"/>
    <x v="6"/>
    <s v="Karthik"/>
    <n v="53"/>
    <n v="60"/>
    <x v="0"/>
    <n v="18000"/>
    <n v="15470"/>
    <n v="4000"/>
    <x v="0"/>
    <s v="No"/>
    <d v="2025-07-06T00:00:00"/>
    <d v="2025-09-04T00:00:00"/>
    <d v="1899-12-30T09:23:00"/>
    <d v="1899-12-30T12:03:00"/>
    <s v="D"/>
    <s v="09:23 AM"/>
    <s v="On Time"/>
    <s v="2 Hours 40 Minutes"/>
    <x v="1"/>
  </r>
  <r>
    <x v="688"/>
    <x v="172"/>
    <x v="3"/>
    <x v="1"/>
    <s v="Hyderabad"/>
    <x v="4"/>
    <s v="John"/>
    <n v="98"/>
    <n v="65"/>
    <x v="2"/>
    <n v="10000"/>
    <n v="11210"/>
    <n v="0"/>
    <x v="1"/>
    <s v="Yes"/>
    <d v="2025-02-11T00:00:00"/>
    <d v="2025-06-11T00:00:00"/>
    <d v="1899-12-30T10:02:00"/>
    <d v="1899-12-30T13:30:00"/>
    <s v="A"/>
    <s v="10:02 AM"/>
    <s v="Delayed"/>
    <s v="3 Hours 28 Minutes"/>
    <x v="0"/>
  </r>
  <r>
    <x v="689"/>
    <x v="57"/>
    <x v="3"/>
    <x v="1"/>
    <s v="Bengaluru"/>
    <x v="5"/>
    <s v="Mani Prabhu"/>
    <n v="68"/>
    <n v="66"/>
    <x v="3"/>
    <n v="10000"/>
    <n v="8620"/>
    <n v="2000"/>
    <x v="0"/>
    <s v="No"/>
    <d v="2025-11-23T00:00:00"/>
    <d v="2026-01-22T00:00:00"/>
    <d v="1899-12-30T10:36:00"/>
    <d v="1899-12-30T14:07:00"/>
    <s v="C"/>
    <s v="10:36 AM"/>
    <s v="On Time"/>
    <s v="3 Hours 31 Minutes"/>
    <x v="0"/>
  </r>
  <r>
    <x v="690"/>
    <x v="213"/>
    <x v="3"/>
    <x v="0"/>
    <s v="Coimbatore"/>
    <x v="4"/>
    <s v="John"/>
    <n v="92"/>
    <n v="87"/>
    <x v="2"/>
    <n v="12000"/>
    <n v="10390"/>
    <n v="2000"/>
    <x v="0"/>
    <s v="No"/>
    <d v="2025-02-13T00:00:00"/>
    <d v="2025-08-12T00:00:00"/>
    <d v="1899-12-30T09:11:00"/>
    <d v="1899-12-30T11:54:00"/>
    <s v="A"/>
    <s v="09:11 AM"/>
    <s v="Delayed"/>
    <s v="2 Hours 43 Minutes"/>
    <x v="1"/>
  </r>
  <r>
    <x v="691"/>
    <x v="80"/>
    <x v="8"/>
    <x v="1"/>
    <s v="Hyderabad"/>
    <x v="1"/>
    <s v="Nandhini"/>
    <n v="92"/>
    <n v="100"/>
    <x v="2"/>
    <n v="10000"/>
    <n v="9800"/>
    <n v="2000"/>
    <x v="0"/>
    <s v="No"/>
    <d v="2025-05-26T00:00:00"/>
    <d v="2025-07-25T00:00:00"/>
    <d v="1899-12-30T09:14:00"/>
    <d v="1899-12-30T13:07:00"/>
    <s v="A"/>
    <s v="09:14 AM"/>
    <s v="On Time"/>
    <s v="3 Hours 53 Minutes"/>
    <x v="1"/>
  </r>
  <r>
    <x v="692"/>
    <x v="35"/>
    <x v="5"/>
    <x v="1"/>
    <s v="Salem"/>
    <x v="1"/>
    <s v="Nandhini"/>
    <n v="37"/>
    <n v="72"/>
    <x v="0"/>
    <n v="10000"/>
    <n v="11800"/>
    <n v="0"/>
    <x v="1"/>
    <s v="No"/>
    <d v="2025-08-01T00:00:00"/>
    <d v="2025-11-29T00:00:00"/>
    <d v="1899-12-30T08:38:00"/>
    <d v="1899-12-30T12:26:00"/>
    <s v="D"/>
    <s v="08:38 AM"/>
    <s v="Delayed"/>
    <s v="3 Hours 48 Minutes"/>
    <x v="1"/>
  </r>
  <r>
    <x v="693"/>
    <x v="106"/>
    <x v="2"/>
    <x v="1"/>
    <s v="Tirunelveli"/>
    <x v="0"/>
    <s v="David"/>
    <n v="67"/>
    <n v="64"/>
    <x v="3"/>
    <n v="15000"/>
    <n v="14520"/>
    <n v="2000"/>
    <x v="0"/>
    <s v="No"/>
    <d v="2025-03-17T00:00:00"/>
    <d v="2025-05-16T00:00:00"/>
    <d v="1899-12-30T09:44:00"/>
    <d v="1899-12-30T12:35:00"/>
    <s v="C"/>
    <s v="09:44 AM"/>
    <s v="On Time"/>
    <s v="2 Hours 51 Minutes"/>
    <x v="1"/>
  </r>
  <r>
    <x v="694"/>
    <x v="73"/>
    <x v="3"/>
    <x v="1"/>
    <s v="Trichy"/>
    <x v="1"/>
    <s v="Nandhini"/>
    <n v="69"/>
    <n v="71"/>
    <x v="3"/>
    <n v="18000"/>
    <n v="15470"/>
    <n v="4000"/>
    <x v="0"/>
    <s v="No"/>
    <d v="2025-05-10T00:00:00"/>
    <d v="2025-06-09T00:00:00"/>
    <d v="1899-12-30T08:39:00"/>
    <d v="1899-12-30T10:01:00"/>
    <s v="C"/>
    <s v="08:39 AM"/>
    <s v="On Time"/>
    <s v="1 Hours 22 Minutes"/>
    <x v="1"/>
  </r>
  <r>
    <x v="695"/>
    <x v="44"/>
    <x v="5"/>
    <x v="0"/>
    <s v="Madurai"/>
    <x v="4"/>
    <s v="John"/>
    <n v="79"/>
    <n v="84"/>
    <x v="1"/>
    <n v="10000"/>
    <n v="6620"/>
    <n v="4000"/>
    <x v="0"/>
    <s v="No"/>
    <d v="2025-06-17T00:00:00"/>
    <d v="2025-10-15T00:00:00"/>
    <d v="1899-12-30T08:03:00"/>
    <d v="1899-12-30T11:52:00"/>
    <s v="B"/>
    <s v="08:03 AM"/>
    <s v="Delayed"/>
    <s v="3 Hours 49 Minutes"/>
    <x v="1"/>
  </r>
  <r>
    <x v="696"/>
    <x v="181"/>
    <x v="4"/>
    <x v="1"/>
    <s v="Trichy"/>
    <x v="5"/>
    <s v="Mani Prabhu"/>
    <n v="73"/>
    <n v="67"/>
    <x v="3"/>
    <n v="18000"/>
    <n v="16060"/>
    <n v="4000"/>
    <x v="0"/>
    <s v="No"/>
    <d v="2025-02-25T00:00:00"/>
    <d v="2025-06-25T00:00:00"/>
    <d v="1899-12-30T10:02:00"/>
    <d v="1899-12-30T14:01:00"/>
    <s v="C"/>
    <s v="10:02 AM"/>
    <s v="Delayed"/>
    <s v="3 Hours 59 Minutes"/>
    <x v="0"/>
  </r>
  <r>
    <x v="697"/>
    <x v="77"/>
    <x v="1"/>
    <x v="1"/>
    <s v="Madurai"/>
    <x v="2"/>
    <s v="Priya"/>
    <n v="72"/>
    <n v="89"/>
    <x v="3"/>
    <n v="15000"/>
    <n v="17700"/>
    <n v="0"/>
    <x v="1"/>
    <s v="No"/>
    <d v="2025-11-05T00:00:00"/>
    <d v="2026-02-03T00:00:00"/>
    <d v="1899-12-30T10:55:00"/>
    <d v="1899-12-30T15:05:00"/>
    <s v="C"/>
    <s v="10:55 AM"/>
    <s v="On Time"/>
    <s v="4 Hours 10 Minutes"/>
    <x v="0"/>
  </r>
  <r>
    <x v="698"/>
    <x v="43"/>
    <x v="3"/>
    <x v="1"/>
    <s v="Erode"/>
    <x v="1"/>
    <s v="Nandhini"/>
    <n v="53"/>
    <n v="62"/>
    <x v="0"/>
    <n v="10000"/>
    <n v="6620"/>
    <n v="4000"/>
    <x v="0"/>
    <s v="No"/>
    <d v="2025-06-26T00:00:00"/>
    <d v="2025-12-23T00:00:00"/>
    <d v="1899-12-30T09:37:00"/>
    <d v="1899-12-30T14:24:00"/>
    <s v="D"/>
    <s v="09:37 AM"/>
    <s v="Delayed"/>
    <s v="4 Hours 47 Minutes"/>
    <x v="1"/>
  </r>
  <r>
    <x v="699"/>
    <x v="230"/>
    <x v="9"/>
    <x v="1"/>
    <s v="Vellore"/>
    <x v="3"/>
    <s v="Arun"/>
    <n v="95"/>
    <n v="84"/>
    <x v="2"/>
    <n v="12000"/>
    <n v="8390"/>
    <n v="4000"/>
    <x v="0"/>
    <s v="No"/>
    <d v="2025-09-23T00:00:00"/>
    <d v="2025-11-22T00:00:00"/>
    <d v="1899-12-30T08:32:00"/>
    <d v="1899-12-30T13:11:00"/>
    <s v="A"/>
    <s v="08:32 AM"/>
    <s v="On Time"/>
    <s v="4 Hours 39 Minutes"/>
    <x v="1"/>
  </r>
  <r>
    <x v="700"/>
    <x v="155"/>
    <x v="4"/>
    <x v="0"/>
    <s v="Vellore"/>
    <x v="5"/>
    <s v="Mani Prabhu"/>
    <n v="75"/>
    <n v="68"/>
    <x v="1"/>
    <n v="15000"/>
    <n v="17700"/>
    <n v="0"/>
    <x v="1"/>
    <s v="No"/>
    <d v="2025-02-03T00:00:00"/>
    <d v="2025-08-02T00:00:00"/>
    <d v="1899-12-30T10:36:00"/>
    <d v="1899-12-30T12:07:00"/>
    <s v="B"/>
    <s v="10:36 AM"/>
    <s v="Delayed"/>
    <s v="1 Hours 31 Minutes"/>
    <x v="0"/>
  </r>
  <r>
    <x v="701"/>
    <x v="200"/>
    <x v="8"/>
    <x v="1"/>
    <s v="Bengaluru"/>
    <x v="1"/>
    <s v="Nandhini"/>
    <n v="50"/>
    <n v="74"/>
    <x v="0"/>
    <n v="12000"/>
    <n v="8390"/>
    <n v="4000"/>
    <x v="0"/>
    <s v="No"/>
    <d v="2025-09-11T00:00:00"/>
    <d v="2025-10-11T00:00:00"/>
    <d v="1899-12-30T08:48:00"/>
    <d v="1899-12-30T11:39:00"/>
    <s v="D"/>
    <s v="08:48 AM"/>
    <s v="On Time"/>
    <s v="2 Hours 51 Minutes"/>
    <x v="1"/>
  </r>
  <r>
    <x v="702"/>
    <x v="107"/>
    <x v="4"/>
    <x v="1"/>
    <s v="Madurai"/>
    <x v="5"/>
    <s v="Mani Prabhu"/>
    <n v="54"/>
    <n v="78"/>
    <x v="0"/>
    <n v="20000"/>
    <n v="23600"/>
    <n v="0"/>
    <x v="1"/>
    <s v="No"/>
    <d v="2025-05-03T00:00:00"/>
    <d v="2025-06-02T00:00:00"/>
    <d v="1899-12-30T08:51:00"/>
    <d v="1899-12-30T10:24:00"/>
    <s v="D"/>
    <s v="08:51 AM"/>
    <s v="On Time"/>
    <s v="1 Hours 33 Minutes"/>
    <x v="1"/>
  </r>
  <r>
    <x v="703"/>
    <x v="112"/>
    <x v="7"/>
    <x v="1"/>
    <s v="Hyderabad"/>
    <x v="5"/>
    <s v="Mani Prabhu"/>
    <n v="60"/>
    <n v="95"/>
    <x v="3"/>
    <n v="15000"/>
    <n v="17700"/>
    <n v="0"/>
    <x v="1"/>
    <s v="No"/>
    <d v="2025-06-20T00:00:00"/>
    <d v="2025-07-20T00:00:00"/>
    <d v="1899-12-30T09:48:00"/>
    <d v="1899-12-30T13:15:00"/>
    <s v="C"/>
    <s v="09:48 AM"/>
    <s v="On Time"/>
    <s v="3 Hours 27 Minutes"/>
    <x v="1"/>
  </r>
  <r>
    <x v="704"/>
    <x v="169"/>
    <x v="1"/>
    <x v="0"/>
    <s v="Trichy"/>
    <x v="1"/>
    <s v="Nandhini"/>
    <n v="86"/>
    <n v="90"/>
    <x v="1"/>
    <n v="10000"/>
    <n v="8620"/>
    <n v="2000"/>
    <x v="0"/>
    <s v="No"/>
    <d v="2025-10-09T00:00:00"/>
    <d v="2026-04-07T00:00:00"/>
    <d v="1899-12-30T08:43:00"/>
    <d v="1899-12-30T13:40:00"/>
    <s v="B"/>
    <s v="08:43 AM"/>
    <s v="Delayed"/>
    <s v="4 Hours 57 Minutes"/>
    <x v="1"/>
  </r>
  <r>
    <x v="705"/>
    <x v="187"/>
    <x v="0"/>
    <x v="0"/>
    <s v="Madurai"/>
    <x v="1"/>
    <s v="Nandhini"/>
    <n v="93"/>
    <n v="70"/>
    <x v="2"/>
    <n v="10000"/>
    <n v="11800"/>
    <n v="0"/>
    <x v="1"/>
    <s v="No"/>
    <d v="2025-02-14T00:00:00"/>
    <d v="2025-03-16T00:00:00"/>
    <d v="1899-12-30T09:42:00"/>
    <d v="1899-12-30T14:28:00"/>
    <s v="A"/>
    <s v="09:42 AM"/>
    <s v="On Time"/>
    <s v="4 Hours 46 Minutes"/>
    <x v="1"/>
  </r>
  <r>
    <x v="706"/>
    <x v="102"/>
    <x v="10"/>
    <x v="1"/>
    <s v="Tirunelveli"/>
    <x v="4"/>
    <s v="John"/>
    <n v="81"/>
    <n v="98"/>
    <x v="1"/>
    <n v="12000"/>
    <n v="12160"/>
    <n v="2000"/>
    <x v="0"/>
    <s v="No"/>
    <d v="2025-05-18T00:00:00"/>
    <d v="2025-06-17T00:00:00"/>
    <d v="1899-12-30T09:36:00"/>
    <d v="1899-12-30T13:35:00"/>
    <s v="B"/>
    <s v="09:36 AM"/>
    <s v="On Time"/>
    <s v="3 Hours 59 Minutes"/>
    <x v="1"/>
  </r>
  <r>
    <x v="707"/>
    <x v="164"/>
    <x v="3"/>
    <x v="1"/>
    <s v="Salem"/>
    <x v="7"/>
    <s v="Sneha"/>
    <n v="61"/>
    <n v="97"/>
    <x v="3"/>
    <n v="18000"/>
    <n v="17240"/>
    <n v="4000"/>
    <x v="0"/>
    <s v="No"/>
    <d v="2025-02-01T00:00:00"/>
    <d v="2025-03-03T00:00:00"/>
    <d v="1899-12-30T09:40:00"/>
    <d v="1899-12-30T13:45:00"/>
    <s v="C"/>
    <s v="09:40 AM"/>
    <s v="On Time"/>
    <s v="4 Hours 5 Minutes"/>
    <x v="1"/>
  </r>
  <r>
    <x v="708"/>
    <x v="168"/>
    <x v="1"/>
    <x v="1"/>
    <s v="Coimbatore"/>
    <x v="0"/>
    <s v="David"/>
    <n v="66"/>
    <n v="71"/>
    <x v="3"/>
    <n v="18000"/>
    <n v="20650"/>
    <n v="0"/>
    <x v="1"/>
    <s v="No"/>
    <d v="2025-11-12T00:00:00"/>
    <d v="2026-03-12T00:00:00"/>
    <d v="1899-12-30T09:45:00"/>
    <d v="1899-12-30T12:18:00"/>
    <s v="C"/>
    <s v="09:45 AM"/>
    <s v="Delayed"/>
    <s v="2 Hours 33 Minutes"/>
    <x v="1"/>
  </r>
  <r>
    <x v="709"/>
    <x v="48"/>
    <x v="2"/>
    <x v="1"/>
    <s v="Trichy"/>
    <x v="3"/>
    <s v="Arun"/>
    <n v="49"/>
    <n v="67"/>
    <x v="0"/>
    <n v="15000"/>
    <n v="15700"/>
    <n v="2000"/>
    <x v="0"/>
    <s v="No"/>
    <d v="2025-02-20T00:00:00"/>
    <d v="2025-06-20T00:00:00"/>
    <d v="1899-12-30T10:04:00"/>
    <d v="1899-12-30T13:40:00"/>
    <s v="D"/>
    <s v="10:04 AM"/>
    <s v="Delayed"/>
    <s v="3 Hours 36 Minutes"/>
    <x v="0"/>
  </r>
  <r>
    <x v="710"/>
    <x v="43"/>
    <x v="5"/>
    <x v="1"/>
    <s v="Salem"/>
    <x v="0"/>
    <s v="David"/>
    <n v="100"/>
    <n v="70"/>
    <x v="2"/>
    <n v="15000"/>
    <n v="13110"/>
    <n v="4000"/>
    <x v="0"/>
    <s v="No"/>
    <d v="2025-06-16T00:00:00"/>
    <d v="2025-09-14T00:00:00"/>
    <d v="1899-12-30T09:54:00"/>
    <d v="1899-12-30T11:54:00"/>
    <s v="A"/>
    <s v="09:54 AM"/>
    <s v="On Time"/>
    <s v="2 Hours 0 Minutes"/>
    <x v="1"/>
  </r>
  <r>
    <x v="711"/>
    <x v="193"/>
    <x v="3"/>
    <x v="1"/>
    <s v="Thoothukudi"/>
    <x v="5"/>
    <s v="Mani Prabhu"/>
    <n v="35"/>
    <n v="70"/>
    <x v="0"/>
    <n v="10000"/>
    <n v="10620"/>
    <n v="0"/>
    <x v="1"/>
    <s v="No"/>
    <d v="2025-12-23T00:00:00"/>
    <d v="2026-02-21T00:00:00"/>
    <d v="1899-12-30T08:42:00"/>
    <d v="1899-12-30T12:50:00"/>
    <s v="D"/>
    <s v="08:42 AM"/>
    <s v="On Time"/>
    <s v="4 Hours 8 Minutes"/>
    <x v="1"/>
  </r>
  <r>
    <x v="712"/>
    <x v="187"/>
    <x v="0"/>
    <x v="1"/>
    <s v="Bengaluru"/>
    <x v="1"/>
    <s v="Nandhini"/>
    <n v="97"/>
    <n v="71"/>
    <x v="2"/>
    <n v="15000"/>
    <n v="14520"/>
    <n v="2000"/>
    <x v="0"/>
    <s v="No"/>
    <d v="2025-10-09T00:00:00"/>
    <d v="2026-02-06T00:00:00"/>
    <d v="1899-12-30T09:47:00"/>
    <d v="1899-12-30T11:29:00"/>
    <s v="A"/>
    <s v="09:47 AM"/>
    <s v="Delayed"/>
    <s v="1 Hours 42 Minutes"/>
    <x v="1"/>
  </r>
  <r>
    <x v="713"/>
    <x v="4"/>
    <x v="7"/>
    <x v="1"/>
    <s v="Hyderabad"/>
    <x v="4"/>
    <s v="John"/>
    <n v="87"/>
    <n v="99"/>
    <x v="1"/>
    <n v="15000"/>
    <n v="12520"/>
    <n v="4000"/>
    <x v="0"/>
    <s v="No"/>
    <d v="2025-03-01T00:00:00"/>
    <d v="2025-03-31T00:00:00"/>
    <d v="1899-12-30T10:32:00"/>
    <d v="1899-12-30T13:13:00"/>
    <s v="B"/>
    <s v="10:32 AM"/>
    <s v="On Time"/>
    <s v="2 Hours 41 Minutes"/>
    <x v="0"/>
  </r>
  <r>
    <x v="714"/>
    <x v="63"/>
    <x v="1"/>
    <x v="1"/>
    <s v="Trichy"/>
    <x v="5"/>
    <s v="Mani Prabhu"/>
    <n v="66"/>
    <n v="74"/>
    <x v="3"/>
    <n v="15000"/>
    <n v="11930"/>
    <n v="4000"/>
    <x v="0"/>
    <s v="No"/>
    <d v="2025-07-30T00:00:00"/>
    <d v="2026-01-26T00:00:00"/>
    <d v="1899-12-30T10:36:00"/>
    <d v="1899-12-30T12:30:00"/>
    <s v="C"/>
    <s v="10:36 AM"/>
    <s v="Delayed"/>
    <s v="1 Hours 54 Minutes"/>
    <x v="0"/>
  </r>
  <r>
    <x v="715"/>
    <x v="159"/>
    <x v="7"/>
    <x v="0"/>
    <s v="Tirunelveli"/>
    <x v="5"/>
    <s v="Mani Prabhu"/>
    <n v="67"/>
    <n v="68"/>
    <x v="3"/>
    <n v="15000"/>
    <n v="13930"/>
    <n v="2000"/>
    <x v="0"/>
    <s v="No"/>
    <d v="2025-01-20T00:00:00"/>
    <d v="2025-02-19T00:00:00"/>
    <d v="1899-12-30T10:05:00"/>
    <d v="1899-12-30T14:43:00"/>
    <s v="C"/>
    <s v="10:05 AM"/>
    <s v="On Time"/>
    <s v="4 Hours 38 Minutes"/>
    <x v="0"/>
  </r>
  <r>
    <x v="716"/>
    <x v="28"/>
    <x v="7"/>
    <x v="0"/>
    <s v="Trichy"/>
    <x v="7"/>
    <s v="Sneha"/>
    <n v="100"/>
    <n v="66"/>
    <x v="2"/>
    <n v="18000"/>
    <n v="20650"/>
    <n v="0"/>
    <x v="1"/>
    <s v="No"/>
    <d v="2025-02-03T00:00:00"/>
    <d v="2025-05-04T00:00:00"/>
    <d v="1899-12-30T08:29:00"/>
    <d v="1899-12-30T10:18:00"/>
    <s v="A"/>
    <s v="08:29 AM"/>
    <s v="On Time"/>
    <s v="1 Hours 49 Minutes"/>
    <x v="1"/>
  </r>
  <r>
    <x v="717"/>
    <x v="144"/>
    <x v="4"/>
    <x v="1"/>
    <s v="Thoothukudi"/>
    <x v="1"/>
    <s v="Nandhini"/>
    <n v="53"/>
    <n v="66"/>
    <x v="0"/>
    <n v="18000"/>
    <n v="20650"/>
    <n v="0"/>
    <x v="1"/>
    <s v="Yes"/>
    <d v="2025-05-26T00:00:00"/>
    <d v="2025-11-22T00:00:00"/>
    <d v="1899-12-30T10:35:00"/>
    <d v="1899-12-30T13:50:00"/>
    <s v="D"/>
    <s v="10:35 AM"/>
    <s v="Delayed"/>
    <s v="3 Hours 15 Minutes"/>
    <x v="0"/>
  </r>
  <r>
    <x v="718"/>
    <x v="134"/>
    <x v="2"/>
    <x v="1"/>
    <s v="Salem"/>
    <x v="5"/>
    <s v="Mani Prabhu"/>
    <n v="82"/>
    <n v="76"/>
    <x v="1"/>
    <n v="18000"/>
    <n v="20060"/>
    <n v="0"/>
    <x v="1"/>
    <s v="No"/>
    <d v="2025-07-22T00:00:00"/>
    <d v="2025-09-20T00:00:00"/>
    <d v="1899-12-30T09:25:00"/>
    <d v="1899-12-30T12:39:00"/>
    <s v="B"/>
    <s v="09:25 AM"/>
    <s v="On Time"/>
    <s v="3 Hours 14 Minutes"/>
    <x v="1"/>
  </r>
  <r>
    <x v="719"/>
    <x v="54"/>
    <x v="9"/>
    <x v="0"/>
    <s v="Madurai"/>
    <x v="7"/>
    <s v="Sneha"/>
    <n v="89"/>
    <n v="75"/>
    <x v="1"/>
    <n v="10000"/>
    <n v="10620"/>
    <n v="0"/>
    <x v="1"/>
    <s v="No"/>
    <d v="2025-07-27T00:00:00"/>
    <d v="2025-11-24T00:00:00"/>
    <d v="1899-12-30T08:35:00"/>
    <d v="1899-12-30T13:15:00"/>
    <s v="B"/>
    <s v="08:35 AM"/>
    <s v="Delayed"/>
    <s v="4 Hours 40 Minutes"/>
    <x v="1"/>
  </r>
  <r>
    <x v="720"/>
    <x v="111"/>
    <x v="1"/>
    <x v="0"/>
    <s v="Thoothukudi"/>
    <x v="7"/>
    <s v="Sneha"/>
    <n v="75"/>
    <n v="99"/>
    <x v="1"/>
    <n v="10000"/>
    <n v="9210"/>
    <n v="2000"/>
    <x v="0"/>
    <s v="No"/>
    <d v="2025-04-07T00:00:00"/>
    <d v="2025-07-06T00:00:00"/>
    <d v="1899-12-30T08:53:00"/>
    <d v="1899-12-30T09:53:00"/>
    <s v="B"/>
    <s v="08:53 AM"/>
    <s v="On Time"/>
    <s v="1 Hours 0 Minutes"/>
    <x v="1"/>
  </r>
  <r>
    <x v="721"/>
    <x v="46"/>
    <x v="1"/>
    <x v="1"/>
    <s v="Tirunelveli"/>
    <x v="0"/>
    <s v="David"/>
    <n v="90"/>
    <n v="67"/>
    <x v="2"/>
    <n v="15000"/>
    <n v="16520"/>
    <n v="0"/>
    <x v="1"/>
    <s v="No"/>
    <d v="2025-01-05T00:00:00"/>
    <d v="2025-02-04T00:00:00"/>
    <d v="1899-12-30T10:44:00"/>
    <d v="1899-12-30T13:00:00"/>
    <s v="A"/>
    <s v="10:44 AM"/>
    <s v="On Time"/>
    <s v="2 Hours 16 Minutes"/>
    <x v="0"/>
  </r>
  <r>
    <x v="722"/>
    <x v="213"/>
    <x v="8"/>
    <x v="1"/>
    <s v="Coimbatore"/>
    <x v="5"/>
    <s v="Mani Prabhu"/>
    <n v="98"/>
    <n v="70"/>
    <x v="2"/>
    <n v="15000"/>
    <n v="12520"/>
    <n v="4000"/>
    <x v="0"/>
    <s v="No"/>
    <d v="2025-01-21T00:00:00"/>
    <d v="2025-05-21T00:00:00"/>
    <d v="1899-12-30T09:54:00"/>
    <d v="1899-12-30T12:04:00"/>
    <s v="A"/>
    <s v="09:54 AM"/>
    <s v="Delayed"/>
    <s v="2 Hours 10 Minutes"/>
    <x v="1"/>
  </r>
  <r>
    <x v="723"/>
    <x v="32"/>
    <x v="0"/>
    <x v="0"/>
    <s v="Kanchipuram"/>
    <x v="1"/>
    <s v="Nandhini"/>
    <n v="61"/>
    <n v="76"/>
    <x v="3"/>
    <n v="15000"/>
    <n v="14520"/>
    <n v="2000"/>
    <x v="0"/>
    <s v="No"/>
    <d v="2025-03-06T00:00:00"/>
    <d v="2025-07-04T00:00:00"/>
    <d v="1899-12-30T08:11:00"/>
    <d v="1899-12-30T10:04:00"/>
    <s v="C"/>
    <s v="08:11 AM"/>
    <s v="Delayed"/>
    <s v="1 Hours 53 Minutes"/>
    <x v="1"/>
  </r>
  <r>
    <x v="724"/>
    <x v="137"/>
    <x v="2"/>
    <x v="1"/>
    <s v="Erode"/>
    <x v="1"/>
    <s v="Nandhini"/>
    <n v="88"/>
    <n v="94"/>
    <x v="1"/>
    <n v="20000"/>
    <n v="18420"/>
    <n v="4000"/>
    <x v="0"/>
    <s v="No"/>
    <d v="2025-07-06T00:00:00"/>
    <d v="2025-11-03T00:00:00"/>
    <d v="1899-12-30T09:06:00"/>
    <d v="1899-12-30T11:34:00"/>
    <s v="B"/>
    <s v="09:06 AM"/>
    <s v="Delayed"/>
    <s v="2 Hours 28 Minutes"/>
    <x v="1"/>
  </r>
  <r>
    <x v="725"/>
    <x v="30"/>
    <x v="3"/>
    <x v="1"/>
    <s v="Bengaluru"/>
    <x v="0"/>
    <s v="David"/>
    <n v="71"/>
    <n v="78"/>
    <x v="3"/>
    <n v="18000"/>
    <n v="21240"/>
    <n v="0"/>
    <x v="1"/>
    <s v="No"/>
    <d v="2025-06-17T00:00:00"/>
    <d v="2025-12-14T00:00:00"/>
    <d v="1899-12-30T09:54:00"/>
    <d v="1899-12-30T12:55:00"/>
    <s v="C"/>
    <s v="09:54 AM"/>
    <s v="Delayed"/>
    <s v="3 Hours 1 Minutes"/>
    <x v="1"/>
  </r>
  <r>
    <x v="726"/>
    <x v="144"/>
    <x v="5"/>
    <x v="0"/>
    <s v="Coimbatore"/>
    <x v="0"/>
    <s v="David"/>
    <n v="55"/>
    <n v="87"/>
    <x v="0"/>
    <n v="15000"/>
    <n v="17700"/>
    <n v="0"/>
    <x v="1"/>
    <s v="No"/>
    <d v="2025-01-14T00:00:00"/>
    <d v="2025-07-13T00:00:00"/>
    <d v="1899-12-30T08:27:00"/>
    <d v="1899-12-30T09:42:00"/>
    <s v="D"/>
    <s v="08:27 AM"/>
    <s v="Delayed"/>
    <s v="1 Hours 15 Minutes"/>
    <x v="1"/>
  </r>
  <r>
    <x v="727"/>
    <x v="37"/>
    <x v="8"/>
    <x v="0"/>
    <s v="Trichy"/>
    <x v="0"/>
    <s v="David"/>
    <n v="59"/>
    <n v="89"/>
    <x v="0"/>
    <n v="20000"/>
    <n v="21600"/>
    <n v="2000"/>
    <x v="0"/>
    <s v="No"/>
    <d v="2025-10-26T00:00:00"/>
    <d v="2026-01-24T00:00:00"/>
    <d v="1899-12-30T08:27:00"/>
    <d v="1899-12-30T09:30:00"/>
    <s v="D"/>
    <s v="08:27 AM"/>
    <s v="On Time"/>
    <s v="1 Hours 3 Minutes"/>
    <x v="1"/>
  </r>
  <r>
    <x v="728"/>
    <x v="78"/>
    <x v="7"/>
    <x v="1"/>
    <s v="Trichy"/>
    <x v="0"/>
    <s v="David"/>
    <n v="55"/>
    <n v="70"/>
    <x v="0"/>
    <n v="20000"/>
    <n v="21010"/>
    <n v="2000"/>
    <x v="0"/>
    <s v="No"/>
    <d v="2025-04-26T00:00:00"/>
    <d v="2025-06-25T00:00:00"/>
    <d v="1899-12-30T09:12:00"/>
    <d v="1899-12-30T12:47:00"/>
    <s v="D"/>
    <s v="09:12 AM"/>
    <s v="On Time"/>
    <s v="3 Hours 35 Minutes"/>
    <x v="1"/>
  </r>
  <r>
    <x v="729"/>
    <x v="71"/>
    <x v="5"/>
    <x v="1"/>
    <s v="Hyderabad"/>
    <x v="1"/>
    <s v="Nandhini"/>
    <n v="84"/>
    <n v="82"/>
    <x v="1"/>
    <n v="12000"/>
    <n v="10390"/>
    <n v="2000"/>
    <x v="0"/>
    <s v="No"/>
    <d v="2025-11-09T00:00:00"/>
    <d v="2026-05-08T00:00:00"/>
    <d v="1899-12-30T10:19:00"/>
    <d v="1899-12-30T14:00:00"/>
    <s v="B"/>
    <s v="10:19 AM"/>
    <s v="Delayed"/>
    <s v="3 Hours 41 Minutes"/>
    <x v="0"/>
  </r>
  <r>
    <x v="730"/>
    <x v="209"/>
    <x v="9"/>
    <x v="0"/>
    <s v="Bengaluru"/>
    <x v="2"/>
    <s v="Priya"/>
    <n v="99"/>
    <n v="93"/>
    <x v="2"/>
    <n v="18000"/>
    <n v="20650"/>
    <n v="0"/>
    <x v="1"/>
    <s v="No"/>
    <d v="2025-02-16T00:00:00"/>
    <d v="2025-05-17T00:00:00"/>
    <d v="1899-12-30T09:17:00"/>
    <d v="1899-12-30T13:33:00"/>
    <s v="A"/>
    <s v="09:17 AM"/>
    <s v="On Time"/>
    <s v="4 Hours 16 Minutes"/>
    <x v="1"/>
  </r>
  <r>
    <x v="731"/>
    <x v="184"/>
    <x v="8"/>
    <x v="1"/>
    <s v="Tirunelveli"/>
    <x v="2"/>
    <s v="Priya"/>
    <n v="98"/>
    <n v="81"/>
    <x v="2"/>
    <n v="12000"/>
    <n v="9570"/>
    <n v="4000"/>
    <x v="0"/>
    <s v="No"/>
    <d v="2025-07-10T00:00:00"/>
    <d v="2025-09-08T00:00:00"/>
    <d v="1899-12-30T08:40:00"/>
    <d v="1899-12-30T10:21:00"/>
    <s v="A"/>
    <s v="08:40 AM"/>
    <s v="On Time"/>
    <s v="1 Hours 41 Minutes"/>
    <x v="1"/>
  </r>
  <r>
    <x v="732"/>
    <x v="9"/>
    <x v="2"/>
    <x v="1"/>
    <s v="Chennai"/>
    <x v="7"/>
    <s v="Sneha"/>
    <n v="43"/>
    <n v="63"/>
    <x v="0"/>
    <n v="12000"/>
    <n v="9570"/>
    <n v="4000"/>
    <x v="0"/>
    <s v="No"/>
    <d v="2025-01-01T00:00:00"/>
    <d v="2025-01-31T00:00:00"/>
    <d v="1899-12-30T09:42:00"/>
    <d v="1899-12-30T14:29:00"/>
    <s v="D"/>
    <s v="09:42 AM"/>
    <s v="On Time"/>
    <s v="4 Hours 47 Minutes"/>
    <x v="1"/>
  </r>
  <r>
    <x v="733"/>
    <x v="81"/>
    <x v="2"/>
    <x v="0"/>
    <s v="Trichy"/>
    <x v="2"/>
    <s v="Priya"/>
    <n v="40"/>
    <n v="66"/>
    <x v="0"/>
    <n v="20000"/>
    <n v="19830"/>
    <n v="2000"/>
    <x v="0"/>
    <s v="No"/>
    <d v="2025-06-14T00:00:00"/>
    <d v="2025-09-12T00:00:00"/>
    <d v="1899-12-30T08:09:00"/>
    <d v="1899-12-30T09:43:00"/>
    <s v="D"/>
    <s v="08:09 AM"/>
    <s v="On Time"/>
    <s v="1 Hours 34 Minutes"/>
    <x v="1"/>
  </r>
  <r>
    <x v="734"/>
    <x v="44"/>
    <x v="9"/>
    <x v="1"/>
    <s v="Madurai"/>
    <x v="6"/>
    <s v="Karthik"/>
    <n v="83"/>
    <n v="82"/>
    <x v="1"/>
    <n v="18000"/>
    <n v="15470"/>
    <n v="4000"/>
    <x v="0"/>
    <s v="No"/>
    <d v="2025-02-23T00:00:00"/>
    <d v="2025-04-24T00:00:00"/>
    <d v="1899-12-30T09:58:00"/>
    <d v="1899-12-30T14:28:00"/>
    <s v="B"/>
    <s v="09:58 AM"/>
    <s v="On Time"/>
    <s v="4 Hours 30 Minutes"/>
    <x v="1"/>
  </r>
  <r>
    <x v="735"/>
    <x v="134"/>
    <x v="4"/>
    <x v="0"/>
    <s v="Trichy"/>
    <x v="7"/>
    <s v="Sneha"/>
    <n v="91"/>
    <n v="76"/>
    <x v="2"/>
    <n v="12000"/>
    <n v="8390"/>
    <n v="4000"/>
    <x v="0"/>
    <s v="No"/>
    <d v="2025-09-23T00:00:00"/>
    <d v="2025-12-22T00:00:00"/>
    <d v="1899-12-30T08:37:00"/>
    <d v="1899-12-30T10:55:00"/>
    <s v="A"/>
    <s v="08:37 AM"/>
    <s v="On Time"/>
    <s v="2 Hours 18 Minutes"/>
    <x v="1"/>
  </r>
  <r>
    <x v="736"/>
    <x v="215"/>
    <x v="1"/>
    <x v="1"/>
    <s v="Bengaluru"/>
    <x v="1"/>
    <s v="Nandhini"/>
    <n v="66"/>
    <n v="79"/>
    <x v="3"/>
    <n v="12000"/>
    <n v="13570"/>
    <n v="0"/>
    <x v="1"/>
    <s v="No"/>
    <d v="2025-08-09T00:00:00"/>
    <d v="2025-09-08T00:00:00"/>
    <d v="1899-12-30T10:46:00"/>
    <d v="1899-12-30T13:14:00"/>
    <s v="C"/>
    <s v="10:46 AM"/>
    <s v="On Time"/>
    <s v="2 Hours 28 Minutes"/>
    <x v="0"/>
  </r>
  <r>
    <x v="737"/>
    <x v="97"/>
    <x v="6"/>
    <x v="0"/>
    <s v="Madurai"/>
    <x v="5"/>
    <s v="Mani Prabhu"/>
    <n v="97"/>
    <n v="67"/>
    <x v="2"/>
    <n v="15000"/>
    <n v="14520"/>
    <n v="2000"/>
    <x v="0"/>
    <s v="No"/>
    <d v="2025-11-13T00:00:00"/>
    <d v="2026-01-12T00:00:00"/>
    <d v="1899-12-30T09:44:00"/>
    <d v="1899-12-30T13:08:00"/>
    <s v="A"/>
    <s v="09:44 AM"/>
    <s v="On Time"/>
    <s v="3 Hours 24 Minutes"/>
    <x v="1"/>
  </r>
  <r>
    <x v="738"/>
    <x v="76"/>
    <x v="7"/>
    <x v="0"/>
    <s v="Bengaluru"/>
    <x v="2"/>
    <s v="Priya"/>
    <n v="71"/>
    <n v="68"/>
    <x v="3"/>
    <n v="20000"/>
    <n v="19830"/>
    <n v="2000"/>
    <x v="0"/>
    <s v="No"/>
    <d v="2025-08-01T00:00:00"/>
    <d v="2025-09-30T00:00:00"/>
    <d v="1899-12-30T09:05:00"/>
    <d v="1899-12-30T11:55:00"/>
    <s v="C"/>
    <s v="09:05 AM"/>
    <s v="On Time"/>
    <s v="2 Hours 50 Minutes"/>
    <x v="1"/>
  </r>
  <r>
    <x v="739"/>
    <x v="5"/>
    <x v="6"/>
    <x v="1"/>
    <s v="Trichy"/>
    <x v="5"/>
    <s v="Mani Prabhu"/>
    <n v="35"/>
    <n v="100"/>
    <x v="0"/>
    <n v="15000"/>
    <n v="14520"/>
    <n v="2000"/>
    <x v="0"/>
    <s v="No"/>
    <d v="2025-08-31T00:00:00"/>
    <d v="2025-11-29T00:00:00"/>
    <d v="1899-12-30T10:59:00"/>
    <d v="1899-12-30T13:07:00"/>
    <s v="D"/>
    <s v="10:59 AM"/>
    <s v="On Time"/>
    <s v="2 Hours 8 Minutes"/>
    <x v="0"/>
  </r>
  <r>
    <x v="740"/>
    <x v="136"/>
    <x v="4"/>
    <x v="0"/>
    <s v="Coimbatore"/>
    <x v="6"/>
    <s v="Karthik"/>
    <n v="72"/>
    <n v="61"/>
    <x v="3"/>
    <n v="18000"/>
    <n v="20650"/>
    <n v="0"/>
    <x v="1"/>
    <s v="No"/>
    <d v="2025-06-03T00:00:00"/>
    <d v="2025-09-01T00:00:00"/>
    <d v="1899-12-30T08:09:00"/>
    <d v="1899-12-30T12:51:00"/>
    <s v="C"/>
    <s v="08:09 AM"/>
    <s v="On Time"/>
    <s v="4 Hours 42 Minutes"/>
    <x v="1"/>
  </r>
  <r>
    <x v="741"/>
    <x v="155"/>
    <x v="7"/>
    <x v="1"/>
    <s v="Tirunelveli"/>
    <x v="1"/>
    <s v="Nandhini"/>
    <n v="100"/>
    <n v="91"/>
    <x v="2"/>
    <n v="15000"/>
    <n v="17110"/>
    <n v="0"/>
    <x v="1"/>
    <s v="No"/>
    <d v="2025-08-20T00:00:00"/>
    <d v="2025-10-19T00:00:00"/>
    <d v="1899-12-30T08:50:00"/>
    <d v="1899-12-30T11:10:00"/>
    <s v="A"/>
    <s v="08:50 AM"/>
    <s v="On Time"/>
    <s v="2 Hours 20 Minutes"/>
    <x v="1"/>
  </r>
  <r>
    <x v="742"/>
    <x v="204"/>
    <x v="6"/>
    <x v="0"/>
    <s v="Vellore"/>
    <x v="1"/>
    <s v="Nandhini"/>
    <n v="54"/>
    <n v="64"/>
    <x v="0"/>
    <n v="15000"/>
    <n v="15700"/>
    <n v="2000"/>
    <x v="0"/>
    <s v="No"/>
    <d v="2025-06-11T00:00:00"/>
    <d v="2025-08-10T00:00:00"/>
    <d v="1899-12-30T08:55:00"/>
    <d v="1899-12-30T13:39:00"/>
    <s v="D"/>
    <s v="08:55 AM"/>
    <s v="On Time"/>
    <s v="4 Hours 44 Minutes"/>
    <x v="1"/>
  </r>
  <r>
    <x v="743"/>
    <x v="87"/>
    <x v="0"/>
    <x v="1"/>
    <s v="Tirunelveli"/>
    <x v="2"/>
    <s v="Priya"/>
    <n v="79"/>
    <n v="63"/>
    <x v="1"/>
    <n v="15000"/>
    <n v="13700"/>
    <n v="4000"/>
    <x v="0"/>
    <s v="No"/>
    <d v="2025-01-16T00:00:00"/>
    <d v="2025-02-15T00:00:00"/>
    <d v="1899-12-30T10:59:00"/>
    <d v="1899-12-30T12:08:00"/>
    <s v="B"/>
    <s v="10:59 AM"/>
    <s v="On Time"/>
    <s v="1 Hours 9 Minutes"/>
    <x v="0"/>
  </r>
  <r>
    <x v="744"/>
    <x v="90"/>
    <x v="3"/>
    <x v="0"/>
    <s v="Tirunelveli"/>
    <x v="5"/>
    <s v="Mani Prabhu"/>
    <n v="44"/>
    <n v="78"/>
    <x v="0"/>
    <n v="15000"/>
    <n v="11930"/>
    <n v="4000"/>
    <x v="0"/>
    <s v="No"/>
    <d v="2025-12-14T00:00:00"/>
    <d v="2026-06-12T00:00:00"/>
    <d v="1899-12-30T08:14:00"/>
    <d v="1899-12-30T12:46:00"/>
    <s v="D"/>
    <s v="08:14 AM"/>
    <s v="Delayed"/>
    <s v="4 Hours 32 Minutes"/>
    <x v="1"/>
  </r>
  <r>
    <x v="745"/>
    <x v="181"/>
    <x v="4"/>
    <x v="0"/>
    <s v="Kanchipuram"/>
    <x v="7"/>
    <s v="Sneha"/>
    <n v="45"/>
    <n v="96"/>
    <x v="0"/>
    <n v="20000"/>
    <n v="20420"/>
    <n v="2000"/>
    <x v="0"/>
    <s v="No"/>
    <d v="2025-01-27T00:00:00"/>
    <d v="2025-04-27T00:00:00"/>
    <d v="1899-12-30T10:02:00"/>
    <d v="1899-12-30T14:23:00"/>
    <s v="D"/>
    <s v="10:02 AM"/>
    <s v="On Time"/>
    <s v="4 Hours 21 Minutes"/>
    <x v="0"/>
  </r>
  <r>
    <x v="746"/>
    <x v="22"/>
    <x v="3"/>
    <x v="1"/>
    <s v="Thoothukudi"/>
    <x v="2"/>
    <s v="Priya"/>
    <n v="65"/>
    <n v="92"/>
    <x v="3"/>
    <n v="20000"/>
    <n v="19830"/>
    <n v="2000"/>
    <x v="0"/>
    <s v="No"/>
    <d v="2025-11-02T00:00:00"/>
    <d v="2026-05-01T00:00:00"/>
    <d v="1899-12-30T08:17:00"/>
    <d v="1899-12-30T11:16:00"/>
    <s v="C"/>
    <s v="08:17 AM"/>
    <s v="Delayed"/>
    <s v="2 Hours 59 Minutes"/>
    <x v="1"/>
  </r>
  <r>
    <x v="747"/>
    <x v="177"/>
    <x v="10"/>
    <x v="0"/>
    <s v="Erode"/>
    <x v="7"/>
    <s v="Sneha"/>
    <n v="73"/>
    <n v="76"/>
    <x v="3"/>
    <n v="15000"/>
    <n v="12520"/>
    <n v="4000"/>
    <x v="0"/>
    <s v="No"/>
    <d v="2025-02-19T00:00:00"/>
    <d v="2025-06-19T00:00:00"/>
    <d v="1899-12-30T10:39:00"/>
    <d v="1899-12-30T15:36:00"/>
    <s v="C"/>
    <s v="10:39 AM"/>
    <s v="Delayed"/>
    <s v="4 Hours 57 Minutes"/>
    <x v="0"/>
  </r>
  <r>
    <x v="748"/>
    <x v="25"/>
    <x v="7"/>
    <x v="0"/>
    <s v="Tirunelveli"/>
    <x v="0"/>
    <s v="David"/>
    <n v="80"/>
    <n v="100"/>
    <x v="1"/>
    <n v="10000"/>
    <n v="11800"/>
    <n v="0"/>
    <x v="1"/>
    <s v="No"/>
    <d v="2025-06-27T00:00:00"/>
    <d v="2025-12-24T00:00:00"/>
    <d v="1899-12-30T09:13:00"/>
    <d v="1899-12-30T13:10:00"/>
    <s v="B"/>
    <s v="09:13 AM"/>
    <s v="Delayed"/>
    <s v="3 Hours 57 Minutes"/>
    <x v="1"/>
  </r>
  <r>
    <x v="749"/>
    <x v="25"/>
    <x v="7"/>
    <x v="0"/>
    <s v="Salem"/>
    <x v="1"/>
    <s v="Nandhini"/>
    <n v="92"/>
    <n v="83"/>
    <x v="2"/>
    <n v="18000"/>
    <n v="16650"/>
    <n v="4000"/>
    <x v="0"/>
    <s v="No"/>
    <d v="2025-07-28T00:00:00"/>
    <d v="2026-01-24T00:00:00"/>
    <d v="1899-12-30T10:40:00"/>
    <d v="1899-12-30T14:07:00"/>
    <s v="A"/>
    <s v="10:40 AM"/>
    <s v="Delayed"/>
    <s v="3 Hours 27 Minutes"/>
    <x v="0"/>
  </r>
  <r>
    <x v="750"/>
    <x v="161"/>
    <x v="2"/>
    <x v="1"/>
    <s v="Tirunelveli"/>
    <x v="3"/>
    <s v="Arun"/>
    <n v="48"/>
    <n v="90"/>
    <x v="0"/>
    <n v="12000"/>
    <n v="10980"/>
    <n v="2000"/>
    <x v="0"/>
    <s v="No"/>
    <d v="2025-08-04T00:00:00"/>
    <d v="2025-12-02T00:00:00"/>
    <d v="1899-12-30T08:36:00"/>
    <d v="1899-12-30T12:46:00"/>
    <s v="D"/>
    <s v="08:36 AM"/>
    <s v="Delayed"/>
    <s v="4 Hours 10 Minutes"/>
    <x v="1"/>
  </r>
  <r>
    <x v="751"/>
    <x v="77"/>
    <x v="6"/>
    <x v="1"/>
    <s v="Hyderabad"/>
    <x v="5"/>
    <s v="Mani Prabhu"/>
    <n v="88"/>
    <n v="96"/>
    <x v="1"/>
    <n v="15000"/>
    <n v="17700"/>
    <n v="0"/>
    <x v="1"/>
    <s v="No"/>
    <d v="2025-07-09T00:00:00"/>
    <d v="2025-11-06T00:00:00"/>
    <d v="1899-12-30T09:26:00"/>
    <d v="1899-12-30T12:48:00"/>
    <s v="B"/>
    <s v="09:26 AM"/>
    <s v="Delayed"/>
    <s v="3 Hours 22 Minutes"/>
    <x v="1"/>
  </r>
  <r>
    <x v="752"/>
    <x v="229"/>
    <x v="9"/>
    <x v="0"/>
    <s v="Kanchipuram"/>
    <x v="5"/>
    <s v="Mani Prabhu"/>
    <n v="51"/>
    <n v="74"/>
    <x v="0"/>
    <n v="12000"/>
    <n v="9570"/>
    <n v="4000"/>
    <x v="0"/>
    <s v="No"/>
    <d v="2025-06-01T00:00:00"/>
    <d v="2025-09-29T00:00:00"/>
    <d v="1899-12-30T10:05:00"/>
    <d v="1899-12-30T13:31:00"/>
    <s v="D"/>
    <s v="10:05 AM"/>
    <s v="Delayed"/>
    <s v="3 Hours 26 Minutes"/>
    <x v="0"/>
  </r>
  <r>
    <x v="753"/>
    <x v="87"/>
    <x v="4"/>
    <x v="1"/>
    <s v="Hyderabad"/>
    <x v="0"/>
    <s v="David"/>
    <n v="88"/>
    <n v="100"/>
    <x v="1"/>
    <n v="20000"/>
    <n v="19600"/>
    <n v="4000"/>
    <x v="0"/>
    <s v="No"/>
    <d v="2025-06-11T00:00:00"/>
    <d v="2025-10-09T00:00:00"/>
    <d v="1899-12-30T09:36:00"/>
    <d v="1899-12-30T12:58:00"/>
    <s v="B"/>
    <s v="09:36 AM"/>
    <s v="Delayed"/>
    <s v="3 Hours 22 Minutes"/>
    <x v="1"/>
  </r>
  <r>
    <x v="754"/>
    <x v="112"/>
    <x v="0"/>
    <x v="0"/>
    <s v="Vellore"/>
    <x v="2"/>
    <s v="Priya"/>
    <n v="54"/>
    <n v="64"/>
    <x v="0"/>
    <n v="18000"/>
    <n v="17470"/>
    <n v="2000"/>
    <x v="0"/>
    <s v="Yes"/>
    <d v="2025-09-14T00:00:00"/>
    <d v="2025-10-14T00:00:00"/>
    <d v="1899-12-30T09:49:00"/>
    <d v="1899-12-30T13:31:00"/>
    <s v="D"/>
    <s v="09:49 AM"/>
    <s v="On Time"/>
    <s v="3 Hours 42 Minutes"/>
    <x v="1"/>
  </r>
  <r>
    <x v="755"/>
    <x v="146"/>
    <x v="8"/>
    <x v="1"/>
    <s v="Bengaluru"/>
    <x v="4"/>
    <s v="John"/>
    <n v="58"/>
    <n v="73"/>
    <x v="0"/>
    <n v="20000"/>
    <n v="23600"/>
    <n v="0"/>
    <x v="1"/>
    <s v="No"/>
    <d v="2025-12-10T00:00:00"/>
    <d v="2026-01-09T00:00:00"/>
    <d v="1899-12-30T08:40:00"/>
    <d v="1899-12-30T11:36:00"/>
    <s v="D"/>
    <s v="08:40 AM"/>
    <s v="On Time"/>
    <s v="2 Hours 56 Minutes"/>
    <x v="1"/>
  </r>
  <r>
    <x v="756"/>
    <x v="110"/>
    <x v="0"/>
    <x v="0"/>
    <s v="Vellore"/>
    <x v="6"/>
    <s v="Karthik"/>
    <n v="72"/>
    <n v="93"/>
    <x v="3"/>
    <n v="12000"/>
    <n v="12390"/>
    <n v="0"/>
    <x v="1"/>
    <s v="No"/>
    <d v="2025-10-28T00:00:00"/>
    <d v="2025-11-27T00:00:00"/>
    <d v="1899-12-30T09:13:00"/>
    <d v="1899-12-30T12:09:00"/>
    <s v="C"/>
    <s v="09:13 AM"/>
    <s v="On Time"/>
    <s v="2 Hours 56 Minutes"/>
    <x v="1"/>
  </r>
  <r>
    <x v="757"/>
    <x v="53"/>
    <x v="9"/>
    <x v="1"/>
    <s v="Chennai"/>
    <x v="3"/>
    <s v="Arun"/>
    <n v="77"/>
    <n v="71"/>
    <x v="1"/>
    <n v="18000"/>
    <n v="19470"/>
    <n v="0"/>
    <x v="1"/>
    <s v="No"/>
    <d v="2025-10-23T00:00:00"/>
    <d v="2025-11-22T00:00:00"/>
    <d v="1899-12-30T08:54:00"/>
    <d v="1899-12-30T13:12:00"/>
    <s v="B"/>
    <s v="08:54 AM"/>
    <s v="On Time"/>
    <s v="4 Hours 18 Minutes"/>
    <x v="1"/>
  </r>
  <r>
    <x v="758"/>
    <x v="154"/>
    <x v="4"/>
    <x v="1"/>
    <s v="Hyderabad"/>
    <x v="5"/>
    <s v="Mani Prabhu"/>
    <n v="94"/>
    <n v="84"/>
    <x v="2"/>
    <n v="15000"/>
    <n v="17700"/>
    <n v="0"/>
    <x v="1"/>
    <s v="No"/>
    <d v="2025-08-09T00:00:00"/>
    <d v="2025-10-08T00:00:00"/>
    <d v="1899-12-30T08:58:00"/>
    <d v="1899-12-30T13:49:00"/>
    <s v="A"/>
    <s v="08:58 AM"/>
    <s v="On Time"/>
    <s v="4 Hours 51 Minutes"/>
    <x v="1"/>
  </r>
  <r>
    <x v="759"/>
    <x v="177"/>
    <x v="5"/>
    <x v="0"/>
    <s v="Coimbatore"/>
    <x v="5"/>
    <s v="Mani Prabhu"/>
    <n v="61"/>
    <n v="73"/>
    <x v="3"/>
    <n v="18000"/>
    <n v="15470"/>
    <n v="4000"/>
    <x v="0"/>
    <s v="No"/>
    <d v="2025-08-22T00:00:00"/>
    <d v="2025-09-21T00:00:00"/>
    <d v="1899-12-30T09:50:00"/>
    <d v="1899-12-30T11:23:00"/>
    <s v="C"/>
    <s v="09:50 AM"/>
    <s v="On Time"/>
    <s v="1 Hours 33 Minutes"/>
    <x v="1"/>
  </r>
  <r>
    <x v="760"/>
    <x v="17"/>
    <x v="3"/>
    <x v="0"/>
    <s v="Erode"/>
    <x v="6"/>
    <s v="Karthik"/>
    <n v="61"/>
    <n v="65"/>
    <x v="3"/>
    <n v="12000"/>
    <n v="12980"/>
    <n v="0"/>
    <x v="1"/>
    <s v="Yes"/>
    <d v="2025-02-22T00:00:00"/>
    <d v="2025-05-23T00:00:00"/>
    <d v="1899-12-30T09:29:00"/>
    <d v="1899-12-30T11:11:00"/>
    <s v="C"/>
    <s v="09:29 AM"/>
    <s v="On Time"/>
    <s v="1 Hours 42 Minutes"/>
    <x v="1"/>
  </r>
  <r>
    <x v="761"/>
    <x v="147"/>
    <x v="1"/>
    <x v="1"/>
    <s v="Tirunelveli"/>
    <x v="1"/>
    <s v="Nandhini"/>
    <n v="100"/>
    <n v="67"/>
    <x v="2"/>
    <n v="10000"/>
    <n v="8030"/>
    <n v="2000"/>
    <x v="0"/>
    <s v="Yes"/>
    <d v="2025-02-03T00:00:00"/>
    <d v="2025-06-03T00:00:00"/>
    <d v="1899-12-30T10:02:00"/>
    <d v="1899-12-30T13:03:00"/>
    <s v="A"/>
    <s v="10:02 AM"/>
    <s v="Delayed"/>
    <s v="3 Hours 1 Minutes"/>
    <x v="0"/>
  </r>
  <r>
    <x v="762"/>
    <x v="149"/>
    <x v="3"/>
    <x v="1"/>
    <s v="Madurai"/>
    <x v="7"/>
    <s v="Sneha"/>
    <n v="60"/>
    <n v="73"/>
    <x v="3"/>
    <n v="18000"/>
    <n v="17470"/>
    <n v="2000"/>
    <x v="0"/>
    <s v="No"/>
    <d v="2025-09-23T00:00:00"/>
    <d v="2026-01-21T00:00:00"/>
    <d v="1899-12-30T10:30:00"/>
    <d v="1899-12-30T11:40:00"/>
    <s v="C"/>
    <s v="10:30 AM"/>
    <s v="Delayed"/>
    <s v="1 Hours 10 Minutes"/>
    <x v="0"/>
  </r>
  <r>
    <x v="763"/>
    <x v="231"/>
    <x v="5"/>
    <x v="0"/>
    <s v="Vellore"/>
    <x v="6"/>
    <s v="Karthik"/>
    <n v="77"/>
    <n v="72"/>
    <x v="1"/>
    <n v="18000"/>
    <n v="18060"/>
    <n v="2000"/>
    <x v="0"/>
    <s v="No"/>
    <d v="2025-04-24T00:00:00"/>
    <d v="2025-08-22T00:00:00"/>
    <d v="1899-12-30T10:21:00"/>
    <d v="1899-12-30T15:06:00"/>
    <s v="B"/>
    <s v="10:21 AM"/>
    <s v="Delayed"/>
    <s v="4 Hours 45 Minutes"/>
    <x v="0"/>
  </r>
  <r>
    <x v="764"/>
    <x v="16"/>
    <x v="0"/>
    <x v="1"/>
    <s v="Madurai"/>
    <x v="0"/>
    <s v="David"/>
    <n v="55"/>
    <n v="99"/>
    <x v="0"/>
    <n v="10000"/>
    <n v="8030"/>
    <n v="2000"/>
    <x v="0"/>
    <s v="No"/>
    <d v="2025-07-15T00:00:00"/>
    <d v="2025-11-12T00:00:00"/>
    <d v="1899-12-30T08:46:00"/>
    <d v="1899-12-30T13:34:00"/>
    <s v="D"/>
    <s v="08:46 AM"/>
    <s v="Delayed"/>
    <s v="4 Hours 48 Minutes"/>
    <x v="1"/>
  </r>
  <r>
    <x v="765"/>
    <x v="3"/>
    <x v="7"/>
    <x v="0"/>
    <s v="Vellore"/>
    <x v="7"/>
    <s v="Sneha"/>
    <n v="87"/>
    <n v="74"/>
    <x v="1"/>
    <n v="10000"/>
    <n v="9800"/>
    <n v="2000"/>
    <x v="0"/>
    <s v="No"/>
    <d v="2025-10-20T00:00:00"/>
    <d v="2026-02-17T00:00:00"/>
    <d v="1899-12-30T10:55:00"/>
    <d v="1899-12-30T12:46:00"/>
    <s v="B"/>
    <s v="10:55 AM"/>
    <s v="Delayed"/>
    <s v="1 Hours 51 Minutes"/>
    <x v="0"/>
  </r>
  <r>
    <x v="766"/>
    <x v="84"/>
    <x v="7"/>
    <x v="0"/>
    <s v="Trichy"/>
    <x v="5"/>
    <s v="Mani Prabhu"/>
    <n v="48"/>
    <n v="68"/>
    <x v="0"/>
    <n v="20000"/>
    <n v="23010"/>
    <n v="0"/>
    <x v="1"/>
    <s v="Yes"/>
    <d v="2025-01-13T00:00:00"/>
    <d v="2025-03-14T00:00:00"/>
    <d v="1899-12-30T10:02:00"/>
    <d v="1899-12-30T12:44:00"/>
    <s v="D"/>
    <s v="10:02 AM"/>
    <s v="On Time"/>
    <s v="2 Hours 42 Minutes"/>
    <x v="0"/>
  </r>
  <r>
    <x v="767"/>
    <x v="117"/>
    <x v="5"/>
    <x v="1"/>
    <s v="Tirunelveli"/>
    <x v="4"/>
    <s v="John"/>
    <n v="37"/>
    <n v="71"/>
    <x v="0"/>
    <n v="12000"/>
    <n v="10390"/>
    <n v="2000"/>
    <x v="0"/>
    <s v="No"/>
    <d v="2025-04-26T00:00:00"/>
    <d v="2025-08-24T00:00:00"/>
    <d v="1899-12-30T09:40:00"/>
    <d v="1899-12-30T12:57:00"/>
    <s v="D"/>
    <s v="09:40 AM"/>
    <s v="Delayed"/>
    <s v="3 Hours 17 Minutes"/>
    <x v="1"/>
  </r>
  <r>
    <x v="768"/>
    <x v="182"/>
    <x v="3"/>
    <x v="0"/>
    <s v="Madurai"/>
    <x v="1"/>
    <s v="Nandhini"/>
    <n v="53"/>
    <n v="62"/>
    <x v="0"/>
    <n v="12000"/>
    <n v="14160"/>
    <n v="0"/>
    <x v="1"/>
    <s v="No"/>
    <d v="2025-10-14T00:00:00"/>
    <d v="2025-11-13T00:00:00"/>
    <d v="1899-12-30T10:56:00"/>
    <d v="1899-12-30T14:08:00"/>
    <s v="D"/>
    <s v="10:56 AM"/>
    <s v="On Time"/>
    <s v="3 Hours 12 Minutes"/>
    <x v="0"/>
  </r>
  <r>
    <x v="769"/>
    <x v="95"/>
    <x v="2"/>
    <x v="0"/>
    <s v="Tirunelveli"/>
    <x v="0"/>
    <s v="David"/>
    <n v="37"/>
    <n v="96"/>
    <x v="0"/>
    <n v="18000"/>
    <n v="17240"/>
    <n v="4000"/>
    <x v="0"/>
    <s v="No"/>
    <d v="2025-03-17T00:00:00"/>
    <d v="2025-04-16T00:00:00"/>
    <d v="1899-12-30T10:07:00"/>
    <d v="1899-12-30T14:00:00"/>
    <s v="D"/>
    <s v="10:07 AM"/>
    <s v="On Time"/>
    <s v="3 Hours 53 Minutes"/>
    <x v="0"/>
  </r>
  <r>
    <x v="770"/>
    <x v="170"/>
    <x v="10"/>
    <x v="1"/>
    <s v="Coimbatore"/>
    <x v="7"/>
    <s v="Sneha"/>
    <n v="83"/>
    <n v="84"/>
    <x v="1"/>
    <n v="20000"/>
    <n v="21830"/>
    <n v="0"/>
    <x v="1"/>
    <s v="No"/>
    <d v="2025-08-06T00:00:00"/>
    <d v="2025-09-05T00:00:00"/>
    <d v="1899-12-30T09:26:00"/>
    <d v="1899-12-30T12:49:00"/>
    <s v="B"/>
    <s v="09:26 AM"/>
    <s v="On Time"/>
    <s v="3 Hours 23 Minutes"/>
    <x v="1"/>
  </r>
  <r>
    <x v="771"/>
    <x v="187"/>
    <x v="0"/>
    <x v="1"/>
    <s v="Vellore"/>
    <x v="7"/>
    <s v="Sneha"/>
    <n v="50"/>
    <n v="70"/>
    <x v="0"/>
    <n v="20000"/>
    <n v="21600"/>
    <n v="2000"/>
    <x v="0"/>
    <s v="No"/>
    <d v="2025-03-19T00:00:00"/>
    <d v="2025-07-17T00:00:00"/>
    <d v="1899-12-30T08:18:00"/>
    <d v="1899-12-30T13:12:00"/>
    <s v="D"/>
    <s v="08:18 AM"/>
    <s v="Delayed"/>
    <s v="4 Hours 54 Minutes"/>
    <x v="1"/>
  </r>
  <r>
    <x v="772"/>
    <x v="48"/>
    <x v="9"/>
    <x v="0"/>
    <s v="Chennai"/>
    <x v="0"/>
    <s v="David"/>
    <n v="69"/>
    <n v="100"/>
    <x v="3"/>
    <n v="12000"/>
    <n v="10160"/>
    <n v="4000"/>
    <x v="0"/>
    <s v="No"/>
    <d v="2025-10-27T00:00:00"/>
    <d v="2026-01-25T00:00:00"/>
    <d v="1899-12-30T09:44:00"/>
    <d v="1899-12-30T12:23:00"/>
    <s v="C"/>
    <s v="09:44 AM"/>
    <s v="On Time"/>
    <s v="2 Hours 39 Minutes"/>
    <x v="1"/>
  </r>
  <r>
    <x v="773"/>
    <x v="41"/>
    <x v="4"/>
    <x v="1"/>
    <s v="Trichy"/>
    <x v="6"/>
    <s v="Karthik"/>
    <n v="86"/>
    <n v="71"/>
    <x v="1"/>
    <n v="20000"/>
    <n v="19600"/>
    <n v="4000"/>
    <x v="0"/>
    <s v="No"/>
    <d v="2025-06-14T00:00:00"/>
    <d v="2025-12-11T00:00:00"/>
    <d v="1899-12-30T10:25:00"/>
    <d v="1899-12-30T12:26:00"/>
    <s v="B"/>
    <s v="10:25 AM"/>
    <s v="Delayed"/>
    <s v="2 Hours 1 Minutes"/>
    <x v="0"/>
  </r>
  <r>
    <x v="774"/>
    <x v="43"/>
    <x v="6"/>
    <x v="0"/>
    <s v="Hyderabad"/>
    <x v="7"/>
    <s v="Sneha"/>
    <n v="36"/>
    <n v="73"/>
    <x v="0"/>
    <n v="10000"/>
    <n v="11800"/>
    <n v="0"/>
    <x v="1"/>
    <s v="No"/>
    <d v="2025-10-18T00:00:00"/>
    <d v="2026-02-15T00:00:00"/>
    <d v="1899-12-30T08:21:00"/>
    <d v="1899-12-30T11:49:00"/>
    <s v="D"/>
    <s v="08:21 AM"/>
    <s v="Delayed"/>
    <s v="3 Hours 28 Minutes"/>
    <x v="1"/>
  </r>
  <r>
    <x v="775"/>
    <x v="201"/>
    <x v="4"/>
    <x v="0"/>
    <s v="Coimbatore"/>
    <x v="3"/>
    <s v="Arun"/>
    <n v="73"/>
    <n v="73"/>
    <x v="3"/>
    <n v="10000"/>
    <n v="7210"/>
    <n v="4000"/>
    <x v="0"/>
    <s v="No"/>
    <d v="2025-08-27T00:00:00"/>
    <d v="2025-09-26T00:00:00"/>
    <d v="1899-12-30T08:22:00"/>
    <d v="1899-12-30T10:14:00"/>
    <s v="C"/>
    <s v="08:22 AM"/>
    <s v="On Time"/>
    <s v="1 Hours 52 Minutes"/>
    <x v="1"/>
  </r>
  <r>
    <x v="776"/>
    <x v="217"/>
    <x v="4"/>
    <x v="0"/>
    <s v="Bengaluru"/>
    <x v="0"/>
    <s v="David"/>
    <n v="60"/>
    <n v="73"/>
    <x v="3"/>
    <n v="18000"/>
    <n v="20650"/>
    <n v="0"/>
    <x v="1"/>
    <s v="No"/>
    <d v="2025-01-30T00:00:00"/>
    <d v="2025-03-31T00:00:00"/>
    <d v="1899-12-30T08:37:00"/>
    <d v="1899-12-30T11:24:00"/>
    <s v="C"/>
    <s v="08:37 AM"/>
    <s v="On Time"/>
    <s v="2 Hours 47 Minutes"/>
    <x v="1"/>
  </r>
  <r>
    <x v="777"/>
    <x v="9"/>
    <x v="0"/>
    <x v="1"/>
    <s v="Thoothukudi"/>
    <x v="6"/>
    <s v="Karthik"/>
    <n v="36"/>
    <n v="69"/>
    <x v="0"/>
    <n v="18000"/>
    <n v="16060"/>
    <n v="4000"/>
    <x v="0"/>
    <s v="No"/>
    <d v="2025-04-02T00:00:00"/>
    <d v="2025-07-01T00:00:00"/>
    <d v="1899-12-30T09:59:00"/>
    <d v="1899-12-30T13:25:00"/>
    <s v="D"/>
    <s v="09:59 AM"/>
    <s v="On Time"/>
    <s v="3 Hours 26 Minutes"/>
    <x v="1"/>
  </r>
  <r>
    <x v="778"/>
    <x v="111"/>
    <x v="3"/>
    <x v="0"/>
    <s v="Chennai"/>
    <x v="4"/>
    <s v="John"/>
    <n v="58"/>
    <n v="64"/>
    <x v="0"/>
    <n v="18000"/>
    <n v="19240"/>
    <n v="2000"/>
    <x v="0"/>
    <s v="No"/>
    <d v="2025-12-19T00:00:00"/>
    <d v="2026-01-18T00:00:00"/>
    <d v="1899-12-30T10:54:00"/>
    <d v="1899-12-30T12:10:00"/>
    <s v="D"/>
    <s v="10:54 AM"/>
    <s v="On Time"/>
    <s v="1 Hours 16 Minutes"/>
    <x v="0"/>
  </r>
  <r>
    <x v="779"/>
    <x v="83"/>
    <x v="10"/>
    <x v="0"/>
    <s v="Trichy"/>
    <x v="2"/>
    <s v="Priya"/>
    <n v="46"/>
    <n v="81"/>
    <x v="0"/>
    <n v="20000"/>
    <n v="18420"/>
    <n v="4000"/>
    <x v="0"/>
    <s v="No"/>
    <d v="2025-07-30T00:00:00"/>
    <d v="2025-08-29T00:00:00"/>
    <d v="1899-12-30T10:09:00"/>
    <d v="1899-12-30T13:55:00"/>
    <s v="D"/>
    <s v="10:09 AM"/>
    <s v="On Time"/>
    <s v="3 Hours 46 Minutes"/>
    <x v="0"/>
  </r>
  <r>
    <x v="780"/>
    <x v="131"/>
    <x v="3"/>
    <x v="1"/>
    <s v="Bengaluru"/>
    <x v="1"/>
    <s v="Nandhini"/>
    <n v="46"/>
    <n v="83"/>
    <x v="0"/>
    <n v="10000"/>
    <n v="6030"/>
    <n v="4000"/>
    <x v="0"/>
    <s v="No"/>
    <d v="2025-05-12T00:00:00"/>
    <d v="2025-09-09T00:00:00"/>
    <d v="1899-12-30T08:51:00"/>
    <d v="1899-12-30T12:45:00"/>
    <s v="D"/>
    <s v="08:51 AM"/>
    <s v="Delayed"/>
    <s v="3 Hours 54 Minutes"/>
    <x v="1"/>
  </r>
  <r>
    <x v="781"/>
    <x v="106"/>
    <x v="5"/>
    <x v="1"/>
    <s v="Chennai"/>
    <x v="7"/>
    <s v="Sneha"/>
    <n v="35"/>
    <n v="94"/>
    <x v="0"/>
    <n v="10000"/>
    <n v="10620"/>
    <n v="0"/>
    <x v="1"/>
    <s v="No"/>
    <d v="2025-08-02T00:00:00"/>
    <d v="2025-11-30T00:00:00"/>
    <d v="1899-12-30T09:14:00"/>
    <d v="1899-12-30T12:15:00"/>
    <s v="D"/>
    <s v="09:14 AM"/>
    <s v="Delayed"/>
    <s v="3 Hours 1 Minutes"/>
    <x v="1"/>
  </r>
  <r>
    <x v="782"/>
    <x v="208"/>
    <x v="7"/>
    <x v="1"/>
    <s v="Bengaluru"/>
    <x v="6"/>
    <s v="Karthik"/>
    <n v="86"/>
    <n v="83"/>
    <x v="1"/>
    <n v="15000"/>
    <n v="15110"/>
    <n v="2000"/>
    <x v="0"/>
    <s v="No"/>
    <d v="2025-03-31T00:00:00"/>
    <d v="2025-04-30T00:00:00"/>
    <d v="1899-12-30T09:13:00"/>
    <d v="1899-12-30T13:34:00"/>
    <s v="B"/>
    <s v="09:13 AM"/>
    <s v="On Time"/>
    <s v="4 Hours 21 Minutes"/>
    <x v="1"/>
  </r>
  <r>
    <x v="783"/>
    <x v="66"/>
    <x v="1"/>
    <x v="1"/>
    <s v="Vellore"/>
    <x v="7"/>
    <s v="Sneha"/>
    <n v="42"/>
    <n v="73"/>
    <x v="0"/>
    <n v="20000"/>
    <n v="21830"/>
    <n v="0"/>
    <x v="1"/>
    <s v="No"/>
    <d v="2025-03-28T00:00:00"/>
    <d v="2025-07-26T00:00:00"/>
    <d v="1899-12-30T10:48:00"/>
    <d v="1899-12-30T12:26:00"/>
    <s v="D"/>
    <s v="10:48 AM"/>
    <s v="Delayed"/>
    <s v="1 Hours 38 Minutes"/>
    <x v="0"/>
  </r>
  <r>
    <x v="784"/>
    <x v="226"/>
    <x v="3"/>
    <x v="1"/>
    <s v="Madurai"/>
    <x v="6"/>
    <s v="Karthik"/>
    <n v="48"/>
    <n v="65"/>
    <x v="0"/>
    <n v="12000"/>
    <n v="10160"/>
    <n v="4000"/>
    <x v="0"/>
    <s v="Yes"/>
    <d v="2025-02-27T00:00:00"/>
    <d v="2025-04-28T00:00:00"/>
    <d v="1899-12-30T10:06:00"/>
    <d v="1899-12-30T12:41:00"/>
    <s v="D"/>
    <s v="10:06 AM"/>
    <s v="On Time"/>
    <s v="2 Hours 35 Minutes"/>
    <x v="0"/>
  </r>
  <r>
    <x v="785"/>
    <x v="16"/>
    <x v="5"/>
    <x v="0"/>
    <s v="Bengaluru"/>
    <x v="4"/>
    <s v="John"/>
    <n v="58"/>
    <n v="72"/>
    <x v="0"/>
    <n v="10000"/>
    <n v="9210"/>
    <n v="2000"/>
    <x v="0"/>
    <s v="No"/>
    <d v="2025-05-17T00:00:00"/>
    <d v="2025-11-13T00:00:00"/>
    <d v="1899-12-30T10:08:00"/>
    <d v="1899-12-30T14:15:00"/>
    <s v="D"/>
    <s v="10:08 AM"/>
    <s v="Delayed"/>
    <s v="4 Hours 7 Minutes"/>
    <x v="0"/>
  </r>
  <r>
    <x v="786"/>
    <x v="5"/>
    <x v="0"/>
    <x v="0"/>
    <s v="Hyderabad"/>
    <x v="5"/>
    <s v="Mani Prabhu"/>
    <n v="71"/>
    <n v="84"/>
    <x v="3"/>
    <n v="20000"/>
    <n v="19830"/>
    <n v="2000"/>
    <x v="0"/>
    <s v="No"/>
    <d v="2025-11-13T00:00:00"/>
    <d v="2026-02-11T00:00:00"/>
    <d v="1899-12-30T10:27:00"/>
    <d v="1899-12-30T14:27:00"/>
    <s v="C"/>
    <s v="10:27 AM"/>
    <s v="On Time"/>
    <s v="4 Hours 0 Minutes"/>
    <x v="0"/>
  </r>
  <r>
    <x v="787"/>
    <x v="177"/>
    <x v="2"/>
    <x v="1"/>
    <s v="Salem"/>
    <x v="7"/>
    <s v="Sneha"/>
    <n v="48"/>
    <n v="89"/>
    <x v="0"/>
    <n v="10000"/>
    <n v="8620"/>
    <n v="2000"/>
    <x v="0"/>
    <s v="No"/>
    <d v="2025-10-30T00:00:00"/>
    <d v="2026-04-28T00:00:00"/>
    <d v="1899-12-30T10:58:00"/>
    <d v="1899-12-30T14:15:00"/>
    <s v="D"/>
    <s v="10:58 AM"/>
    <s v="Delayed"/>
    <s v="3 Hours 17 Minutes"/>
    <x v="0"/>
  </r>
  <r>
    <x v="788"/>
    <x v="27"/>
    <x v="10"/>
    <x v="0"/>
    <s v="Vellore"/>
    <x v="2"/>
    <s v="Priya"/>
    <n v="48"/>
    <n v="83"/>
    <x v="0"/>
    <n v="20000"/>
    <n v="17830"/>
    <n v="4000"/>
    <x v="0"/>
    <s v="No"/>
    <d v="2025-10-11T00:00:00"/>
    <d v="2025-12-10T00:00:00"/>
    <d v="1899-12-30T09:37:00"/>
    <d v="1899-12-30T14:01:00"/>
    <s v="D"/>
    <s v="09:37 AM"/>
    <s v="On Time"/>
    <s v="4 Hours 24 Minutes"/>
    <x v="1"/>
  </r>
  <r>
    <x v="789"/>
    <x v="94"/>
    <x v="1"/>
    <x v="1"/>
    <s v="Hyderabad"/>
    <x v="2"/>
    <s v="Priya"/>
    <n v="67"/>
    <n v="91"/>
    <x v="3"/>
    <n v="15000"/>
    <n v="13700"/>
    <n v="4000"/>
    <x v="0"/>
    <s v="No"/>
    <d v="2025-06-05T00:00:00"/>
    <d v="2025-07-05T00:00:00"/>
    <d v="1899-12-30T09:14:00"/>
    <d v="1899-12-30T12:37:00"/>
    <s v="C"/>
    <s v="09:14 AM"/>
    <s v="On Time"/>
    <s v="3 Hours 23 Minutes"/>
    <x v="1"/>
  </r>
  <r>
    <x v="790"/>
    <x v="167"/>
    <x v="0"/>
    <x v="0"/>
    <s v="Thoothukudi"/>
    <x v="3"/>
    <s v="Arun"/>
    <n v="38"/>
    <n v="71"/>
    <x v="0"/>
    <n v="20000"/>
    <n v="19010"/>
    <n v="4000"/>
    <x v="0"/>
    <s v="No"/>
    <d v="2025-06-25T00:00:00"/>
    <d v="2025-08-24T00:00:00"/>
    <d v="1899-12-30T08:31:00"/>
    <d v="1899-12-30T12:42:00"/>
    <s v="D"/>
    <s v="08:31 AM"/>
    <s v="On Time"/>
    <s v="4 Hours 11 Minutes"/>
    <x v="1"/>
  </r>
  <r>
    <x v="791"/>
    <x v="37"/>
    <x v="10"/>
    <x v="0"/>
    <s v="Salem"/>
    <x v="0"/>
    <s v="David"/>
    <n v="88"/>
    <n v="99"/>
    <x v="1"/>
    <n v="12000"/>
    <n v="10160"/>
    <n v="4000"/>
    <x v="0"/>
    <s v="No"/>
    <d v="2025-11-16T00:00:00"/>
    <d v="2026-01-15T00:00:00"/>
    <d v="1899-12-30T08:59:00"/>
    <d v="1899-12-30T13:00:00"/>
    <s v="B"/>
    <s v="08:59 AM"/>
    <s v="On Time"/>
    <s v="4 Hours 1 Minutes"/>
    <x v="1"/>
  </r>
  <r>
    <x v="792"/>
    <x v="206"/>
    <x v="4"/>
    <x v="1"/>
    <s v="Coimbatore"/>
    <x v="2"/>
    <s v="Priya"/>
    <n v="70"/>
    <n v="90"/>
    <x v="3"/>
    <n v="12000"/>
    <n v="10980"/>
    <n v="2000"/>
    <x v="0"/>
    <s v="No"/>
    <d v="2025-01-03T00:00:00"/>
    <d v="2025-02-02T00:00:00"/>
    <d v="1899-12-30T10:51:00"/>
    <d v="1899-12-30T14:02:00"/>
    <s v="C"/>
    <s v="10:51 AM"/>
    <s v="On Time"/>
    <s v="3 Hours 11 Minutes"/>
    <x v="0"/>
  </r>
  <r>
    <x v="793"/>
    <x v="8"/>
    <x v="3"/>
    <x v="1"/>
    <s v="Salem"/>
    <x v="2"/>
    <s v="Priya"/>
    <n v="52"/>
    <n v="96"/>
    <x v="0"/>
    <n v="12000"/>
    <n v="13570"/>
    <n v="0"/>
    <x v="1"/>
    <s v="No"/>
    <d v="2025-05-31T00:00:00"/>
    <d v="2025-08-29T00:00:00"/>
    <d v="1899-12-30T08:40:00"/>
    <d v="1899-12-30T11:25:00"/>
    <s v="D"/>
    <s v="08:40 AM"/>
    <s v="On Time"/>
    <s v="2 Hours 45 Minutes"/>
    <x v="1"/>
  </r>
  <r>
    <x v="794"/>
    <x v="96"/>
    <x v="2"/>
    <x v="0"/>
    <s v="Madurai"/>
    <x v="2"/>
    <s v="Priya"/>
    <n v="91"/>
    <n v="100"/>
    <x v="2"/>
    <n v="12000"/>
    <n v="10980"/>
    <n v="2000"/>
    <x v="0"/>
    <s v="No"/>
    <d v="2025-12-16T00:00:00"/>
    <d v="2026-01-15T00:00:00"/>
    <d v="1899-12-30T08:39:00"/>
    <d v="1899-12-30T10:00:00"/>
    <s v="A"/>
    <s v="08:39 AM"/>
    <s v="On Time"/>
    <s v="1 Hours 21 Minutes"/>
    <x v="1"/>
  </r>
  <r>
    <x v="795"/>
    <x v="82"/>
    <x v="7"/>
    <x v="1"/>
    <s v="Trichy"/>
    <x v="7"/>
    <s v="Sneha"/>
    <n v="98"/>
    <n v="82"/>
    <x v="2"/>
    <n v="20000"/>
    <n v="19600"/>
    <n v="4000"/>
    <x v="0"/>
    <s v="No"/>
    <d v="2025-05-09T00:00:00"/>
    <d v="2025-09-06T00:00:00"/>
    <d v="1899-12-30T08:30:00"/>
    <d v="1899-12-30T11:14:00"/>
    <s v="A"/>
    <s v="08:30 AM"/>
    <s v="Delayed"/>
    <s v="2 Hours 44 Minutes"/>
    <x v="1"/>
  </r>
  <r>
    <x v="796"/>
    <x v="203"/>
    <x v="3"/>
    <x v="0"/>
    <s v="Tirunelveli"/>
    <x v="4"/>
    <s v="John"/>
    <n v="61"/>
    <n v="99"/>
    <x v="3"/>
    <n v="15000"/>
    <n v="12520"/>
    <n v="4000"/>
    <x v="0"/>
    <s v="No"/>
    <d v="2025-09-03T00:00:00"/>
    <d v="2026-01-01T00:00:00"/>
    <d v="1899-12-30T10:33:00"/>
    <d v="1899-12-30T14:40:00"/>
    <s v="C"/>
    <s v="10:33 AM"/>
    <s v="Delayed"/>
    <s v="4 Hours 7 Minutes"/>
    <x v="0"/>
  </r>
  <r>
    <x v="797"/>
    <x v="223"/>
    <x v="5"/>
    <x v="0"/>
    <s v="Kanchipuram"/>
    <x v="0"/>
    <s v="David"/>
    <n v="53"/>
    <n v="81"/>
    <x v="0"/>
    <n v="12000"/>
    <n v="10980"/>
    <n v="2000"/>
    <x v="0"/>
    <s v="No"/>
    <d v="2025-01-01T00:00:00"/>
    <d v="2025-03-02T00:00:00"/>
    <d v="1899-12-30T10:12:00"/>
    <d v="1899-12-30T12:14:00"/>
    <s v="D"/>
    <s v="10:12 AM"/>
    <s v="On Time"/>
    <s v="2 Hours 2 Minutes"/>
    <x v="0"/>
  </r>
  <r>
    <x v="798"/>
    <x v="120"/>
    <x v="4"/>
    <x v="0"/>
    <s v="Hyderabad"/>
    <x v="1"/>
    <s v="Nandhini"/>
    <n v="91"/>
    <n v="89"/>
    <x v="2"/>
    <n v="12000"/>
    <n v="10390"/>
    <n v="2000"/>
    <x v="0"/>
    <s v="No"/>
    <d v="2025-05-28T00:00:00"/>
    <d v="2025-11-24T00:00:00"/>
    <d v="1899-12-30T08:07:00"/>
    <d v="1899-12-30T10:06:00"/>
    <s v="A"/>
    <s v="08:07 AM"/>
    <s v="Delayed"/>
    <s v="1 Hours 59 Minutes"/>
    <x v="1"/>
  </r>
  <r>
    <x v="799"/>
    <x v="95"/>
    <x v="6"/>
    <x v="1"/>
    <s v="Hyderabad"/>
    <x v="5"/>
    <s v="Mani Prabhu"/>
    <n v="95"/>
    <n v="81"/>
    <x v="2"/>
    <n v="12000"/>
    <n v="8980"/>
    <n v="4000"/>
    <x v="0"/>
    <s v="No"/>
    <d v="2025-08-28T00:00:00"/>
    <d v="2025-12-26T00:00:00"/>
    <d v="1899-12-30T10:31:00"/>
    <d v="1899-12-30T14:20:00"/>
    <s v="A"/>
    <s v="10:31 AM"/>
    <s v="Delayed"/>
    <s v="3 Hours 49 Minutes"/>
    <x v="0"/>
  </r>
  <r>
    <x v="800"/>
    <x v="206"/>
    <x v="9"/>
    <x v="0"/>
    <s v="Coimbatore"/>
    <x v="5"/>
    <s v="Mani Prabhu"/>
    <n v="60"/>
    <n v="88"/>
    <x v="3"/>
    <n v="20000"/>
    <n v="18420"/>
    <n v="4000"/>
    <x v="0"/>
    <s v="No"/>
    <d v="2025-09-18T00:00:00"/>
    <d v="2026-03-17T00:00:00"/>
    <d v="1899-12-30T10:20:00"/>
    <d v="1899-12-30T12:10:00"/>
    <s v="C"/>
    <s v="10:20 AM"/>
    <s v="Delayed"/>
    <s v="1 Hours 50 Minutes"/>
    <x v="0"/>
  </r>
  <r>
    <x v="801"/>
    <x v="87"/>
    <x v="8"/>
    <x v="0"/>
    <s v="Coimbatore"/>
    <x v="2"/>
    <s v="Priya"/>
    <n v="96"/>
    <n v="98"/>
    <x v="2"/>
    <n v="20000"/>
    <n v="21010"/>
    <n v="2000"/>
    <x v="0"/>
    <s v="No"/>
    <d v="2025-08-06T00:00:00"/>
    <d v="2025-11-04T00:00:00"/>
    <d v="1899-12-30T10:15:00"/>
    <d v="1899-12-30T11:49:00"/>
    <s v="A"/>
    <s v="10:15 AM"/>
    <s v="On Time"/>
    <s v="1 Hours 34 Minutes"/>
    <x v="0"/>
  </r>
  <r>
    <x v="802"/>
    <x v="189"/>
    <x v="2"/>
    <x v="1"/>
    <s v="Hyderabad"/>
    <x v="6"/>
    <s v="Karthik"/>
    <n v="77"/>
    <n v="79"/>
    <x v="1"/>
    <n v="12000"/>
    <n v="11570"/>
    <n v="2000"/>
    <x v="0"/>
    <s v="No"/>
    <d v="2025-10-23T00:00:00"/>
    <d v="2026-01-21T00:00:00"/>
    <d v="1899-12-30T09:14:00"/>
    <d v="1899-12-30T10:19:00"/>
    <s v="B"/>
    <s v="09:14 AM"/>
    <s v="On Time"/>
    <s v="1 Hours 5 Minutes"/>
    <x v="1"/>
  </r>
  <r>
    <x v="803"/>
    <x v="14"/>
    <x v="0"/>
    <x v="0"/>
    <s v="Trichy"/>
    <x v="3"/>
    <s v="Arun"/>
    <n v="72"/>
    <n v="91"/>
    <x v="3"/>
    <n v="20000"/>
    <n v="21010"/>
    <n v="2000"/>
    <x v="0"/>
    <s v="No"/>
    <d v="2025-07-25T00:00:00"/>
    <d v="2026-01-21T00:00:00"/>
    <d v="1899-12-30T10:36:00"/>
    <d v="1899-12-30T14:13:00"/>
    <s v="C"/>
    <s v="10:36 AM"/>
    <s v="Delayed"/>
    <s v="3 Hours 37 Minutes"/>
    <x v="0"/>
  </r>
  <r>
    <x v="804"/>
    <x v="126"/>
    <x v="7"/>
    <x v="1"/>
    <s v="Erode"/>
    <x v="3"/>
    <s v="Arun"/>
    <n v="43"/>
    <n v="88"/>
    <x v="0"/>
    <n v="20000"/>
    <n v="19010"/>
    <n v="4000"/>
    <x v="0"/>
    <s v="No"/>
    <d v="2025-08-29T00:00:00"/>
    <d v="2025-09-28T00:00:00"/>
    <d v="1899-12-30T08:02:00"/>
    <d v="1899-12-30T10:37:00"/>
    <s v="D"/>
    <s v="08:02 AM"/>
    <s v="On Time"/>
    <s v="2 Hours 35 Minutes"/>
    <x v="1"/>
  </r>
  <r>
    <x v="805"/>
    <x v="166"/>
    <x v="10"/>
    <x v="0"/>
    <s v="Salem"/>
    <x v="0"/>
    <s v="David"/>
    <n v="55"/>
    <n v="84"/>
    <x v="0"/>
    <n v="10000"/>
    <n v="11210"/>
    <n v="0"/>
    <x v="1"/>
    <s v="No"/>
    <d v="2025-10-17T00:00:00"/>
    <d v="2026-01-15T00:00:00"/>
    <d v="1899-12-30T10:19:00"/>
    <d v="1899-12-30T12:27:00"/>
    <s v="D"/>
    <s v="10:19 AM"/>
    <s v="On Time"/>
    <s v="2 Hours 8 Minutes"/>
    <x v="0"/>
  </r>
  <r>
    <x v="806"/>
    <x v="9"/>
    <x v="1"/>
    <x v="1"/>
    <s v="Bengaluru"/>
    <x v="4"/>
    <s v="John"/>
    <n v="91"/>
    <n v="86"/>
    <x v="2"/>
    <n v="10000"/>
    <n v="8620"/>
    <n v="2000"/>
    <x v="0"/>
    <s v="No"/>
    <d v="2025-11-07T00:00:00"/>
    <d v="2026-03-07T00:00:00"/>
    <d v="1899-12-30T08:31:00"/>
    <d v="1899-12-30T09:58:00"/>
    <s v="A"/>
    <s v="08:31 AM"/>
    <s v="Delayed"/>
    <s v="1 Hours 27 Minutes"/>
    <x v="1"/>
  </r>
  <r>
    <x v="807"/>
    <x v="211"/>
    <x v="1"/>
    <x v="0"/>
    <s v="Thoothukudi"/>
    <x v="1"/>
    <s v="Nandhini"/>
    <n v="40"/>
    <n v="83"/>
    <x v="0"/>
    <n v="12000"/>
    <n v="11570"/>
    <n v="2000"/>
    <x v="0"/>
    <s v="No"/>
    <d v="2025-07-15T00:00:00"/>
    <d v="2026-01-11T00:00:00"/>
    <d v="1899-12-30T09:33:00"/>
    <d v="1899-12-30T13:08:00"/>
    <s v="D"/>
    <s v="09:33 AM"/>
    <s v="Delayed"/>
    <s v="3 Hours 35 Minutes"/>
    <x v="1"/>
  </r>
  <r>
    <x v="808"/>
    <x v="230"/>
    <x v="1"/>
    <x v="0"/>
    <s v="Trichy"/>
    <x v="2"/>
    <s v="Priya"/>
    <n v="92"/>
    <n v="70"/>
    <x v="2"/>
    <n v="12000"/>
    <n v="13570"/>
    <n v="0"/>
    <x v="1"/>
    <s v="No"/>
    <d v="2025-12-09T00:00:00"/>
    <d v="2026-03-09T00:00:00"/>
    <d v="1899-12-30T09:46:00"/>
    <d v="1899-12-30T12:15:00"/>
    <s v="A"/>
    <s v="09:46 AM"/>
    <s v="On Time"/>
    <s v="2 Hours 29 Minutes"/>
    <x v="1"/>
  </r>
  <r>
    <x v="809"/>
    <x v="132"/>
    <x v="6"/>
    <x v="0"/>
    <s v="Chennai"/>
    <x v="5"/>
    <s v="Mani Prabhu"/>
    <n v="85"/>
    <n v="67"/>
    <x v="1"/>
    <n v="20000"/>
    <n v="19830"/>
    <n v="2000"/>
    <x v="0"/>
    <s v="No"/>
    <d v="2025-06-12T00:00:00"/>
    <d v="2025-09-10T00:00:00"/>
    <d v="1899-12-30T08:07:00"/>
    <d v="1899-12-30T11:45:00"/>
    <s v="B"/>
    <s v="08:07 AM"/>
    <s v="On Time"/>
    <s v="3 Hours 38 Minutes"/>
    <x v="1"/>
  </r>
  <r>
    <x v="810"/>
    <x v="13"/>
    <x v="5"/>
    <x v="1"/>
    <s v="Chennai"/>
    <x v="5"/>
    <s v="Mani Prabhu"/>
    <n v="70"/>
    <n v="91"/>
    <x v="3"/>
    <n v="12000"/>
    <n v="12980"/>
    <n v="0"/>
    <x v="1"/>
    <s v="No"/>
    <d v="2025-12-20T00:00:00"/>
    <d v="2026-06-18T00:00:00"/>
    <d v="1899-12-30T10:17:00"/>
    <d v="1899-12-30T15:11:00"/>
    <s v="C"/>
    <s v="10:17 AM"/>
    <s v="Delayed"/>
    <s v="4 Hours 54 Minutes"/>
    <x v="0"/>
  </r>
  <r>
    <x v="811"/>
    <x v="218"/>
    <x v="4"/>
    <x v="1"/>
    <s v="Madurai"/>
    <x v="0"/>
    <s v="David"/>
    <n v="50"/>
    <n v="75"/>
    <x v="0"/>
    <n v="20000"/>
    <n v="19830"/>
    <n v="2000"/>
    <x v="0"/>
    <s v="No"/>
    <d v="2025-06-26T00:00:00"/>
    <d v="2025-09-24T00:00:00"/>
    <d v="1899-12-30T09:50:00"/>
    <d v="1899-12-30T11:29:00"/>
    <s v="D"/>
    <s v="09:50 AM"/>
    <s v="On Time"/>
    <s v="1 Hours 39 Minutes"/>
    <x v="1"/>
  </r>
  <r>
    <x v="812"/>
    <x v="148"/>
    <x v="8"/>
    <x v="0"/>
    <s v="Chennai"/>
    <x v="3"/>
    <s v="Arun"/>
    <n v="95"/>
    <n v="68"/>
    <x v="2"/>
    <n v="20000"/>
    <n v="22420"/>
    <n v="0"/>
    <x v="1"/>
    <s v="No"/>
    <d v="2025-05-22T00:00:00"/>
    <d v="2025-11-18T00:00:00"/>
    <d v="1899-12-30T09:07:00"/>
    <d v="1899-12-30T10:45:00"/>
    <s v="A"/>
    <s v="09:07 AM"/>
    <s v="Delayed"/>
    <s v="1 Hours 38 Minutes"/>
    <x v="1"/>
  </r>
  <r>
    <x v="813"/>
    <x v="11"/>
    <x v="0"/>
    <x v="1"/>
    <s v="Vellore"/>
    <x v="1"/>
    <s v="Nandhini"/>
    <n v="37"/>
    <n v="61"/>
    <x v="0"/>
    <n v="15000"/>
    <n v="15930"/>
    <n v="0"/>
    <x v="1"/>
    <s v="No"/>
    <d v="2025-10-28T00:00:00"/>
    <d v="2025-11-27T00:00:00"/>
    <d v="1899-12-30T08:11:00"/>
    <d v="1899-12-30T09:16:00"/>
    <s v="D"/>
    <s v="08:11 AM"/>
    <s v="On Time"/>
    <s v="1 Hours 5 Minutes"/>
    <x v="1"/>
  </r>
  <r>
    <x v="814"/>
    <x v="110"/>
    <x v="6"/>
    <x v="1"/>
    <s v="Kanchipuram"/>
    <x v="7"/>
    <s v="Sneha"/>
    <n v="57"/>
    <n v="83"/>
    <x v="0"/>
    <n v="18000"/>
    <n v="15470"/>
    <n v="4000"/>
    <x v="0"/>
    <s v="No"/>
    <d v="2025-11-08T00:00:00"/>
    <d v="2025-12-08T00:00:00"/>
    <d v="1899-12-30T08:02:00"/>
    <d v="1899-12-30T09:06:00"/>
    <s v="D"/>
    <s v="08:02 AM"/>
    <s v="On Time"/>
    <s v="1 Hours 4 Minutes"/>
    <x v="1"/>
  </r>
  <r>
    <x v="815"/>
    <x v="24"/>
    <x v="0"/>
    <x v="1"/>
    <s v="Trichy"/>
    <x v="3"/>
    <s v="Arun"/>
    <n v="79"/>
    <n v="76"/>
    <x v="1"/>
    <n v="20000"/>
    <n v="23010"/>
    <n v="0"/>
    <x v="1"/>
    <s v="No"/>
    <d v="2025-10-01T00:00:00"/>
    <d v="2025-10-31T00:00:00"/>
    <d v="1899-12-30T10:40:00"/>
    <d v="1899-12-30T15:24:00"/>
    <s v="B"/>
    <s v="10:40 AM"/>
    <s v="On Time"/>
    <s v="4 Hours 44 Minutes"/>
    <x v="0"/>
  </r>
  <r>
    <x v="816"/>
    <x v="49"/>
    <x v="10"/>
    <x v="1"/>
    <s v="Hyderabad"/>
    <x v="7"/>
    <s v="Sneha"/>
    <n v="65"/>
    <n v="71"/>
    <x v="3"/>
    <n v="15000"/>
    <n v="13110"/>
    <n v="4000"/>
    <x v="0"/>
    <s v="No"/>
    <d v="2025-03-02T00:00:00"/>
    <d v="2025-05-31T00:00:00"/>
    <d v="1899-12-30T09:21:00"/>
    <d v="1899-12-30T11:56:00"/>
    <s v="C"/>
    <s v="09:21 AM"/>
    <s v="On Time"/>
    <s v="2 Hours 35 Minutes"/>
    <x v="1"/>
  </r>
  <r>
    <x v="817"/>
    <x v="28"/>
    <x v="3"/>
    <x v="0"/>
    <s v="Madurai"/>
    <x v="2"/>
    <s v="Priya"/>
    <n v="73"/>
    <n v="74"/>
    <x v="3"/>
    <n v="12000"/>
    <n v="8390"/>
    <n v="4000"/>
    <x v="0"/>
    <s v="No"/>
    <d v="2025-07-12T00:00:00"/>
    <d v="2025-10-10T00:00:00"/>
    <d v="1899-12-30T10:29:00"/>
    <d v="1899-12-30T12:14:00"/>
    <s v="C"/>
    <s v="10:29 AM"/>
    <s v="On Time"/>
    <s v="1 Hours 45 Minutes"/>
    <x v="0"/>
  </r>
  <r>
    <x v="818"/>
    <x v="226"/>
    <x v="2"/>
    <x v="1"/>
    <s v="Tirunelveli"/>
    <x v="2"/>
    <s v="Priya"/>
    <n v="87"/>
    <n v="64"/>
    <x v="1"/>
    <n v="20000"/>
    <n v="17830"/>
    <n v="4000"/>
    <x v="0"/>
    <s v="No"/>
    <d v="2025-08-20T00:00:00"/>
    <d v="2025-12-18T00:00:00"/>
    <d v="1899-12-30T09:06:00"/>
    <d v="1899-12-30T11:01:00"/>
    <s v="B"/>
    <s v="09:06 AM"/>
    <s v="Delayed"/>
    <s v="1 Hours 55 Minutes"/>
    <x v="1"/>
  </r>
  <r>
    <x v="819"/>
    <x v="86"/>
    <x v="7"/>
    <x v="1"/>
    <s v="Hyderabad"/>
    <x v="0"/>
    <s v="David"/>
    <n v="68"/>
    <n v="100"/>
    <x v="3"/>
    <n v="18000"/>
    <n v="16060"/>
    <n v="4000"/>
    <x v="0"/>
    <s v="No"/>
    <d v="2025-07-16T00:00:00"/>
    <d v="2025-09-14T00:00:00"/>
    <d v="1899-12-30T10:05:00"/>
    <d v="1899-12-30T13:34:00"/>
    <s v="C"/>
    <s v="10:05 AM"/>
    <s v="On Time"/>
    <s v="3 Hours 29 Minutes"/>
    <x v="0"/>
  </r>
  <r>
    <x v="820"/>
    <x v="217"/>
    <x v="10"/>
    <x v="1"/>
    <s v="Erode"/>
    <x v="6"/>
    <s v="Karthik"/>
    <n v="70"/>
    <n v="92"/>
    <x v="3"/>
    <n v="20000"/>
    <n v="17830"/>
    <n v="4000"/>
    <x v="0"/>
    <s v="No"/>
    <d v="2025-05-30T00:00:00"/>
    <d v="2025-08-28T00:00:00"/>
    <d v="1899-12-30T10:27:00"/>
    <d v="1899-12-30T12:56:00"/>
    <s v="C"/>
    <s v="10:27 AM"/>
    <s v="On Time"/>
    <s v="2 Hours 29 Minutes"/>
    <x v="0"/>
  </r>
  <r>
    <x v="821"/>
    <x v="54"/>
    <x v="8"/>
    <x v="1"/>
    <s v="Tirunelveli"/>
    <x v="0"/>
    <s v="David"/>
    <n v="38"/>
    <n v="80"/>
    <x v="0"/>
    <n v="20000"/>
    <n v="21830"/>
    <n v="0"/>
    <x v="1"/>
    <s v="No"/>
    <d v="2025-03-12T00:00:00"/>
    <d v="2025-09-08T00:00:00"/>
    <d v="1899-12-30T09:11:00"/>
    <d v="1899-12-30T13:28:00"/>
    <s v="D"/>
    <s v="09:11 AM"/>
    <s v="Delayed"/>
    <s v="4 Hours 17 Minutes"/>
    <x v="1"/>
  </r>
  <r>
    <x v="822"/>
    <x v="67"/>
    <x v="6"/>
    <x v="1"/>
    <s v="Chennai"/>
    <x v="2"/>
    <s v="Priya"/>
    <n v="53"/>
    <n v="98"/>
    <x v="0"/>
    <n v="15000"/>
    <n v="17700"/>
    <n v="0"/>
    <x v="1"/>
    <s v="No"/>
    <d v="2025-03-15T00:00:00"/>
    <d v="2025-05-14T00:00:00"/>
    <d v="1899-12-30T10:25:00"/>
    <d v="1899-12-30T14:44:00"/>
    <s v="D"/>
    <s v="10:25 AM"/>
    <s v="On Time"/>
    <s v="4 Hours 19 Minutes"/>
    <x v="0"/>
  </r>
  <r>
    <x v="823"/>
    <x v="228"/>
    <x v="10"/>
    <x v="0"/>
    <s v="Madurai"/>
    <x v="3"/>
    <s v="Arun"/>
    <n v="63"/>
    <n v="65"/>
    <x v="3"/>
    <n v="10000"/>
    <n v="10030"/>
    <n v="0"/>
    <x v="1"/>
    <s v="No"/>
    <d v="2025-06-21T00:00:00"/>
    <d v="2025-12-18T00:00:00"/>
    <d v="1899-12-30T08:08:00"/>
    <d v="1899-12-30T11:45:00"/>
    <s v="C"/>
    <s v="08:08 AM"/>
    <s v="Delayed"/>
    <s v="3 Hours 37 Minutes"/>
    <x v="1"/>
  </r>
  <r>
    <x v="824"/>
    <x v="191"/>
    <x v="7"/>
    <x v="1"/>
    <s v="Thoothukudi"/>
    <x v="1"/>
    <s v="Nandhini"/>
    <n v="82"/>
    <n v="98"/>
    <x v="1"/>
    <n v="12000"/>
    <n v="12390"/>
    <n v="0"/>
    <x v="1"/>
    <s v="No"/>
    <d v="2025-08-14T00:00:00"/>
    <d v="2026-02-10T00:00:00"/>
    <d v="1899-12-30T10:47:00"/>
    <d v="1899-12-30T12:18:00"/>
    <s v="B"/>
    <s v="10:47 AM"/>
    <s v="Delayed"/>
    <s v="1 Hours 31 Minutes"/>
    <x v="0"/>
  </r>
  <r>
    <x v="825"/>
    <x v="6"/>
    <x v="4"/>
    <x v="0"/>
    <s v="Trichy"/>
    <x v="1"/>
    <s v="Nandhini"/>
    <n v="71"/>
    <n v="88"/>
    <x v="3"/>
    <n v="12000"/>
    <n v="13570"/>
    <n v="0"/>
    <x v="1"/>
    <s v="No"/>
    <d v="2025-05-28T00:00:00"/>
    <d v="2025-08-26T00:00:00"/>
    <d v="1899-12-30T10:59:00"/>
    <d v="1899-12-30T14:51:00"/>
    <s v="C"/>
    <s v="10:59 AM"/>
    <s v="On Time"/>
    <s v="3 Hours 52 Minutes"/>
    <x v="0"/>
  </r>
  <r>
    <x v="826"/>
    <x v="223"/>
    <x v="3"/>
    <x v="1"/>
    <s v="Kanchipuram"/>
    <x v="3"/>
    <s v="Arun"/>
    <n v="99"/>
    <n v="84"/>
    <x v="2"/>
    <n v="10000"/>
    <n v="10030"/>
    <n v="0"/>
    <x v="1"/>
    <s v="No"/>
    <d v="2025-05-19T00:00:00"/>
    <d v="2025-06-18T00:00:00"/>
    <d v="1899-12-30T08:57:00"/>
    <d v="1899-12-30T11:42:00"/>
    <s v="A"/>
    <s v="08:57 AM"/>
    <s v="On Time"/>
    <s v="2 Hours 45 Minutes"/>
    <x v="1"/>
  </r>
  <r>
    <x v="827"/>
    <x v="151"/>
    <x v="2"/>
    <x v="1"/>
    <s v="Chennai"/>
    <x v="3"/>
    <s v="Arun"/>
    <n v="95"/>
    <n v="67"/>
    <x v="2"/>
    <n v="10000"/>
    <n v="7800"/>
    <n v="4000"/>
    <x v="0"/>
    <s v="No"/>
    <d v="2025-01-15T00:00:00"/>
    <d v="2025-04-15T00:00:00"/>
    <d v="1899-12-30T10:19:00"/>
    <d v="1899-12-30T13:58:00"/>
    <s v="A"/>
    <s v="10:19 AM"/>
    <s v="On Time"/>
    <s v="3 Hours 39 Minutes"/>
    <x v="0"/>
  </r>
  <r>
    <x v="828"/>
    <x v="60"/>
    <x v="2"/>
    <x v="1"/>
    <s v="Trichy"/>
    <x v="3"/>
    <s v="Arun"/>
    <n v="79"/>
    <n v="61"/>
    <x v="1"/>
    <n v="18000"/>
    <n v="16650"/>
    <n v="4000"/>
    <x v="0"/>
    <s v="No"/>
    <d v="2025-07-23T00:00:00"/>
    <d v="2026-01-19T00:00:00"/>
    <d v="1899-12-30T08:56:00"/>
    <d v="1899-12-30T12:51:00"/>
    <s v="B"/>
    <s v="08:56 AM"/>
    <s v="Delayed"/>
    <s v="3 Hours 55 Minutes"/>
    <x v="1"/>
  </r>
  <r>
    <x v="829"/>
    <x v="146"/>
    <x v="6"/>
    <x v="0"/>
    <s v="Vellore"/>
    <x v="0"/>
    <s v="David"/>
    <n v="63"/>
    <n v="65"/>
    <x v="3"/>
    <n v="10000"/>
    <n v="7800"/>
    <n v="4000"/>
    <x v="0"/>
    <s v="Yes"/>
    <d v="2025-01-26T00:00:00"/>
    <d v="2025-04-26T00:00:00"/>
    <d v="1899-12-30T09:29:00"/>
    <d v="1899-12-30T13:07:00"/>
    <s v="C"/>
    <s v="09:29 AM"/>
    <s v="On Time"/>
    <s v="3 Hours 38 Minutes"/>
    <x v="1"/>
  </r>
  <r>
    <x v="830"/>
    <x v="3"/>
    <x v="9"/>
    <x v="1"/>
    <s v="Erode"/>
    <x v="2"/>
    <s v="Priya"/>
    <n v="80"/>
    <n v="73"/>
    <x v="1"/>
    <n v="20000"/>
    <n v="23010"/>
    <n v="0"/>
    <x v="1"/>
    <s v="No"/>
    <d v="2025-03-03T00:00:00"/>
    <d v="2025-08-30T00:00:00"/>
    <d v="1899-12-30T09:31:00"/>
    <d v="1899-12-30T10:42:00"/>
    <s v="B"/>
    <s v="09:31 AM"/>
    <s v="Delayed"/>
    <s v="1 Hours 11 Minutes"/>
    <x v="1"/>
  </r>
  <r>
    <x v="831"/>
    <x v="108"/>
    <x v="2"/>
    <x v="0"/>
    <s v="Hyderabad"/>
    <x v="1"/>
    <s v="Nandhini"/>
    <n v="70"/>
    <n v="83"/>
    <x v="3"/>
    <n v="10000"/>
    <n v="10030"/>
    <n v="0"/>
    <x v="1"/>
    <s v="No"/>
    <d v="2025-09-20T00:00:00"/>
    <d v="2026-01-18T00:00:00"/>
    <d v="1899-12-30T08:20:00"/>
    <d v="1899-12-30T12:31:00"/>
    <s v="C"/>
    <s v="08:20 AM"/>
    <s v="Delayed"/>
    <s v="4 Hours 11 Minutes"/>
    <x v="1"/>
  </r>
  <r>
    <x v="832"/>
    <x v="213"/>
    <x v="2"/>
    <x v="1"/>
    <s v="Madurai"/>
    <x v="5"/>
    <s v="Mani Prabhu"/>
    <n v="86"/>
    <n v="100"/>
    <x v="1"/>
    <n v="15000"/>
    <n v="15110"/>
    <n v="2000"/>
    <x v="0"/>
    <s v="No"/>
    <d v="2025-09-15T00:00:00"/>
    <d v="2025-10-15T00:00:00"/>
    <d v="1899-12-30T11:00:00"/>
    <d v="1899-12-30T15:01:00"/>
    <s v="B"/>
    <s v="11:00 AM"/>
    <s v="On Time"/>
    <s v="4 Hours 1 Minutes"/>
    <x v="0"/>
  </r>
  <r>
    <x v="833"/>
    <x v="76"/>
    <x v="0"/>
    <x v="1"/>
    <s v="Chennai"/>
    <x v="1"/>
    <s v="Nandhini"/>
    <n v="76"/>
    <n v="71"/>
    <x v="1"/>
    <n v="18000"/>
    <n v="21240"/>
    <n v="0"/>
    <x v="1"/>
    <s v="No"/>
    <d v="2025-09-29T00:00:00"/>
    <d v="2025-10-29T00:00:00"/>
    <d v="1899-12-30T11:00:00"/>
    <d v="1899-12-30T14:22:00"/>
    <s v="B"/>
    <s v="11:00 AM"/>
    <s v="On Time"/>
    <s v="3 Hours 22 Minutes"/>
    <x v="0"/>
  </r>
  <r>
    <x v="834"/>
    <x v="194"/>
    <x v="8"/>
    <x v="0"/>
    <s v="Madurai"/>
    <x v="1"/>
    <s v="Nandhini"/>
    <n v="35"/>
    <n v="100"/>
    <x v="0"/>
    <n v="10000"/>
    <n v="7800"/>
    <n v="4000"/>
    <x v="0"/>
    <s v="No"/>
    <d v="2025-07-09T00:00:00"/>
    <d v="2026-01-05T00:00:00"/>
    <d v="1899-12-30T08:25:00"/>
    <d v="1899-12-30T12:17:00"/>
    <s v="D"/>
    <s v="08:25 AM"/>
    <s v="Delayed"/>
    <s v="3 Hours 52 Minutes"/>
    <x v="1"/>
  </r>
  <r>
    <x v="835"/>
    <x v="42"/>
    <x v="6"/>
    <x v="1"/>
    <s v="Bengaluru"/>
    <x v="6"/>
    <s v="Karthik"/>
    <n v="41"/>
    <n v="67"/>
    <x v="0"/>
    <n v="18000"/>
    <n v="18650"/>
    <n v="2000"/>
    <x v="0"/>
    <s v="No"/>
    <d v="2025-07-23T00:00:00"/>
    <d v="2025-11-20T00:00:00"/>
    <d v="1899-12-30T09:17:00"/>
    <d v="1899-12-30T12:21:00"/>
    <s v="D"/>
    <s v="09:17 AM"/>
    <s v="Delayed"/>
    <s v="3 Hours 4 Minutes"/>
    <x v="1"/>
  </r>
  <r>
    <x v="836"/>
    <x v="15"/>
    <x v="0"/>
    <x v="1"/>
    <s v="Madurai"/>
    <x v="0"/>
    <s v="David"/>
    <n v="85"/>
    <n v="63"/>
    <x v="1"/>
    <n v="15000"/>
    <n v="12520"/>
    <n v="4000"/>
    <x v="0"/>
    <s v="Yes"/>
    <d v="2025-03-14T00:00:00"/>
    <d v="2025-09-10T00:00:00"/>
    <d v="1899-12-30T10:12:00"/>
    <d v="1899-12-30T12:35:00"/>
    <s v="B"/>
    <s v="10:12 AM"/>
    <s v="Delayed"/>
    <s v="2 Hours 23 Minutes"/>
    <x v="0"/>
  </r>
  <r>
    <x v="837"/>
    <x v="203"/>
    <x v="1"/>
    <x v="0"/>
    <s v="Madurai"/>
    <x v="5"/>
    <s v="Mani Prabhu"/>
    <n v="81"/>
    <n v="62"/>
    <x v="1"/>
    <n v="10000"/>
    <n v="9210"/>
    <n v="2000"/>
    <x v="0"/>
    <s v="No"/>
    <d v="2025-07-13T00:00:00"/>
    <d v="2025-10-11T00:00:00"/>
    <d v="1899-12-30T08:56:00"/>
    <d v="1899-12-30T11:28:00"/>
    <s v="B"/>
    <s v="08:56 AM"/>
    <s v="On Time"/>
    <s v="2 Hours 32 Minutes"/>
    <x v="1"/>
  </r>
  <r>
    <x v="838"/>
    <x v="75"/>
    <x v="10"/>
    <x v="1"/>
    <s v="Kanchipuram"/>
    <x v="6"/>
    <s v="Karthik"/>
    <n v="86"/>
    <n v="61"/>
    <x v="1"/>
    <n v="15000"/>
    <n v="17110"/>
    <n v="0"/>
    <x v="1"/>
    <s v="No"/>
    <d v="2025-08-06T00:00:00"/>
    <d v="2026-02-02T00:00:00"/>
    <d v="1899-12-30T09:52:00"/>
    <d v="1899-12-30T13:34:00"/>
    <s v="B"/>
    <s v="09:52 AM"/>
    <s v="Delayed"/>
    <s v="3 Hours 42 Minutes"/>
    <x v="1"/>
  </r>
  <r>
    <x v="839"/>
    <x v="215"/>
    <x v="8"/>
    <x v="1"/>
    <s v="Salem"/>
    <x v="2"/>
    <s v="Priya"/>
    <n v="75"/>
    <n v="79"/>
    <x v="1"/>
    <n v="15000"/>
    <n v="13930"/>
    <n v="2000"/>
    <x v="0"/>
    <s v="No"/>
    <d v="2025-02-14T00:00:00"/>
    <d v="2025-04-15T00:00:00"/>
    <d v="1899-12-30T09:55:00"/>
    <d v="1899-12-30T12:05:00"/>
    <s v="B"/>
    <s v="09:55 AM"/>
    <s v="On Time"/>
    <s v="2 Hours 10 Minutes"/>
    <x v="1"/>
  </r>
  <r>
    <x v="840"/>
    <x v="140"/>
    <x v="10"/>
    <x v="0"/>
    <s v="Madurai"/>
    <x v="4"/>
    <s v="John"/>
    <n v="100"/>
    <n v="77"/>
    <x v="2"/>
    <n v="10000"/>
    <n v="10620"/>
    <n v="0"/>
    <x v="1"/>
    <s v="No"/>
    <d v="2025-05-20T00:00:00"/>
    <d v="2025-07-19T00:00:00"/>
    <d v="1899-12-30T09:13:00"/>
    <d v="1899-12-30T10:15:00"/>
    <s v="A"/>
    <s v="09:13 AM"/>
    <s v="On Time"/>
    <s v="1 Hours 2 Minutes"/>
    <x v="1"/>
  </r>
  <r>
    <x v="841"/>
    <x v="107"/>
    <x v="1"/>
    <x v="1"/>
    <s v="Tirunelveli"/>
    <x v="4"/>
    <s v="John"/>
    <n v="89"/>
    <n v="91"/>
    <x v="1"/>
    <n v="12000"/>
    <n v="9570"/>
    <n v="4000"/>
    <x v="0"/>
    <s v="No"/>
    <d v="2025-12-21T00:00:00"/>
    <d v="2026-04-20T00:00:00"/>
    <d v="1899-12-30T08:32:00"/>
    <d v="1899-12-30T10:39:00"/>
    <s v="B"/>
    <s v="08:32 AM"/>
    <s v="Delayed"/>
    <s v="2 Hours 7 Minutes"/>
    <x v="1"/>
  </r>
  <r>
    <x v="842"/>
    <x v="121"/>
    <x v="2"/>
    <x v="0"/>
    <s v="Coimbatore"/>
    <x v="5"/>
    <s v="Mani Prabhu"/>
    <n v="75"/>
    <n v="79"/>
    <x v="1"/>
    <n v="18000"/>
    <n v="18060"/>
    <n v="2000"/>
    <x v="0"/>
    <s v="No"/>
    <d v="2025-03-09T00:00:00"/>
    <d v="2025-09-05T00:00:00"/>
    <d v="1899-12-30T09:44:00"/>
    <d v="1899-12-30T14:38:00"/>
    <s v="B"/>
    <s v="09:44 AM"/>
    <s v="Delayed"/>
    <s v="4 Hours 54 Minutes"/>
    <x v="1"/>
  </r>
  <r>
    <x v="843"/>
    <x v="96"/>
    <x v="0"/>
    <x v="1"/>
    <s v="Erode"/>
    <x v="7"/>
    <s v="Sneha"/>
    <n v="75"/>
    <n v="76"/>
    <x v="1"/>
    <n v="10000"/>
    <n v="8030"/>
    <n v="2000"/>
    <x v="0"/>
    <s v="No"/>
    <d v="2025-02-11T00:00:00"/>
    <d v="2025-06-11T00:00:00"/>
    <d v="1899-12-30T08:17:00"/>
    <d v="1899-12-30T09:42:00"/>
    <s v="B"/>
    <s v="08:17 AM"/>
    <s v="Delayed"/>
    <s v="1 Hours 25 Minutes"/>
    <x v="1"/>
  </r>
  <r>
    <x v="844"/>
    <x v="129"/>
    <x v="4"/>
    <x v="1"/>
    <s v="Hyderabad"/>
    <x v="0"/>
    <s v="David"/>
    <n v="81"/>
    <n v="84"/>
    <x v="1"/>
    <n v="18000"/>
    <n v="18060"/>
    <n v="2000"/>
    <x v="0"/>
    <s v="No"/>
    <d v="2025-05-26T00:00:00"/>
    <d v="2025-07-25T00:00:00"/>
    <d v="1899-12-30T08:20:00"/>
    <d v="1899-12-30T09:28:00"/>
    <s v="B"/>
    <s v="08:20 AM"/>
    <s v="On Time"/>
    <s v="1 Hours 8 Minutes"/>
    <x v="1"/>
  </r>
  <r>
    <x v="845"/>
    <x v="130"/>
    <x v="1"/>
    <x v="1"/>
    <s v="Trichy"/>
    <x v="3"/>
    <s v="Arun"/>
    <n v="71"/>
    <n v="78"/>
    <x v="3"/>
    <n v="20000"/>
    <n v="19600"/>
    <n v="4000"/>
    <x v="0"/>
    <s v="No"/>
    <d v="2025-01-20T00:00:00"/>
    <d v="2025-04-20T00:00:00"/>
    <d v="1899-12-30T10:11:00"/>
    <d v="1899-12-30T14:16:00"/>
    <s v="C"/>
    <s v="10:11 AM"/>
    <s v="On Time"/>
    <s v="4 Hours 5 Minutes"/>
    <x v="0"/>
  </r>
  <r>
    <x v="846"/>
    <x v="194"/>
    <x v="10"/>
    <x v="1"/>
    <s v="Salem"/>
    <x v="0"/>
    <s v="David"/>
    <n v="86"/>
    <n v="96"/>
    <x v="1"/>
    <n v="15000"/>
    <n v="15930"/>
    <n v="0"/>
    <x v="1"/>
    <s v="No"/>
    <d v="2025-05-21T00:00:00"/>
    <d v="2025-08-19T00:00:00"/>
    <d v="1899-12-30T08:23:00"/>
    <d v="1899-12-30T10:15:00"/>
    <s v="B"/>
    <s v="08:23 AM"/>
    <s v="On Time"/>
    <s v="1 Hours 52 Minutes"/>
    <x v="1"/>
  </r>
  <r>
    <x v="847"/>
    <x v="165"/>
    <x v="10"/>
    <x v="0"/>
    <s v="Madurai"/>
    <x v="1"/>
    <s v="Nandhini"/>
    <n v="62"/>
    <n v="68"/>
    <x v="3"/>
    <n v="20000"/>
    <n v="18420"/>
    <n v="4000"/>
    <x v="0"/>
    <s v="Yes"/>
    <d v="2025-10-16T00:00:00"/>
    <d v="2026-01-14T00:00:00"/>
    <d v="1899-12-30T09:40:00"/>
    <d v="1899-12-30T11:26:00"/>
    <s v="C"/>
    <s v="09:40 AM"/>
    <s v="On Time"/>
    <s v="1 Hours 46 Minutes"/>
    <x v="1"/>
  </r>
  <r>
    <x v="848"/>
    <x v="8"/>
    <x v="0"/>
    <x v="0"/>
    <s v="Vellore"/>
    <x v="4"/>
    <s v="John"/>
    <n v="88"/>
    <n v="76"/>
    <x v="1"/>
    <n v="18000"/>
    <n v="17470"/>
    <n v="2000"/>
    <x v="0"/>
    <s v="No"/>
    <d v="2025-04-09T00:00:00"/>
    <d v="2025-05-09T00:00:00"/>
    <d v="1899-12-30T08:21:00"/>
    <d v="1899-12-30T12:51:00"/>
    <s v="B"/>
    <s v="08:21 AM"/>
    <s v="On Time"/>
    <s v="4 Hours 30 Minutes"/>
    <x v="1"/>
  </r>
  <r>
    <x v="849"/>
    <x v="142"/>
    <x v="1"/>
    <x v="1"/>
    <s v="Trichy"/>
    <x v="7"/>
    <s v="Sneha"/>
    <n v="82"/>
    <n v="89"/>
    <x v="1"/>
    <n v="20000"/>
    <n v="17830"/>
    <n v="4000"/>
    <x v="0"/>
    <s v="No"/>
    <d v="2025-06-28T00:00:00"/>
    <d v="2025-10-26T00:00:00"/>
    <d v="1899-12-30T10:19:00"/>
    <d v="1899-12-30T13:27:00"/>
    <s v="B"/>
    <s v="10:19 AM"/>
    <s v="Delayed"/>
    <s v="3 Hours 8 Minutes"/>
    <x v="0"/>
  </r>
  <r>
    <x v="850"/>
    <x v="207"/>
    <x v="3"/>
    <x v="0"/>
    <s v="Coimbatore"/>
    <x v="3"/>
    <s v="Arun"/>
    <n v="40"/>
    <n v="73"/>
    <x v="0"/>
    <n v="15000"/>
    <n v="15930"/>
    <n v="0"/>
    <x v="1"/>
    <s v="No"/>
    <d v="2025-08-18T00:00:00"/>
    <d v="2026-02-14T00:00:00"/>
    <d v="1899-12-30T08:37:00"/>
    <d v="1899-12-30T13:02:00"/>
    <s v="D"/>
    <s v="08:37 AM"/>
    <s v="Delayed"/>
    <s v="4 Hours 25 Minutes"/>
    <x v="1"/>
  </r>
  <r>
    <x v="851"/>
    <x v="205"/>
    <x v="7"/>
    <x v="1"/>
    <s v="Kanchipuram"/>
    <x v="3"/>
    <s v="Arun"/>
    <n v="61"/>
    <n v="82"/>
    <x v="3"/>
    <n v="20000"/>
    <n v="21600"/>
    <n v="2000"/>
    <x v="0"/>
    <s v="No"/>
    <d v="2025-04-21T00:00:00"/>
    <d v="2025-08-19T00:00:00"/>
    <d v="1899-12-30T08:56:00"/>
    <d v="1899-12-30T13:19:00"/>
    <s v="C"/>
    <s v="08:56 AM"/>
    <s v="Delayed"/>
    <s v="4 Hours 23 Minutes"/>
    <x v="1"/>
  </r>
  <r>
    <x v="852"/>
    <x v="44"/>
    <x v="7"/>
    <x v="0"/>
    <s v="Chennai"/>
    <x v="6"/>
    <s v="Karthik"/>
    <n v="81"/>
    <n v="94"/>
    <x v="1"/>
    <n v="10000"/>
    <n v="10030"/>
    <n v="0"/>
    <x v="1"/>
    <s v="No"/>
    <d v="2025-08-19T00:00:00"/>
    <d v="2025-09-18T00:00:00"/>
    <d v="1899-12-30T08:29:00"/>
    <d v="1899-12-30T10:38:00"/>
    <s v="B"/>
    <s v="08:29 AM"/>
    <s v="On Time"/>
    <s v="2 Hours 9 Minutes"/>
    <x v="1"/>
  </r>
  <r>
    <x v="853"/>
    <x v="215"/>
    <x v="7"/>
    <x v="0"/>
    <s v="Thoothukudi"/>
    <x v="2"/>
    <s v="Priya"/>
    <n v="44"/>
    <n v="95"/>
    <x v="0"/>
    <n v="12000"/>
    <n v="12160"/>
    <n v="2000"/>
    <x v="0"/>
    <s v="No"/>
    <d v="2025-07-29T00:00:00"/>
    <d v="2026-01-25T00:00:00"/>
    <d v="1899-12-30T09:58:00"/>
    <d v="1899-12-30T14:06:00"/>
    <s v="D"/>
    <s v="09:58 AM"/>
    <s v="Delayed"/>
    <s v="4 Hours 8 Minutes"/>
    <x v="1"/>
  </r>
  <r>
    <x v="854"/>
    <x v="206"/>
    <x v="0"/>
    <x v="0"/>
    <s v="Coimbatore"/>
    <x v="0"/>
    <s v="David"/>
    <n v="75"/>
    <n v="84"/>
    <x v="1"/>
    <n v="12000"/>
    <n v="10160"/>
    <n v="4000"/>
    <x v="0"/>
    <s v="No"/>
    <d v="2025-10-09T00:00:00"/>
    <d v="2026-01-07T00:00:00"/>
    <d v="1899-12-30T09:52:00"/>
    <d v="1899-12-30T11:53:00"/>
    <s v="B"/>
    <s v="09:52 AM"/>
    <s v="On Time"/>
    <s v="2 Hours 1 Minutes"/>
    <x v="1"/>
  </r>
  <r>
    <x v="855"/>
    <x v="163"/>
    <x v="8"/>
    <x v="1"/>
    <s v="Coimbatore"/>
    <x v="5"/>
    <s v="Mani Prabhu"/>
    <n v="87"/>
    <n v="82"/>
    <x v="1"/>
    <n v="18000"/>
    <n v="18650"/>
    <n v="2000"/>
    <x v="0"/>
    <s v="No"/>
    <d v="2025-07-10T00:00:00"/>
    <d v="2025-09-08T00:00:00"/>
    <d v="1899-12-30T09:12:00"/>
    <d v="1899-12-30T10:35:00"/>
    <s v="B"/>
    <s v="09:12 AM"/>
    <s v="On Time"/>
    <s v="1 Hours 23 Minutes"/>
    <x v="1"/>
  </r>
  <r>
    <x v="856"/>
    <x v="232"/>
    <x v="6"/>
    <x v="0"/>
    <s v="Salem"/>
    <x v="0"/>
    <s v="David"/>
    <n v="40"/>
    <n v="88"/>
    <x v="0"/>
    <n v="15000"/>
    <n v="16520"/>
    <n v="0"/>
    <x v="1"/>
    <s v="No"/>
    <d v="2025-07-30T00:00:00"/>
    <d v="2025-09-28T00:00:00"/>
    <d v="1899-12-30T09:50:00"/>
    <d v="1899-12-30T14:43:00"/>
    <s v="D"/>
    <s v="09:50 AM"/>
    <s v="On Time"/>
    <s v="4 Hours 53 Minutes"/>
    <x v="1"/>
  </r>
  <r>
    <x v="857"/>
    <x v="226"/>
    <x v="9"/>
    <x v="1"/>
    <s v="Trichy"/>
    <x v="3"/>
    <s v="Arun"/>
    <n v="90"/>
    <n v="86"/>
    <x v="2"/>
    <n v="20000"/>
    <n v="17830"/>
    <n v="4000"/>
    <x v="0"/>
    <s v="No"/>
    <d v="2025-03-15T00:00:00"/>
    <d v="2025-09-11T00:00:00"/>
    <d v="1899-12-30T10:17:00"/>
    <d v="1899-12-30T13:09:00"/>
    <s v="A"/>
    <s v="10:17 AM"/>
    <s v="Delayed"/>
    <s v="2 Hours 52 Minutes"/>
    <x v="0"/>
  </r>
  <r>
    <x v="858"/>
    <x v="48"/>
    <x v="9"/>
    <x v="1"/>
    <s v="Kanchipuram"/>
    <x v="2"/>
    <s v="Priya"/>
    <n v="87"/>
    <n v="75"/>
    <x v="1"/>
    <n v="12000"/>
    <n v="13570"/>
    <n v="0"/>
    <x v="1"/>
    <s v="No"/>
    <d v="2025-12-08T00:00:00"/>
    <d v="2026-02-06T00:00:00"/>
    <d v="1899-12-30T10:14:00"/>
    <d v="1899-12-30T12:01:00"/>
    <s v="B"/>
    <s v="10:14 AM"/>
    <s v="On Time"/>
    <s v="1 Hours 47 Minutes"/>
    <x v="0"/>
  </r>
  <r>
    <x v="859"/>
    <x v="163"/>
    <x v="1"/>
    <x v="1"/>
    <s v="Erode"/>
    <x v="5"/>
    <s v="Mani Prabhu"/>
    <n v="51"/>
    <n v="92"/>
    <x v="0"/>
    <n v="12000"/>
    <n v="9570"/>
    <n v="4000"/>
    <x v="0"/>
    <s v="No"/>
    <d v="2025-02-08T00:00:00"/>
    <d v="2025-03-10T00:00:00"/>
    <d v="1899-12-30T10:52:00"/>
    <d v="1899-12-30T12:37:00"/>
    <s v="D"/>
    <s v="10:52 AM"/>
    <s v="On Time"/>
    <s v="1 Hours 45 Minutes"/>
    <x v="0"/>
  </r>
  <r>
    <x v="860"/>
    <x v="42"/>
    <x v="1"/>
    <x v="0"/>
    <s v="Salem"/>
    <x v="0"/>
    <s v="David"/>
    <n v="60"/>
    <n v="75"/>
    <x v="3"/>
    <n v="12000"/>
    <n v="8980"/>
    <n v="4000"/>
    <x v="0"/>
    <s v="No"/>
    <d v="2025-02-27T00:00:00"/>
    <d v="2025-04-28T00:00:00"/>
    <d v="1899-12-30T10:06:00"/>
    <d v="1899-12-30T14:32:00"/>
    <s v="C"/>
    <s v="10:06 AM"/>
    <s v="On Time"/>
    <s v="4 Hours 26 Minutes"/>
    <x v="0"/>
  </r>
  <r>
    <x v="861"/>
    <x v="95"/>
    <x v="7"/>
    <x v="1"/>
    <s v="Chennai"/>
    <x v="3"/>
    <s v="Arun"/>
    <n v="40"/>
    <n v="69"/>
    <x v="0"/>
    <n v="18000"/>
    <n v="15470"/>
    <n v="4000"/>
    <x v="0"/>
    <s v="No"/>
    <d v="2025-05-05T00:00:00"/>
    <d v="2025-11-01T00:00:00"/>
    <d v="1899-12-30T10:30:00"/>
    <d v="1899-12-30T12:49:00"/>
    <s v="D"/>
    <s v="10:30 AM"/>
    <s v="Delayed"/>
    <s v="2 Hours 19 Minutes"/>
    <x v="0"/>
  </r>
  <r>
    <x v="862"/>
    <x v="84"/>
    <x v="2"/>
    <x v="0"/>
    <s v="Kanchipuram"/>
    <x v="1"/>
    <s v="Nandhini"/>
    <n v="81"/>
    <n v="100"/>
    <x v="1"/>
    <n v="10000"/>
    <n v="9210"/>
    <n v="2000"/>
    <x v="0"/>
    <s v="No"/>
    <d v="2025-02-06T00:00:00"/>
    <d v="2025-04-07T00:00:00"/>
    <d v="1899-12-30T09:01:00"/>
    <d v="1899-12-30T10:23:00"/>
    <s v="B"/>
    <s v="09:01 AM"/>
    <s v="On Time"/>
    <s v="1 Hours 22 Minutes"/>
    <x v="1"/>
  </r>
  <r>
    <x v="863"/>
    <x v="152"/>
    <x v="6"/>
    <x v="0"/>
    <s v="Thoothukudi"/>
    <x v="3"/>
    <s v="Arun"/>
    <n v="96"/>
    <n v="74"/>
    <x v="2"/>
    <n v="20000"/>
    <n v="18420"/>
    <n v="4000"/>
    <x v="0"/>
    <s v="No"/>
    <d v="2025-03-26T00:00:00"/>
    <d v="2025-05-25T00:00:00"/>
    <d v="1899-12-30T09:50:00"/>
    <d v="1899-12-30T11:36:00"/>
    <s v="A"/>
    <s v="09:50 AM"/>
    <s v="On Time"/>
    <s v="1 Hours 46 Minutes"/>
    <x v="1"/>
  </r>
  <r>
    <x v="864"/>
    <x v="74"/>
    <x v="8"/>
    <x v="1"/>
    <s v="Kanchipuram"/>
    <x v="0"/>
    <s v="David"/>
    <n v="94"/>
    <n v="60"/>
    <x v="2"/>
    <n v="12000"/>
    <n v="8390"/>
    <n v="4000"/>
    <x v="0"/>
    <s v="No"/>
    <d v="2025-02-05T00:00:00"/>
    <d v="2025-03-07T00:00:00"/>
    <d v="1899-12-30T08:15:00"/>
    <d v="1899-12-30T10:51:00"/>
    <s v="A"/>
    <s v="08:15 AM"/>
    <s v="On Time"/>
    <s v="2 Hours 36 Minutes"/>
    <x v="1"/>
  </r>
  <r>
    <x v="865"/>
    <x v="197"/>
    <x v="2"/>
    <x v="1"/>
    <s v="Vellore"/>
    <x v="5"/>
    <s v="Mani Prabhu"/>
    <n v="77"/>
    <n v="63"/>
    <x v="1"/>
    <n v="10000"/>
    <n v="11210"/>
    <n v="0"/>
    <x v="1"/>
    <s v="Yes"/>
    <d v="2025-05-28T00:00:00"/>
    <d v="2025-06-27T00:00:00"/>
    <d v="1899-12-30T09:45:00"/>
    <d v="1899-12-30T13:39:00"/>
    <s v="B"/>
    <s v="09:45 AM"/>
    <s v="On Time"/>
    <s v="3 Hours 54 Minutes"/>
    <x v="1"/>
  </r>
  <r>
    <x v="866"/>
    <x v="69"/>
    <x v="6"/>
    <x v="1"/>
    <s v="Coimbatore"/>
    <x v="5"/>
    <s v="Mani Prabhu"/>
    <n v="45"/>
    <n v="94"/>
    <x v="0"/>
    <n v="12000"/>
    <n v="12390"/>
    <n v="0"/>
    <x v="1"/>
    <s v="No"/>
    <d v="2025-12-26T00:00:00"/>
    <d v="2026-01-25T00:00:00"/>
    <d v="1899-12-30T08:15:00"/>
    <d v="1899-12-30T10:06:00"/>
    <s v="D"/>
    <s v="08:15 AM"/>
    <s v="On Time"/>
    <s v="1 Hours 51 Minutes"/>
    <x v="1"/>
  </r>
  <r>
    <x v="867"/>
    <x v="199"/>
    <x v="5"/>
    <x v="1"/>
    <s v="Kanchipuram"/>
    <x v="5"/>
    <s v="Mani Prabhu"/>
    <n v="89"/>
    <n v="61"/>
    <x v="1"/>
    <n v="15000"/>
    <n v="15930"/>
    <n v="0"/>
    <x v="1"/>
    <s v="Yes"/>
    <d v="2025-05-19T00:00:00"/>
    <d v="2025-08-17T00:00:00"/>
    <d v="1899-12-30T09:48:00"/>
    <d v="1899-12-30T11:23:00"/>
    <s v="B"/>
    <s v="09:48 AM"/>
    <s v="On Time"/>
    <s v="1 Hours 35 Minutes"/>
    <x v="1"/>
  </r>
  <r>
    <x v="868"/>
    <x v="146"/>
    <x v="1"/>
    <x v="0"/>
    <s v="Chennai"/>
    <x v="4"/>
    <s v="John"/>
    <n v="69"/>
    <n v="91"/>
    <x v="3"/>
    <n v="20000"/>
    <n v="22420"/>
    <n v="0"/>
    <x v="1"/>
    <s v="No"/>
    <d v="2025-01-11T00:00:00"/>
    <d v="2025-07-10T00:00:00"/>
    <d v="1899-12-30T08:34:00"/>
    <d v="1899-12-30T12:40:00"/>
    <s v="C"/>
    <s v="08:34 AM"/>
    <s v="Delayed"/>
    <s v="4 Hours 6 Minutes"/>
    <x v="1"/>
  </r>
  <r>
    <x v="869"/>
    <x v="88"/>
    <x v="10"/>
    <x v="1"/>
    <s v="Salem"/>
    <x v="3"/>
    <s v="Arun"/>
    <n v="62"/>
    <n v="93"/>
    <x v="3"/>
    <n v="12000"/>
    <n v="11570"/>
    <n v="2000"/>
    <x v="0"/>
    <s v="No"/>
    <d v="2025-11-12T00:00:00"/>
    <d v="2026-05-11T00:00:00"/>
    <d v="1899-12-30T08:06:00"/>
    <d v="1899-12-30T10:54:00"/>
    <s v="C"/>
    <s v="08:06 AM"/>
    <s v="Delayed"/>
    <s v="2 Hours 48 Minutes"/>
    <x v="1"/>
  </r>
  <r>
    <x v="870"/>
    <x v="100"/>
    <x v="0"/>
    <x v="1"/>
    <s v="Bengaluru"/>
    <x v="1"/>
    <s v="Nandhini"/>
    <n v="62"/>
    <n v="60"/>
    <x v="3"/>
    <n v="15000"/>
    <n v="13700"/>
    <n v="4000"/>
    <x v="0"/>
    <s v="Yes"/>
    <d v="2025-02-19T00:00:00"/>
    <d v="2025-08-18T00:00:00"/>
    <d v="1899-12-30T08:53:00"/>
    <d v="1899-12-30T09:57:00"/>
    <s v="C"/>
    <s v="08:53 AM"/>
    <s v="Delayed"/>
    <s v="1 Hours 4 Minutes"/>
    <x v="1"/>
  </r>
  <r>
    <x v="871"/>
    <x v="54"/>
    <x v="8"/>
    <x v="0"/>
    <s v="Vellore"/>
    <x v="5"/>
    <s v="Mani Prabhu"/>
    <n v="97"/>
    <n v="96"/>
    <x v="2"/>
    <n v="15000"/>
    <n v="11930"/>
    <n v="4000"/>
    <x v="0"/>
    <s v="No"/>
    <d v="2025-09-01T00:00:00"/>
    <d v="2026-02-28T00:00:00"/>
    <d v="1899-12-30T09:49:00"/>
    <d v="1899-12-30T14:06:00"/>
    <s v="A"/>
    <s v="09:49 AM"/>
    <s v="Delayed"/>
    <s v="4 Hours 17 Minutes"/>
    <x v="1"/>
  </r>
  <r>
    <x v="872"/>
    <x v="44"/>
    <x v="0"/>
    <x v="0"/>
    <s v="Madurai"/>
    <x v="6"/>
    <s v="Karthik"/>
    <n v="37"/>
    <n v="68"/>
    <x v="0"/>
    <n v="18000"/>
    <n v="19240"/>
    <n v="2000"/>
    <x v="0"/>
    <s v="Yes"/>
    <d v="2025-04-12T00:00:00"/>
    <d v="2025-08-10T00:00:00"/>
    <d v="1899-12-30T08:55:00"/>
    <d v="1899-12-30T13:38:00"/>
    <s v="D"/>
    <s v="08:55 AM"/>
    <s v="Delayed"/>
    <s v="4 Hours 43 Minutes"/>
    <x v="1"/>
  </r>
  <r>
    <x v="873"/>
    <x v="230"/>
    <x v="3"/>
    <x v="0"/>
    <s v="Bengaluru"/>
    <x v="4"/>
    <s v="John"/>
    <n v="48"/>
    <n v="61"/>
    <x v="0"/>
    <n v="12000"/>
    <n v="10160"/>
    <n v="4000"/>
    <x v="0"/>
    <s v="No"/>
    <d v="2025-03-20T00:00:00"/>
    <d v="2025-04-19T00:00:00"/>
    <d v="1899-12-30T10:46:00"/>
    <d v="1899-12-30T14:36:00"/>
    <s v="D"/>
    <s v="10:46 AM"/>
    <s v="On Time"/>
    <s v="3 Hours 50 Minutes"/>
    <x v="0"/>
  </r>
  <r>
    <x v="874"/>
    <x v="115"/>
    <x v="4"/>
    <x v="1"/>
    <s v="Vellore"/>
    <x v="4"/>
    <s v="John"/>
    <n v="73"/>
    <n v="74"/>
    <x v="3"/>
    <n v="18000"/>
    <n v="17240"/>
    <n v="4000"/>
    <x v="0"/>
    <s v="No"/>
    <d v="2025-05-06T00:00:00"/>
    <d v="2025-11-02T00:00:00"/>
    <d v="1899-12-30T09:16:00"/>
    <d v="1899-12-30T12:25:00"/>
    <s v="C"/>
    <s v="09:16 AM"/>
    <s v="Delayed"/>
    <s v="3 Hours 9 Minutes"/>
    <x v="1"/>
  </r>
  <r>
    <x v="875"/>
    <x v="178"/>
    <x v="7"/>
    <x v="0"/>
    <s v="Tirunelveli"/>
    <x v="3"/>
    <s v="Arun"/>
    <n v="59"/>
    <n v="65"/>
    <x v="0"/>
    <n v="18000"/>
    <n v="20060"/>
    <n v="0"/>
    <x v="1"/>
    <s v="No"/>
    <d v="2025-02-23T00:00:00"/>
    <d v="2025-04-24T00:00:00"/>
    <d v="1899-12-30T08:15:00"/>
    <d v="1899-12-30T10:20:00"/>
    <s v="D"/>
    <s v="08:15 AM"/>
    <s v="On Time"/>
    <s v="2 Hours 5 Minutes"/>
    <x v="1"/>
  </r>
  <r>
    <x v="876"/>
    <x v="200"/>
    <x v="7"/>
    <x v="0"/>
    <s v="Coimbatore"/>
    <x v="1"/>
    <s v="Nandhini"/>
    <n v="64"/>
    <n v="88"/>
    <x v="3"/>
    <n v="15000"/>
    <n v="15110"/>
    <n v="2000"/>
    <x v="0"/>
    <s v="No"/>
    <d v="2025-07-05T00:00:00"/>
    <d v="2025-08-04T00:00:00"/>
    <d v="1899-12-30T10:16:00"/>
    <d v="1899-12-30T12:46:00"/>
    <s v="C"/>
    <s v="10:16 AM"/>
    <s v="On Time"/>
    <s v="2 Hours 30 Minutes"/>
    <x v="0"/>
  </r>
  <r>
    <x v="877"/>
    <x v="46"/>
    <x v="2"/>
    <x v="0"/>
    <s v="Tirunelveli"/>
    <x v="5"/>
    <s v="Mani Prabhu"/>
    <n v="67"/>
    <n v="89"/>
    <x v="3"/>
    <n v="10000"/>
    <n v="8620"/>
    <n v="2000"/>
    <x v="0"/>
    <s v="No"/>
    <d v="2025-05-15T00:00:00"/>
    <d v="2025-06-14T00:00:00"/>
    <d v="1899-12-30T10:17:00"/>
    <d v="1899-12-30T11:24:00"/>
    <s v="C"/>
    <s v="10:17 AM"/>
    <s v="On Time"/>
    <s v="1 Hours 7 Minutes"/>
    <x v="0"/>
  </r>
  <r>
    <x v="878"/>
    <x v="32"/>
    <x v="3"/>
    <x v="0"/>
    <s v="Hyderabad"/>
    <x v="6"/>
    <s v="Karthik"/>
    <n v="50"/>
    <n v="79"/>
    <x v="0"/>
    <n v="12000"/>
    <n v="13570"/>
    <n v="0"/>
    <x v="1"/>
    <s v="No"/>
    <d v="2025-01-28T00:00:00"/>
    <d v="2025-04-28T00:00:00"/>
    <d v="1899-12-30T10:59:00"/>
    <d v="1899-12-30T13:01:00"/>
    <s v="D"/>
    <s v="10:59 AM"/>
    <s v="On Time"/>
    <s v="2 Hours 2 Minutes"/>
    <x v="0"/>
  </r>
  <r>
    <x v="879"/>
    <x v="31"/>
    <x v="5"/>
    <x v="1"/>
    <s v="Coimbatore"/>
    <x v="6"/>
    <s v="Karthik"/>
    <n v="68"/>
    <n v="97"/>
    <x v="3"/>
    <n v="20000"/>
    <n v="22420"/>
    <n v="0"/>
    <x v="1"/>
    <s v="No"/>
    <d v="2025-01-13T00:00:00"/>
    <d v="2025-02-12T00:00:00"/>
    <d v="1899-12-30T09:02:00"/>
    <d v="1899-12-30T12:10:00"/>
    <s v="C"/>
    <s v="09:02 AM"/>
    <s v="On Time"/>
    <s v="3 Hours 8 Minutes"/>
    <x v="1"/>
  </r>
  <r>
    <x v="880"/>
    <x v="231"/>
    <x v="4"/>
    <x v="1"/>
    <s v="Thoothukudi"/>
    <x v="3"/>
    <s v="Arun"/>
    <n v="70"/>
    <n v="93"/>
    <x v="3"/>
    <n v="15000"/>
    <n v="12520"/>
    <n v="4000"/>
    <x v="0"/>
    <s v="No"/>
    <d v="2025-08-25T00:00:00"/>
    <d v="2025-12-23T00:00:00"/>
    <d v="1899-12-30T09:52:00"/>
    <d v="1899-12-30T11:11:00"/>
    <s v="C"/>
    <s v="09:52 AM"/>
    <s v="Delayed"/>
    <s v="1 Hours 19 Minutes"/>
    <x v="1"/>
  </r>
  <r>
    <x v="881"/>
    <x v="118"/>
    <x v="7"/>
    <x v="0"/>
    <s v="Madurai"/>
    <x v="0"/>
    <s v="David"/>
    <n v="62"/>
    <n v="85"/>
    <x v="3"/>
    <n v="20000"/>
    <n v="21010"/>
    <n v="2000"/>
    <x v="0"/>
    <s v="No"/>
    <d v="2025-10-21T00:00:00"/>
    <d v="2026-01-19T00:00:00"/>
    <d v="1899-12-30T10:28:00"/>
    <d v="1899-12-30T12:46:00"/>
    <s v="C"/>
    <s v="10:28 AM"/>
    <s v="On Time"/>
    <s v="2 Hours 18 Minutes"/>
    <x v="0"/>
  </r>
  <r>
    <x v="882"/>
    <x v="168"/>
    <x v="7"/>
    <x v="1"/>
    <s v="Bengaluru"/>
    <x v="7"/>
    <s v="Sneha"/>
    <n v="97"/>
    <n v="81"/>
    <x v="2"/>
    <n v="15000"/>
    <n v="13700"/>
    <n v="4000"/>
    <x v="0"/>
    <s v="No"/>
    <d v="2025-08-27T00:00:00"/>
    <d v="2026-02-23T00:00:00"/>
    <d v="1899-12-30T08:50:00"/>
    <d v="1899-12-30T11:04:00"/>
    <s v="A"/>
    <s v="08:50 AM"/>
    <s v="Delayed"/>
    <s v="2 Hours 14 Minutes"/>
    <x v="1"/>
  </r>
  <r>
    <x v="883"/>
    <x v="201"/>
    <x v="6"/>
    <x v="1"/>
    <s v="Chennai"/>
    <x v="2"/>
    <s v="Priya"/>
    <n v="77"/>
    <n v="87"/>
    <x v="1"/>
    <n v="18000"/>
    <n v="16650"/>
    <n v="4000"/>
    <x v="0"/>
    <s v="No"/>
    <d v="2025-05-29T00:00:00"/>
    <d v="2025-11-25T00:00:00"/>
    <d v="1899-12-30T10:36:00"/>
    <d v="1899-12-30T13:18:00"/>
    <s v="B"/>
    <s v="10:36 AM"/>
    <s v="Delayed"/>
    <s v="2 Hours 42 Minutes"/>
    <x v="0"/>
  </r>
  <r>
    <x v="884"/>
    <x v="95"/>
    <x v="2"/>
    <x v="1"/>
    <s v="Vellore"/>
    <x v="2"/>
    <s v="Priya"/>
    <n v="84"/>
    <n v="69"/>
    <x v="1"/>
    <n v="18000"/>
    <n v="18650"/>
    <n v="2000"/>
    <x v="0"/>
    <s v="Yes"/>
    <d v="2025-02-26T00:00:00"/>
    <d v="2025-06-26T00:00:00"/>
    <d v="1899-12-30T10:43:00"/>
    <d v="1899-12-30T13:55:00"/>
    <s v="B"/>
    <s v="10:43 AM"/>
    <s v="Delayed"/>
    <s v="3 Hours 12 Minutes"/>
    <x v="0"/>
  </r>
  <r>
    <x v="885"/>
    <x v="157"/>
    <x v="3"/>
    <x v="0"/>
    <s v="Coimbatore"/>
    <x v="7"/>
    <s v="Sneha"/>
    <n v="82"/>
    <n v="85"/>
    <x v="1"/>
    <n v="10000"/>
    <n v="6620"/>
    <n v="4000"/>
    <x v="0"/>
    <s v="No"/>
    <d v="2025-07-03T00:00:00"/>
    <d v="2025-09-01T00:00:00"/>
    <d v="1899-12-30T10:26:00"/>
    <d v="1899-12-30T14:34:00"/>
    <s v="B"/>
    <s v="10:26 AM"/>
    <s v="On Time"/>
    <s v="4 Hours 8 Minutes"/>
    <x v="0"/>
  </r>
  <r>
    <x v="886"/>
    <x v="16"/>
    <x v="0"/>
    <x v="1"/>
    <s v="Kanchipuram"/>
    <x v="6"/>
    <s v="Karthik"/>
    <n v="84"/>
    <n v="97"/>
    <x v="1"/>
    <n v="10000"/>
    <n v="8030"/>
    <n v="2000"/>
    <x v="0"/>
    <s v="No"/>
    <d v="2025-02-18T00:00:00"/>
    <d v="2025-05-19T00:00:00"/>
    <d v="1899-12-30T09:03:00"/>
    <d v="1899-12-30T12:25:00"/>
    <s v="B"/>
    <s v="09:03 AM"/>
    <s v="On Time"/>
    <s v="3 Hours 22 Minutes"/>
    <x v="1"/>
  </r>
  <r>
    <x v="887"/>
    <x v="95"/>
    <x v="3"/>
    <x v="1"/>
    <s v="Madurai"/>
    <x v="4"/>
    <s v="John"/>
    <n v="36"/>
    <n v="89"/>
    <x v="0"/>
    <n v="20000"/>
    <n v="19830"/>
    <n v="2000"/>
    <x v="0"/>
    <s v="No"/>
    <d v="2025-11-09T00:00:00"/>
    <d v="2026-03-09T00:00:00"/>
    <d v="1899-12-30T10:54:00"/>
    <d v="1899-12-30T14:29:00"/>
    <s v="D"/>
    <s v="10:54 AM"/>
    <s v="Delayed"/>
    <s v="3 Hours 35 Minutes"/>
    <x v="0"/>
  </r>
  <r>
    <x v="888"/>
    <x v="56"/>
    <x v="4"/>
    <x v="0"/>
    <s v="Chennai"/>
    <x v="2"/>
    <s v="Priya"/>
    <n v="98"/>
    <n v="81"/>
    <x v="2"/>
    <n v="20000"/>
    <n v="23010"/>
    <n v="0"/>
    <x v="1"/>
    <s v="No"/>
    <d v="2025-02-17T00:00:00"/>
    <d v="2025-08-16T00:00:00"/>
    <d v="1899-12-30T09:02:00"/>
    <d v="1899-12-30T10:52:00"/>
    <s v="A"/>
    <s v="09:02 AM"/>
    <s v="Delayed"/>
    <s v="1 Hours 50 Minutes"/>
    <x v="1"/>
  </r>
  <r>
    <x v="889"/>
    <x v="39"/>
    <x v="4"/>
    <x v="0"/>
    <s v="Coimbatore"/>
    <x v="0"/>
    <s v="David"/>
    <n v="92"/>
    <n v="93"/>
    <x v="2"/>
    <n v="20000"/>
    <n v="21010"/>
    <n v="2000"/>
    <x v="0"/>
    <s v="No"/>
    <d v="2025-12-26T00:00:00"/>
    <d v="2026-02-24T00:00:00"/>
    <d v="1899-12-30T08:34:00"/>
    <d v="1899-12-30T13:03:00"/>
    <s v="A"/>
    <s v="08:34 AM"/>
    <s v="On Time"/>
    <s v="4 Hours 29 Minutes"/>
    <x v="1"/>
  </r>
  <r>
    <x v="890"/>
    <x v="233"/>
    <x v="1"/>
    <x v="0"/>
    <s v="Kanchipuram"/>
    <x v="5"/>
    <s v="Mani Prabhu"/>
    <n v="67"/>
    <n v="94"/>
    <x v="3"/>
    <n v="20000"/>
    <n v="21600"/>
    <n v="2000"/>
    <x v="0"/>
    <s v="No"/>
    <d v="2025-12-13T00:00:00"/>
    <d v="2026-01-12T00:00:00"/>
    <d v="1899-12-30T10:16:00"/>
    <d v="1899-12-30T14:43:00"/>
    <s v="C"/>
    <s v="10:16 AM"/>
    <s v="On Time"/>
    <s v="4 Hours 27 Minutes"/>
    <x v="0"/>
  </r>
  <r>
    <x v="891"/>
    <x v="227"/>
    <x v="3"/>
    <x v="0"/>
    <s v="Tirunelveli"/>
    <x v="3"/>
    <s v="Arun"/>
    <n v="48"/>
    <n v="63"/>
    <x v="0"/>
    <n v="18000"/>
    <n v="19240"/>
    <n v="2000"/>
    <x v="0"/>
    <s v="No"/>
    <d v="2025-12-10T00:00:00"/>
    <d v="2026-06-08T00:00:00"/>
    <d v="1899-12-30T09:34:00"/>
    <d v="1899-12-30T14:00:00"/>
    <s v="D"/>
    <s v="09:34 AM"/>
    <s v="Delayed"/>
    <s v="4 Hours 26 Minutes"/>
    <x v="1"/>
  </r>
  <r>
    <x v="892"/>
    <x v="25"/>
    <x v="4"/>
    <x v="1"/>
    <s v="Kanchipuram"/>
    <x v="1"/>
    <s v="Nandhini"/>
    <n v="94"/>
    <n v="94"/>
    <x v="2"/>
    <n v="15000"/>
    <n v="11930"/>
    <n v="4000"/>
    <x v="0"/>
    <s v="No"/>
    <d v="2025-05-31T00:00:00"/>
    <d v="2025-11-27T00:00:00"/>
    <d v="1899-12-30T10:08:00"/>
    <d v="1899-12-30T15:01:00"/>
    <s v="A"/>
    <s v="10:08 AM"/>
    <s v="Delayed"/>
    <s v="4 Hours 53 Minutes"/>
    <x v="0"/>
  </r>
  <r>
    <x v="893"/>
    <x v="182"/>
    <x v="3"/>
    <x v="1"/>
    <s v="Kanchipuram"/>
    <x v="2"/>
    <s v="Priya"/>
    <n v="91"/>
    <n v="93"/>
    <x v="2"/>
    <n v="12000"/>
    <n v="9570"/>
    <n v="4000"/>
    <x v="0"/>
    <s v="No"/>
    <d v="2025-12-25T00:00:00"/>
    <d v="2026-06-23T00:00:00"/>
    <d v="1899-12-30T10:44:00"/>
    <d v="1899-12-30T12:10:00"/>
    <s v="A"/>
    <s v="10:44 AM"/>
    <s v="Delayed"/>
    <s v="1 Hours 26 Minutes"/>
    <x v="0"/>
  </r>
  <r>
    <x v="894"/>
    <x v="19"/>
    <x v="9"/>
    <x v="1"/>
    <s v="Erode"/>
    <x v="3"/>
    <s v="Arun"/>
    <n v="92"/>
    <n v="82"/>
    <x v="2"/>
    <n v="12000"/>
    <n v="12390"/>
    <n v="0"/>
    <x v="1"/>
    <s v="No"/>
    <d v="2025-06-14T00:00:00"/>
    <d v="2025-10-12T00:00:00"/>
    <d v="1899-12-30T10:57:00"/>
    <d v="1899-12-30T14:05:00"/>
    <s v="A"/>
    <s v="10:57 AM"/>
    <s v="Delayed"/>
    <s v="3 Hours 8 Minutes"/>
    <x v="0"/>
  </r>
  <r>
    <x v="895"/>
    <x v="168"/>
    <x v="2"/>
    <x v="0"/>
    <s v="Bengaluru"/>
    <x v="5"/>
    <s v="Mani Prabhu"/>
    <n v="50"/>
    <n v="68"/>
    <x v="0"/>
    <n v="20000"/>
    <n v="18420"/>
    <n v="4000"/>
    <x v="0"/>
    <s v="No"/>
    <d v="2025-03-10T00:00:00"/>
    <d v="2025-05-09T00:00:00"/>
    <d v="1899-12-30T11:00:00"/>
    <d v="1899-12-30T15:17:00"/>
    <s v="D"/>
    <s v="11:00 AM"/>
    <s v="On Time"/>
    <s v="4 Hours 17 Minutes"/>
    <x v="0"/>
  </r>
  <r>
    <x v="896"/>
    <x v="16"/>
    <x v="3"/>
    <x v="0"/>
    <s v="Madurai"/>
    <x v="4"/>
    <s v="John"/>
    <n v="99"/>
    <n v="97"/>
    <x v="2"/>
    <n v="10000"/>
    <n v="6030"/>
    <n v="4000"/>
    <x v="0"/>
    <s v="No"/>
    <d v="2025-11-15T00:00:00"/>
    <d v="2026-02-13T00:00:00"/>
    <d v="1899-12-30T08:26:00"/>
    <d v="1899-12-30T12:06:00"/>
    <s v="A"/>
    <s v="08:26 AM"/>
    <s v="On Time"/>
    <s v="3 Hours 40 Minutes"/>
    <x v="1"/>
  </r>
  <r>
    <x v="897"/>
    <x v="83"/>
    <x v="6"/>
    <x v="1"/>
    <s v="Thoothukudi"/>
    <x v="3"/>
    <s v="Arun"/>
    <n v="90"/>
    <n v="63"/>
    <x v="2"/>
    <n v="10000"/>
    <n v="10030"/>
    <n v="0"/>
    <x v="1"/>
    <s v="No"/>
    <d v="2025-04-09T00:00:00"/>
    <d v="2025-05-09T00:00:00"/>
    <d v="1899-12-30T09:47:00"/>
    <d v="1899-12-30T14:45:00"/>
    <s v="A"/>
    <s v="09:47 AM"/>
    <s v="On Time"/>
    <s v="4 Hours 58 Minutes"/>
    <x v="1"/>
  </r>
  <r>
    <x v="898"/>
    <x v="35"/>
    <x v="2"/>
    <x v="0"/>
    <s v="Hyderabad"/>
    <x v="4"/>
    <s v="John"/>
    <n v="59"/>
    <n v="92"/>
    <x v="0"/>
    <n v="10000"/>
    <n v="11210"/>
    <n v="0"/>
    <x v="1"/>
    <s v="No"/>
    <d v="2025-08-15T00:00:00"/>
    <d v="2025-11-13T00:00:00"/>
    <d v="1899-12-30T09:12:00"/>
    <d v="1899-12-30T13:30:00"/>
    <s v="D"/>
    <s v="09:12 AM"/>
    <s v="On Time"/>
    <s v="4 Hours 18 Minutes"/>
    <x v="1"/>
  </r>
  <r>
    <x v="899"/>
    <x v="191"/>
    <x v="0"/>
    <x v="1"/>
    <s v="Chennai"/>
    <x v="4"/>
    <s v="John"/>
    <n v="35"/>
    <n v="67"/>
    <x v="0"/>
    <n v="18000"/>
    <n v="17240"/>
    <n v="4000"/>
    <x v="0"/>
    <s v="No"/>
    <d v="2025-07-22T00:00:00"/>
    <d v="2025-10-20T00:00:00"/>
    <d v="1899-12-30T08:55:00"/>
    <d v="1899-12-30T12:41:00"/>
    <s v="D"/>
    <s v="08:55 AM"/>
    <s v="On Time"/>
    <s v="3 Hours 46 Minutes"/>
    <x v="1"/>
  </r>
  <r>
    <x v="900"/>
    <x v="0"/>
    <x v="0"/>
    <x v="0"/>
    <s v="Madurai"/>
    <x v="7"/>
    <s v="Sneha"/>
    <n v="82"/>
    <n v="76"/>
    <x v="1"/>
    <n v="10000"/>
    <n v="9210"/>
    <n v="2000"/>
    <x v="0"/>
    <s v="No"/>
    <d v="2025-09-06T00:00:00"/>
    <d v="2026-03-05T00:00:00"/>
    <d v="1899-12-30T08:14:00"/>
    <d v="1899-12-30T12:01:00"/>
    <s v="B"/>
    <s v="08:14 AM"/>
    <s v="Delayed"/>
    <s v="3 Hours 47 Minutes"/>
    <x v="1"/>
  </r>
  <r>
    <x v="901"/>
    <x v="200"/>
    <x v="2"/>
    <x v="0"/>
    <s v="Chennai"/>
    <x v="2"/>
    <s v="Priya"/>
    <n v="58"/>
    <n v="71"/>
    <x v="0"/>
    <n v="12000"/>
    <n v="10160"/>
    <n v="4000"/>
    <x v="0"/>
    <s v="No"/>
    <d v="2025-12-12T00:00:00"/>
    <d v="2026-04-11T00:00:00"/>
    <d v="1899-12-30T10:58:00"/>
    <d v="1899-12-30T14:43:00"/>
    <s v="D"/>
    <s v="10:58 AM"/>
    <s v="Delayed"/>
    <s v="3 Hours 45 Minutes"/>
    <x v="0"/>
  </r>
  <r>
    <x v="902"/>
    <x v="226"/>
    <x v="1"/>
    <x v="1"/>
    <s v="Thoothukudi"/>
    <x v="1"/>
    <s v="Nandhini"/>
    <n v="51"/>
    <n v="62"/>
    <x v="0"/>
    <n v="10000"/>
    <n v="6030"/>
    <n v="4000"/>
    <x v="0"/>
    <s v="No"/>
    <d v="2025-08-19T00:00:00"/>
    <d v="2026-02-15T00:00:00"/>
    <d v="1899-12-30T10:38:00"/>
    <d v="1899-12-30T14:21:00"/>
    <s v="D"/>
    <s v="10:38 AM"/>
    <s v="Delayed"/>
    <s v="3 Hours 43 Minutes"/>
    <x v="0"/>
  </r>
  <r>
    <x v="903"/>
    <x v="231"/>
    <x v="1"/>
    <x v="1"/>
    <s v="Salem"/>
    <x v="7"/>
    <s v="Sneha"/>
    <n v="75"/>
    <n v="88"/>
    <x v="1"/>
    <n v="18000"/>
    <n v="20650"/>
    <n v="0"/>
    <x v="1"/>
    <s v="No"/>
    <d v="2025-01-19T00:00:00"/>
    <d v="2025-03-20T00:00:00"/>
    <d v="1899-12-30T09:31:00"/>
    <d v="1899-12-30T13:00:00"/>
    <s v="B"/>
    <s v="09:31 AM"/>
    <s v="On Time"/>
    <s v="3 Hours 29 Minutes"/>
    <x v="1"/>
  </r>
  <r>
    <x v="904"/>
    <x v="221"/>
    <x v="10"/>
    <x v="0"/>
    <s v="Hyderabad"/>
    <x v="1"/>
    <s v="Nandhini"/>
    <n v="37"/>
    <n v="80"/>
    <x v="0"/>
    <n v="10000"/>
    <n v="8030"/>
    <n v="2000"/>
    <x v="0"/>
    <s v="No"/>
    <d v="2025-04-17T00:00:00"/>
    <d v="2025-06-16T00:00:00"/>
    <d v="1899-12-30T10:33:00"/>
    <d v="1899-12-30T11:55:00"/>
    <s v="D"/>
    <s v="10:33 AM"/>
    <s v="On Time"/>
    <s v="1 Hours 22 Minutes"/>
    <x v="0"/>
  </r>
  <r>
    <x v="905"/>
    <x v="153"/>
    <x v="3"/>
    <x v="1"/>
    <s v="Coimbatore"/>
    <x v="5"/>
    <s v="Mani Prabhu"/>
    <n v="97"/>
    <n v="77"/>
    <x v="2"/>
    <n v="12000"/>
    <n v="10980"/>
    <n v="2000"/>
    <x v="0"/>
    <s v="No"/>
    <d v="2025-10-26T00:00:00"/>
    <d v="2025-11-25T00:00:00"/>
    <d v="1899-12-30T09:39:00"/>
    <d v="1899-12-30T12:31:00"/>
    <s v="A"/>
    <s v="09:39 AM"/>
    <s v="On Time"/>
    <s v="2 Hours 52 Minutes"/>
    <x v="1"/>
  </r>
  <r>
    <x v="906"/>
    <x v="102"/>
    <x v="4"/>
    <x v="1"/>
    <s v="Kanchipuram"/>
    <x v="0"/>
    <s v="David"/>
    <n v="70"/>
    <n v="62"/>
    <x v="3"/>
    <n v="20000"/>
    <n v="19600"/>
    <n v="4000"/>
    <x v="0"/>
    <s v="No"/>
    <d v="2025-09-04T00:00:00"/>
    <d v="2025-11-03T00:00:00"/>
    <d v="1899-12-30T10:13:00"/>
    <d v="1899-12-30T13:14:00"/>
    <s v="C"/>
    <s v="10:13 AM"/>
    <s v="On Time"/>
    <s v="3 Hours 1 Minutes"/>
    <x v="0"/>
  </r>
  <r>
    <x v="907"/>
    <x v="94"/>
    <x v="6"/>
    <x v="1"/>
    <s v="Hyderabad"/>
    <x v="3"/>
    <s v="Arun"/>
    <n v="71"/>
    <n v="96"/>
    <x v="3"/>
    <n v="20000"/>
    <n v="23010"/>
    <n v="0"/>
    <x v="1"/>
    <s v="No"/>
    <d v="2025-01-30T00:00:00"/>
    <d v="2025-04-30T00:00:00"/>
    <d v="1899-12-30T08:57:00"/>
    <d v="1899-12-30T11:13:00"/>
    <s v="C"/>
    <s v="08:57 AM"/>
    <s v="On Time"/>
    <s v="2 Hours 16 Minutes"/>
    <x v="1"/>
  </r>
  <r>
    <x v="908"/>
    <x v="203"/>
    <x v="0"/>
    <x v="0"/>
    <s v="Chennai"/>
    <x v="1"/>
    <s v="Nandhini"/>
    <n v="59"/>
    <n v="90"/>
    <x v="0"/>
    <n v="10000"/>
    <n v="11210"/>
    <n v="0"/>
    <x v="1"/>
    <s v="No"/>
    <d v="2025-09-16T00:00:00"/>
    <d v="2026-03-15T00:00:00"/>
    <d v="1899-12-30T10:57:00"/>
    <d v="1899-12-30T15:32:00"/>
    <s v="D"/>
    <s v="10:57 AM"/>
    <s v="Delayed"/>
    <s v="4 Hours 35 Minutes"/>
    <x v="0"/>
  </r>
  <r>
    <x v="909"/>
    <x v="112"/>
    <x v="2"/>
    <x v="1"/>
    <s v="Coimbatore"/>
    <x v="5"/>
    <s v="Mani Prabhu"/>
    <n v="95"/>
    <n v="91"/>
    <x v="2"/>
    <n v="20000"/>
    <n v="19010"/>
    <n v="4000"/>
    <x v="0"/>
    <s v="No"/>
    <d v="2025-09-03T00:00:00"/>
    <d v="2025-10-03T00:00:00"/>
    <d v="1899-12-30T10:17:00"/>
    <d v="1899-12-30T14:29:00"/>
    <s v="A"/>
    <s v="10:17 AM"/>
    <s v="On Time"/>
    <s v="4 Hours 12 Minutes"/>
    <x v="0"/>
  </r>
  <r>
    <x v="910"/>
    <x v="17"/>
    <x v="7"/>
    <x v="1"/>
    <s v="Thoothukudi"/>
    <x v="6"/>
    <s v="Karthik"/>
    <n v="60"/>
    <n v="99"/>
    <x v="3"/>
    <n v="15000"/>
    <n v="13110"/>
    <n v="4000"/>
    <x v="0"/>
    <s v="No"/>
    <d v="2025-10-26T00:00:00"/>
    <d v="2025-11-25T00:00:00"/>
    <d v="1899-12-30T10:22:00"/>
    <d v="1899-12-30T12:17:00"/>
    <s v="C"/>
    <s v="10:22 AM"/>
    <s v="On Time"/>
    <s v="1 Hours 55 Minutes"/>
    <x v="0"/>
  </r>
  <r>
    <x v="911"/>
    <x v="39"/>
    <x v="2"/>
    <x v="0"/>
    <s v="Thoothukudi"/>
    <x v="5"/>
    <s v="Mani Prabhu"/>
    <n v="72"/>
    <n v="75"/>
    <x v="3"/>
    <n v="15000"/>
    <n v="13700"/>
    <n v="4000"/>
    <x v="0"/>
    <s v="No"/>
    <d v="2025-07-26T00:00:00"/>
    <d v="2025-10-24T00:00:00"/>
    <d v="1899-12-30T09:05:00"/>
    <d v="1899-12-30T13:33:00"/>
    <s v="C"/>
    <s v="09:05 AM"/>
    <s v="On Time"/>
    <s v="4 Hours 28 Minutes"/>
    <x v="1"/>
  </r>
  <r>
    <x v="912"/>
    <x v="120"/>
    <x v="0"/>
    <x v="1"/>
    <s v="Kanchipuram"/>
    <x v="1"/>
    <s v="Nandhini"/>
    <n v="36"/>
    <n v="73"/>
    <x v="0"/>
    <n v="12000"/>
    <n v="14160"/>
    <n v="0"/>
    <x v="1"/>
    <s v="No"/>
    <d v="2025-11-27T00:00:00"/>
    <d v="2026-02-25T00:00:00"/>
    <d v="1899-12-30T10:15:00"/>
    <d v="1899-12-30T14:24:00"/>
    <s v="D"/>
    <s v="10:15 AM"/>
    <s v="On Time"/>
    <s v="4 Hours 9 Minutes"/>
    <x v="0"/>
  </r>
  <r>
    <x v="913"/>
    <x v="121"/>
    <x v="10"/>
    <x v="1"/>
    <s v="Coimbatore"/>
    <x v="3"/>
    <s v="Arun"/>
    <n v="76"/>
    <n v="90"/>
    <x v="1"/>
    <n v="10000"/>
    <n v="11210"/>
    <n v="0"/>
    <x v="1"/>
    <s v="No"/>
    <d v="2025-12-26T00:00:00"/>
    <d v="2026-03-26T00:00:00"/>
    <d v="1899-12-30T10:20:00"/>
    <d v="1899-12-30T14:17:00"/>
    <s v="B"/>
    <s v="10:20 AM"/>
    <s v="On Time"/>
    <s v="3 Hours 57 Minutes"/>
    <x v="0"/>
  </r>
  <r>
    <x v="914"/>
    <x v="174"/>
    <x v="3"/>
    <x v="1"/>
    <s v="Chennai"/>
    <x v="5"/>
    <s v="Mani Prabhu"/>
    <n v="85"/>
    <n v="80"/>
    <x v="1"/>
    <n v="20000"/>
    <n v="19600"/>
    <n v="4000"/>
    <x v="0"/>
    <s v="No"/>
    <d v="2025-04-23T00:00:00"/>
    <d v="2025-10-20T00:00:00"/>
    <d v="1899-12-30T09:17:00"/>
    <d v="1899-12-30T10:29:00"/>
    <s v="B"/>
    <s v="09:17 AM"/>
    <s v="Delayed"/>
    <s v="1 Hours 12 Minutes"/>
    <x v="1"/>
  </r>
  <r>
    <x v="915"/>
    <x v="118"/>
    <x v="7"/>
    <x v="0"/>
    <s v="Madurai"/>
    <x v="6"/>
    <s v="Karthik"/>
    <n v="97"/>
    <n v="95"/>
    <x v="2"/>
    <n v="15000"/>
    <n v="15700"/>
    <n v="2000"/>
    <x v="0"/>
    <s v="No"/>
    <d v="2025-04-20T00:00:00"/>
    <d v="2025-07-19T00:00:00"/>
    <d v="1899-12-30T10:57:00"/>
    <d v="1899-12-30T13:43:00"/>
    <s v="A"/>
    <s v="10:57 AM"/>
    <s v="On Time"/>
    <s v="2 Hours 46 Minutes"/>
    <x v="0"/>
  </r>
  <r>
    <x v="916"/>
    <x v="195"/>
    <x v="5"/>
    <x v="1"/>
    <s v="Vellore"/>
    <x v="3"/>
    <s v="Arun"/>
    <n v="73"/>
    <n v="71"/>
    <x v="3"/>
    <n v="10000"/>
    <n v="8030"/>
    <n v="2000"/>
    <x v="0"/>
    <s v="No"/>
    <d v="2025-08-17T00:00:00"/>
    <d v="2025-12-15T00:00:00"/>
    <d v="1899-12-30T10:49:00"/>
    <d v="1899-12-30T14:23:00"/>
    <s v="C"/>
    <s v="10:49 AM"/>
    <s v="Delayed"/>
    <s v="3 Hours 34 Minutes"/>
    <x v="0"/>
  </r>
  <r>
    <x v="917"/>
    <x v="230"/>
    <x v="8"/>
    <x v="0"/>
    <s v="Salem"/>
    <x v="0"/>
    <s v="David"/>
    <n v="78"/>
    <n v="84"/>
    <x v="1"/>
    <n v="18000"/>
    <n v="19470"/>
    <n v="0"/>
    <x v="1"/>
    <s v="No"/>
    <d v="2025-12-11T00:00:00"/>
    <d v="2026-02-09T00:00:00"/>
    <d v="1899-12-30T09:10:00"/>
    <d v="1899-12-30T11:43:00"/>
    <s v="B"/>
    <s v="09:10 AM"/>
    <s v="On Time"/>
    <s v="2 Hours 33 Minutes"/>
    <x v="1"/>
  </r>
  <r>
    <x v="918"/>
    <x v="234"/>
    <x v="4"/>
    <x v="1"/>
    <s v="Erode"/>
    <x v="2"/>
    <s v="Priya"/>
    <n v="54"/>
    <n v="74"/>
    <x v="0"/>
    <n v="18000"/>
    <n v="18060"/>
    <n v="2000"/>
    <x v="0"/>
    <s v="No"/>
    <d v="2025-06-08T00:00:00"/>
    <d v="2025-10-06T00:00:00"/>
    <d v="1899-12-30T09:20:00"/>
    <d v="1899-12-30T10:52:00"/>
    <s v="D"/>
    <s v="09:20 AM"/>
    <s v="Delayed"/>
    <s v="1 Hours 32 Minutes"/>
    <x v="1"/>
  </r>
  <r>
    <x v="919"/>
    <x v="119"/>
    <x v="1"/>
    <x v="1"/>
    <s v="Madurai"/>
    <x v="4"/>
    <s v="John"/>
    <n v="84"/>
    <n v="90"/>
    <x v="1"/>
    <n v="15000"/>
    <n v="17700"/>
    <n v="0"/>
    <x v="1"/>
    <s v="No"/>
    <d v="2025-05-15T00:00:00"/>
    <d v="2025-09-12T00:00:00"/>
    <d v="1899-12-30T10:47:00"/>
    <d v="1899-12-30T13:19:00"/>
    <s v="B"/>
    <s v="10:47 AM"/>
    <s v="Delayed"/>
    <s v="2 Hours 32 Minutes"/>
    <x v="0"/>
  </r>
  <r>
    <x v="920"/>
    <x v="126"/>
    <x v="2"/>
    <x v="0"/>
    <s v="Thoothukudi"/>
    <x v="4"/>
    <s v="John"/>
    <n v="65"/>
    <n v="85"/>
    <x v="3"/>
    <n v="12000"/>
    <n v="12980"/>
    <n v="0"/>
    <x v="1"/>
    <s v="No"/>
    <d v="2025-01-11T00:00:00"/>
    <d v="2025-02-10T00:00:00"/>
    <d v="1899-12-30T08:11:00"/>
    <d v="1899-12-30T13:00:00"/>
    <s v="C"/>
    <s v="08:11 AM"/>
    <s v="On Time"/>
    <s v="4 Hours 49 Minutes"/>
    <x v="1"/>
  </r>
  <r>
    <x v="921"/>
    <x v="93"/>
    <x v="1"/>
    <x v="0"/>
    <s v="Kanchipuram"/>
    <x v="2"/>
    <s v="Priya"/>
    <n v="52"/>
    <n v="85"/>
    <x v="0"/>
    <n v="12000"/>
    <n v="12980"/>
    <n v="0"/>
    <x v="1"/>
    <s v="No"/>
    <d v="2025-06-01T00:00:00"/>
    <d v="2025-07-01T00:00:00"/>
    <d v="1899-12-30T08:49:00"/>
    <d v="1899-12-30T11:36:00"/>
    <s v="D"/>
    <s v="08:49 AM"/>
    <s v="On Time"/>
    <s v="2 Hours 47 Minutes"/>
    <x v="1"/>
  </r>
  <r>
    <x v="922"/>
    <x v="6"/>
    <x v="7"/>
    <x v="0"/>
    <s v="Thoothukudi"/>
    <x v="7"/>
    <s v="Sneha"/>
    <n v="81"/>
    <n v="70"/>
    <x v="1"/>
    <n v="10000"/>
    <n v="8620"/>
    <n v="2000"/>
    <x v="0"/>
    <s v="No"/>
    <d v="2025-04-18T00:00:00"/>
    <d v="2025-10-15T00:00:00"/>
    <d v="1899-12-30T10:14:00"/>
    <d v="1899-12-30T13:16:00"/>
    <s v="B"/>
    <s v="10:14 AM"/>
    <s v="Delayed"/>
    <s v="3 Hours 2 Minutes"/>
    <x v="0"/>
  </r>
  <r>
    <x v="923"/>
    <x v="235"/>
    <x v="9"/>
    <x v="1"/>
    <s v="Coimbatore"/>
    <x v="6"/>
    <s v="Karthik"/>
    <n v="63"/>
    <n v="63"/>
    <x v="3"/>
    <n v="20000"/>
    <n v="21600"/>
    <n v="2000"/>
    <x v="0"/>
    <s v="Yes"/>
    <d v="2025-06-11T00:00:00"/>
    <d v="2025-08-10T00:00:00"/>
    <d v="1899-12-30T09:50:00"/>
    <d v="1899-12-30T13:10:00"/>
    <s v="C"/>
    <s v="09:50 AM"/>
    <s v="On Time"/>
    <s v="3 Hours 20 Minutes"/>
    <x v="1"/>
  </r>
  <r>
    <x v="924"/>
    <x v="222"/>
    <x v="8"/>
    <x v="1"/>
    <s v="Chennai"/>
    <x v="1"/>
    <s v="Nandhini"/>
    <n v="58"/>
    <n v="82"/>
    <x v="0"/>
    <n v="10000"/>
    <n v="11210"/>
    <n v="0"/>
    <x v="1"/>
    <s v="No"/>
    <d v="2025-01-14T00:00:00"/>
    <d v="2025-07-13T00:00:00"/>
    <d v="1899-12-30T09:17:00"/>
    <d v="1899-12-30T12:07:00"/>
    <s v="D"/>
    <s v="09:17 AM"/>
    <s v="Delayed"/>
    <s v="2 Hours 50 Minutes"/>
    <x v="1"/>
  </r>
  <r>
    <x v="925"/>
    <x v="70"/>
    <x v="0"/>
    <x v="0"/>
    <s v="Madurai"/>
    <x v="2"/>
    <s v="Priya"/>
    <n v="90"/>
    <n v="87"/>
    <x v="2"/>
    <n v="10000"/>
    <n v="10620"/>
    <n v="0"/>
    <x v="1"/>
    <s v="No"/>
    <d v="2025-03-18T00:00:00"/>
    <d v="2025-06-16T00:00:00"/>
    <d v="1899-12-30T08:22:00"/>
    <d v="1899-12-30T10:51:00"/>
    <s v="A"/>
    <s v="08:22 AM"/>
    <s v="On Time"/>
    <s v="2 Hours 29 Minutes"/>
    <x v="1"/>
  </r>
  <r>
    <x v="926"/>
    <x v="28"/>
    <x v="9"/>
    <x v="0"/>
    <s v="Trichy"/>
    <x v="6"/>
    <s v="Karthik"/>
    <n v="86"/>
    <n v="82"/>
    <x v="1"/>
    <n v="18000"/>
    <n v="17470"/>
    <n v="2000"/>
    <x v="0"/>
    <s v="No"/>
    <d v="2025-10-13T00:00:00"/>
    <d v="2026-04-11T00:00:00"/>
    <d v="1899-12-30T08:42:00"/>
    <d v="1899-12-30T10:45:00"/>
    <s v="B"/>
    <s v="08:42 AM"/>
    <s v="Delayed"/>
    <s v="2 Hours 3 Minutes"/>
    <x v="1"/>
  </r>
  <r>
    <x v="927"/>
    <x v="100"/>
    <x v="10"/>
    <x v="1"/>
    <s v="Coimbatore"/>
    <x v="7"/>
    <s v="Sneha"/>
    <n v="89"/>
    <n v="99"/>
    <x v="1"/>
    <n v="15000"/>
    <n v="15110"/>
    <n v="2000"/>
    <x v="0"/>
    <s v="No"/>
    <d v="2025-05-07T00:00:00"/>
    <d v="2025-11-03T00:00:00"/>
    <d v="1899-12-30T08:19:00"/>
    <d v="1899-12-30T09:20:00"/>
    <s v="B"/>
    <s v="08:19 AM"/>
    <s v="Delayed"/>
    <s v="1 Hours 1 Minutes"/>
    <x v="1"/>
  </r>
  <r>
    <x v="928"/>
    <x v="102"/>
    <x v="6"/>
    <x v="0"/>
    <s v="Vellore"/>
    <x v="5"/>
    <s v="Mani Prabhu"/>
    <n v="39"/>
    <n v="88"/>
    <x v="0"/>
    <n v="10000"/>
    <n v="8620"/>
    <n v="2000"/>
    <x v="0"/>
    <s v="No"/>
    <d v="2025-09-17T00:00:00"/>
    <d v="2025-10-17T00:00:00"/>
    <d v="1899-12-30T10:45:00"/>
    <d v="1899-12-30T11:47:00"/>
    <s v="D"/>
    <s v="10:45 AM"/>
    <s v="On Time"/>
    <s v="1 Hours 2 Minutes"/>
    <x v="0"/>
  </r>
  <r>
    <x v="929"/>
    <x v="147"/>
    <x v="5"/>
    <x v="0"/>
    <s v="Chennai"/>
    <x v="1"/>
    <s v="Nandhini"/>
    <n v="100"/>
    <n v="72"/>
    <x v="2"/>
    <n v="20000"/>
    <n v="23600"/>
    <n v="0"/>
    <x v="1"/>
    <s v="No"/>
    <d v="2025-09-28T00:00:00"/>
    <d v="2026-01-26T00:00:00"/>
    <d v="1899-12-30T09:31:00"/>
    <d v="1899-12-30T13:10:00"/>
    <s v="A"/>
    <s v="09:31 AM"/>
    <s v="Delayed"/>
    <s v="3 Hours 39 Minutes"/>
    <x v="1"/>
  </r>
  <r>
    <x v="930"/>
    <x v="107"/>
    <x v="5"/>
    <x v="1"/>
    <s v="Kanchipuram"/>
    <x v="5"/>
    <s v="Mani Prabhu"/>
    <n v="69"/>
    <n v="87"/>
    <x v="3"/>
    <n v="12000"/>
    <n v="10160"/>
    <n v="4000"/>
    <x v="0"/>
    <s v="No"/>
    <d v="2025-12-23T00:00:00"/>
    <d v="2026-04-22T00:00:00"/>
    <d v="1899-12-30T08:04:00"/>
    <d v="1899-12-30T09:16:00"/>
    <s v="C"/>
    <s v="08:04 AM"/>
    <s v="Delayed"/>
    <s v="1 Hours 12 Minutes"/>
    <x v="1"/>
  </r>
  <r>
    <x v="931"/>
    <x v="133"/>
    <x v="10"/>
    <x v="0"/>
    <s v="Vellore"/>
    <x v="4"/>
    <s v="John"/>
    <n v="93"/>
    <n v="97"/>
    <x v="2"/>
    <n v="10000"/>
    <n v="10030"/>
    <n v="0"/>
    <x v="1"/>
    <s v="No"/>
    <d v="2025-06-09T00:00:00"/>
    <d v="2025-12-06T00:00:00"/>
    <d v="1899-12-30T09:37:00"/>
    <d v="1899-12-30T13:49:00"/>
    <s v="A"/>
    <s v="09:37 AM"/>
    <s v="Delayed"/>
    <s v="4 Hours 12 Minutes"/>
    <x v="1"/>
  </r>
  <r>
    <x v="932"/>
    <x v="229"/>
    <x v="4"/>
    <x v="1"/>
    <s v="Vellore"/>
    <x v="3"/>
    <s v="Arun"/>
    <n v="63"/>
    <n v="97"/>
    <x v="3"/>
    <n v="10000"/>
    <n v="8620"/>
    <n v="2000"/>
    <x v="0"/>
    <s v="No"/>
    <d v="2025-11-18T00:00:00"/>
    <d v="2025-12-18T00:00:00"/>
    <d v="1899-12-30T08:19:00"/>
    <d v="1899-12-30T09:52:00"/>
    <s v="C"/>
    <s v="08:19 AM"/>
    <s v="On Time"/>
    <s v="1 Hours 33 Minutes"/>
    <x v="1"/>
  </r>
  <r>
    <x v="933"/>
    <x v="33"/>
    <x v="10"/>
    <x v="1"/>
    <s v="Chennai"/>
    <x v="7"/>
    <s v="Sneha"/>
    <n v="43"/>
    <n v="93"/>
    <x v="0"/>
    <n v="18000"/>
    <n v="18650"/>
    <n v="2000"/>
    <x v="0"/>
    <s v="No"/>
    <d v="2025-10-28T00:00:00"/>
    <d v="2025-11-27T00:00:00"/>
    <d v="1899-12-30T09:17:00"/>
    <d v="1899-12-30T13:31:00"/>
    <s v="D"/>
    <s v="09:17 AM"/>
    <s v="On Time"/>
    <s v="4 Hours 14 Minutes"/>
    <x v="1"/>
  </r>
  <r>
    <x v="934"/>
    <x v="18"/>
    <x v="2"/>
    <x v="1"/>
    <s v="Salem"/>
    <x v="4"/>
    <s v="John"/>
    <n v="79"/>
    <n v="77"/>
    <x v="1"/>
    <n v="15000"/>
    <n v="15930"/>
    <n v="0"/>
    <x v="1"/>
    <s v="No"/>
    <d v="2025-03-17T00:00:00"/>
    <d v="2025-06-15T00:00:00"/>
    <d v="1899-12-30T09:50:00"/>
    <d v="1899-12-30T11:46:00"/>
    <s v="B"/>
    <s v="09:50 AM"/>
    <s v="On Time"/>
    <s v="1 Hours 56 Minutes"/>
    <x v="1"/>
  </r>
  <r>
    <x v="935"/>
    <x v="233"/>
    <x v="10"/>
    <x v="0"/>
    <s v="Coimbatore"/>
    <x v="3"/>
    <s v="Arun"/>
    <n v="86"/>
    <n v="89"/>
    <x v="1"/>
    <n v="15000"/>
    <n v="13110"/>
    <n v="4000"/>
    <x v="0"/>
    <s v="No"/>
    <d v="2025-03-04T00:00:00"/>
    <d v="2025-06-02T00:00:00"/>
    <d v="1899-12-30T09:53:00"/>
    <d v="1899-12-30T14:31:00"/>
    <s v="B"/>
    <s v="09:53 AM"/>
    <s v="On Time"/>
    <s v="4 Hours 38 Minutes"/>
    <x v="1"/>
  </r>
  <r>
    <x v="936"/>
    <x v="178"/>
    <x v="9"/>
    <x v="1"/>
    <s v="Thoothukudi"/>
    <x v="4"/>
    <s v="John"/>
    <n v="92"/>
    <n v="72"/>
    <x v="2"/>
    <n v="10000"/>
    <n v="7210"/>
    <n v="4000"/>
    <x v="0"/>
    <s v="No"/>
    <d v="2025-06-19T00:00:00"/>
    <d v="2025-12-16T00:00:00"/>
    <d v="1899-12-30T08:19:00"/>
    <d v="1899-12-30T13:03:00"/>
    <s v="A"/>
    <s v="08:19 AM"/>
    <s v="Delayed"/>
    <s v="4 Hours 44 Minutes"/>
    <x v="1"/>
  </r>
  <r>
    <x v="937"/>
    <x v="116"/>
    <x v="3"/>
    <x v="0"/>
    <s v="Trichy"/>
    <x v="3"/>
    <s v="Arun"/>
    <n v="84"/>
    <n v="98"/>
    <x v="1"/>
    <n v="15000"/>
    <n v="13110"/>
    <n v="4000"/>
    <x v="0"/>
    <s v="No"/>
    <d v="2025-03-26T00:00:00"/>
    <d v="2025-09-22T00:00:00"/>
    <d v="1899-12-30T10:23:00"/>
    <d v="1899-12-30T11:37:00"/>
    <s v="B"/>
    <s v="10:23 AM"/>
    <s v="Delayed"/>
    <s v="1 Hours 14 Minutes"/>
    <x v="0"/>
  </r>
  <r>
    <x v="938"/>
    <x v="39"/>
    <x v="10"/>
    <x v="1"/>
    <s v="Tirunelveli"/>
    <x v="4"/>
    <s v="John"/>
    <n v="88"/>
    <n v="76"/>
    <x v="1"/>
    <n v="12000"/>
    <n v="8390"/>
    <n v="4000"/>
    <x v="0"/>
    <s v="No"/>
    <d v="2025-02-13T00:00:00"/>
    <d v="2025-03-15T00:00:00"/>
    <d v="1899-12-30T08:35:00"/>
    <d v="1899-12-30T13:20:00"/>
    <s v="B"/>
    <s v="08:35 AM"/>
    <s v="On Time"/>
    <s v="4 Hours 45 Minutes"/>
    <x v="1"/>
  </r>
  <r>
    <x v="939"/>
    <x v="193"/>
    <x v="9"/>
    <x v="1"/>
    <s v="Kanchipuram"/>
    <x v="5"/>
    <s v="Mani Prabhu"/>
    <n v="71"/>
    <n v="85"/>
    <x v="3"/>
    <n v="18000"/>
    <n v="16650"/>
    <n v="4000"/>
    <x v="0"/>
    <s v="No"/>
    <d v="2025-11-27T00:00:00"/>
    <d v="2026-03-27T00:00:00"/>
    <d v="1899-12-30T10:36:00"/>
    <d v="1899-12-30T12:48:00"/>
    <s v="C"/>
    <s v="10:36 AM"/>
    <s v="Delayed"/>
    <s v="2 Hours 12 Minutes"/>
    <x v="0"/>
  </r>
  <r>
    <x v="940"/>
    <x v="30"/>
    <x v="5"/>
    <x v="1"/>
    <s v="Bengaluru"/>
    <x v="5"/>
    <s v="Mani Prabhu"/>
    <n v="69"/>
    <n v="68"/>
    <x v="3"/>
    <n v="12000"/>
    <n v="14160"/>
    <n v="0"/>
    <x v="1"/>
    <s v="No"/>
    <d v="2025-09-11T00:00:00"/>
    <d v="2026-03-10T00:00:00"/>
    <d v="1899-12-30T10:52:00"/>
    <d v="1899-12-30T15:01:00"/>
    <s v="C"/>
    <s v="10:52 AM"/>
    <s v="Delayed"/>
    <s v="4 Hours 9 Minutes"/>
    <x v="0"/>
  </r>
  <r>
    <x v="941"/>
    <x v="96"/>
    <x v="10"/>
    <x v="0"/>
    <s v="Hyderabad"/>
    <x v="0"/>
    <s v="David"/>
    <n v="43"/>
    <n v="70"/>
    <x v="0"/>
    <n v="20000"/>
    <n v="22420"/>
    <n v="0"/>
    <x v="1"/>
    <s v="No"/>
    <d v="2025-08-26T00:00:00"/>
    <d v="2025-10-25T00:00:00"/>
    <d v="1899-12-30T08:51:00"/>
    <d v="1899-12-30T13:19:00"/>
    <s v="D"/>
    <s v="08:51 AM"/>
    <s v="On Time"/>
    <s v="4 Hours 28 Minutes"/>
    <x v="1"/>
  </r>
  <r>
    <x v="942"/>
    <x v="71"/>
    <x v="3"/>
    <x v="0"/>
    <s v="Trichy"/>
    <x v="5"/>
    <s v="Mani Prabhu"/>
    <n v="70"/>
    <n v="81"/>
    <x v="3"/>
    <n v="20000"/>
    <n v="20420"/>
    <n v="2000"/>
    <x v="0"/>
    <s v="No"/>
    <d v="2025-11-08T00:00:00"/>
    <d v="2026-05-07T00:00:00"/>
    <d v="1899-12-30T09:24:00"/>
    <d v="1899-12-30T13:28:00"/>
    <s v="C"/>
    <s v="09:24 AM"/>
    <s v="Delayed"/>
    <s v="4 Hours 4 Minutes"/>
    <x v="1"/>
  </r>
  <r>
    <x v="943"/>
    <x v="106"/>
    <x v="2"/>
    <x v="1"/>
    <s v="Madurai"/>
    <x v="6"/>
    <s v="Karthik"/>
    <n v="55"/>
    <n v="93"/>
    <x v="0"/>
    <n v="20000"/>
    <n v="21600"/>
    <n v="2000"/>
    <x v="0"/>
    <s v="No"/>
    <d v="2025-07-21T00:00:00"/>
    <d v="2026-01-17T00:00:00"/>
    <d v="1899-12-30T10:36:00"/>
    <d v="1899-12-30T12:24:00"/>
    <s v="D"/>
    <s v="10:36 AM"/>
    <s v="Delayed"/>
    <s v="1 Hours 48 Minutes"/>
    <x v="0"/>
  </r>
  <r>
    <x v="944"/>
    <x v="120"/>
    <x v="3"/>
    <x v="1"/>
    <s v="Kanchipuram"/>
    <x v="0"/>
    <s v="David"/>
    <n v="90"/>
    <n v="64"/>
    <x v="2"/>
    <n v="12000"/>
    <n v="12160"/>
    <n v="2000"/>
    <x v="0"/>
    <s v="No"/>
    <d v="2025-09-11T00:00:00"/>
    <d v="2026-03-10T00:00:00"/>
    <d v="1899-12-30T09:15:00"/>
    <d v="1899-12-30T13:19:00"/>
    <s v="A"/>
    <s v="09:15 AM"/>
    <s v="Delayed"/>
    <s v="4 Hours 4 Minutes"/>
    <x v="1"/>
  </r>
  <r>
    <x v="945"/>
    <x v="104"/>
    <x v="9"/>
    <x v="1"/>
    <s v="Tirunelveli"/>
    <x v="3"/>
    <s v="Arun"/>
    <n v="66"/>
    <n v="88"/>
    <x v="3"/>
    <n v="10000"/>
    <n v="8620"/>
    <n v="2000"/>
    <x v="0"/>
    <s v="No"/>
    <d v="2025-12-09T00:00:00"/>
    <d v="2026-01-08T00:00:00"/>
    <d v="1899-12-30T09:15:00"/>
    <d v="1899-12-30T11:56:00"/>
    <s v="C"/>
    <s v="09:15 AM"/>
    <s v="On Time"/>
    <s v="2 Hours 41 Minutes"/>
    <x v="1"/>
  </r>
  <r>
    <x v="946"/>
    <x v="126"/>
    <x v="6"/>
    <x v="1"/>
    <s v="Hyderabad"/>
    <x v="3"/>
    <s v="Arun"/>
    <n v="56"/>
    <n v="78"/>
    <x v="0"/>
    <n v="15000"/>
    <n v="17110"/>
    <n v="0"/>
    <x v="1"/>
    <s v="No"/>
    <d v="2025-10-15T00:00:00"/>
    <d v="2026-04-13T00:00:00"/>
    <d v="1899-12-30T10:41:00"/>
    <d v="1899-12-30T15:09:00"/>
    <s v="D"/>
    <s v="10:41 AM"/>
    <s v="Delayed"/>
    <s v="4 Hours 28 Minutes"/>
    <x v="0"/>
  </r>
  <r>
    <x v="947"/>
    <x v="178"/>
    <x v="2"/>
    <x v="0"/>
    <s v="Coimbatore"/>
    <x v="7"/>
    <s v="Sneha"/>
    <n v="40"/>
    <n v="68"/>
    <x v="0"/>
    <n v="10000"/>
    <n v="6620"/>
    <n v="4000"/>
    <x v="0"/>
    <s v="No"/>
    <d v="2025-06-09T00:00:00"/>
    <d v="2025-09-07T00:00:00"/>
    <d v="1899-12-30T08:41:00"/>
    <d v="1899-12-30T13:01:00"/>
    <s v="D"/>
    <s v="08:41 AM"/>
    <s v="On Time"/>
    <s v="4 Hours 20 Minutes"/>
    <x v="1"/>
  </r>
  <r>
    <x v="948"/>
    <x v="192"/>
    <x v="1"/>
    <x v="1"/>
    <s v="Thoothukudi"/>
    <x v="5"/>
    <s v="Mani Prabhu"/>
    <n v="57"/>
    <n v="95"/>
    <x v="0"/>
    <n v="12000"/>
    <n v="8390"/>
    <n v="4000"/>
    <x v="0"/>
    <s v="No"/>
    <d v="2025-10-07T00:00:00"/>
    <d v="2025-12-06T00:00:00"/>
    <d v="1899-12-30T08:17:00"/>
    <d v="1899-12-30T09:25:00"/>
    <s v="D"/>
    <s v="08:17 AM"/>
    <s v="On Time"/>
    <s v="1 Hours 8 Minutes"/>
    <x v="1"/>
  </r>
  <r>
    <x v="949"/>
    <x v="202"/>
    <x v="2"/>
    <x v="0"/>
    <s v="Vellore"/>
    <x v="0"/>
    <s v="David"/>
    <n v="89"/>
    <n v="68"/>
    <x v="1"/>
    <n v="12000"/>
    <n v="10390"/>
    <n v="2000"/>
    <x v="0"/>
    <s v="Yes"/>
    <d v="2025-05-27T00:00:00"/>
    <d v="2025-11-23T00:00:00"/>
    <d v="1899-12-30T09:08:00"/>
    <d v="1899-12-30T13:28:00"/>
    <s v="B"/>
    <s v="09:08 AM"/>
    <s v="Delayed"/>
    <s v="4 Hours 20 Minutes"/>
    <x v="1"/>
  </r>
  <r>
    <x v="950"/>
    <x v="142"/>
    <x v="4"/>
    <x v="0"/>
    <s v="Erode"/>
    <x v="6"/>
    <s v="Karthik"/>
    <n v="69"/>
    <n v="99"/>
    <x v="3"/>
    <n v="18000"/>
    <n v="19470"/>
    <n v="0"/>
    <x v="1"/>
    <s v="No"/>
    <d v="2025-01-28T00:00:00"/>
    <d v="2025-04-28T00:00:00"/>
    <d v="1899-12-30T10:09:00"/>
    <d v="1899-12-30T11:58:00"/>
    <s v="C"/>
    <s v="10:09 AM"/>
    <s v="On Time"/>
    <s v="1 Hours 49 Minutes"/>
    <x v="0"/>
  </r>
  <r>
    <x v="951"/>
    <x v="140"/>
    <x v="8"/>
    <x v="0"/>
    <s v="Kanchipuram"/>
    <x v="7"/>
    <s v="Sneha"/>
    <n v="81"/>
    <n v="97"/>
    <x v="1"/>
    <n v="15000"/>
    <n v="13110"/>
    <n v="4000"/>
    <x v="0"/>
    <s v="No"/>
    <d v="2025-06-09T00:00:00"/>
    <d v="2025-08-08T00:00:00"/>
    <d v="1899-12-30T10:05:00"/>
    <d v="1899-12-30T12:16:00"/>
    <s v="B"/>
    <s v="10:05 AM"/>
    <s v="On Time"/>
    <s v="2 Hours 11 Minutes"/>
    <x v="0"/>
  </r>
  <r>
    <x v="952"/>
    <x v="96"/>
    <x v="4"/>
    <x v="0"/>
    <s v="Erode"/>
    <x v="3"/>
    <s v="Arun"/>
    <n v="89"/>
    <n v="72"/>
    <x v="1"/>
    <n v="15000"/>
    <n v="12520"/>
    <n v="4000"/>
    <x v="0"/>
    <s v="No"/>
    <d v="2025-01-21T00:00:00"/>
    <d v="2025-02-20T00:00:00"/>
    <d v="1899-12-30T10:02:00"/>
    <d v="1899-12-30T14:25:00"/>
    <s v="B"/>
    <s v="10:02 AM"/>
    <s v="On Time"/>
    <s v="4 Hours 23 Minutes"/>
    <x v="0"/>
  </r>
  <r>
    <x v="953"/>
    <x v="82"/>
    <x v="2"/>
    <x v="1"/>
    <s v="Chennai"/>
    <x v="6"/>
    <s v="Karthik"/>
    <n v="97"/>
    <n v="70"/>
    <x v="2"/>
    <n v="15000"/>
    <n v="17110"/>
    <n v="0"/>
    <x v="1"/>
    <s v="No"/>
    <d v="2025-12-06T00:00:00"/>
    <d v="2026-01-05T00:00:00"/>
    <d v="1899-12-30T08:11:00"/>
    <d v="1899-12-30T09:47:00"/>
    <s v="A"/>
    <s v="08:11 AM"/>
    <s v="On Time"/>
    <s v="1 Hours 36 Minutes"/>
    <x v="1"/>
  </r>
  <r>
    <x v="954"/>
    <x v="195"/>
    <x v="4"/>
    <x v="0"/>
    <s v="Bengaluru"/>
    <x v="0"/>
    <s v="David"/>
    <n v="39"/>
    <n v="67"/>
    <x v="0"/>
    <n v="15000"/>
    <n v="15930"/>
    <n v="0"/>
    <x v="1"/>
    <s v="Yes"/>
    <d v="2025-01-24T00:00:00"/>
    <d v="2025-07-23T00:00:00"/>
    <d v="1899-12-30T10:53:00"/>
    <d v="1899-12-30T13:57:00"/>
    <s v="D"/>
    <s v="10:53 AM"/>
    <s v="Delayed"/>
    <s v="3 Hours 4 Minutes"/>
    <x v="0"/>
  </r>
  <r>
    <x v="955"/>
    <x v="31"/>
    <x v="8"/>
    <x v="0"/>
    <s v="Trichy"/>
    <x v="2"/>
    <s v="Priya"/>
    <n v="82"/>
    <n v="69"/>
    <x v="1"/>
    <n v="12000"/>
    <n v="12390"/>
    <n v="0"/>
    <x v="1"/>
    <s v="No"/>
    <d v="2025-01-07T00:00:00"/>
    <d v="2025-05-07T00:00:00"/>
    <d v="1899-12-30T10:01:00"/>
    <d v="1899-12-30T13:04:00"/>
    <s v="B"/>
    <s v="10:01 AM"/>
    <s v="Delayed"/>
    <s v="3 Hours 3 Minutes"/>
    <x v="0"/>
  </r>
  <r>
    <x v="956"/>
    <x v="128"/>
    <x v="7"/>
    <x v="0"/>
    <s v="Kanchipuram"/>
    <x v="4"/>
    <s v="John"/>
    <n v="95"/>
    <n v="82"/>
    <x v="2"/>
    <n v="12000"/>
    <n v="12390"/>
    <n v="0"/>
    <x v="1"/>
    <s v="No"/>
    <d v="2025-11-27T00:00:00"/>
    <d v="2025-12-27T00:00:00"/>
    <d v="1899-12-30T08:05:00"/>
    <d v="1899-12-30T12:24:00"/>
    <s v="A"/>
    <s v="08:05 AM"/>
    <s v="On Time"/>
    <s v="4 Hours 19 Minutes"/>
    <x v="1"/>
  </r>
  <r>
    <x v="957"/>
    <x v="54"/>
    <x v="3"/>
    <x v="0"/>
    <s v="Erode"/>
    <x v="6"/>
    <s v="Karthik"/>
    <n v="83"/>
    <n v="78"/>
    <x v="1"/>
    <n v="15000"/>
    <n v="17700"/>
    <n v="0"/>
    <x v="1"/>
    <s v="No"/>
    <d v="2025-07-21T00:00:00"/>
    <d v="2026-01-17T00:00:00"/>
    <d v="1899-12-30T09:49:00"/>
    <d v="1899-12-30T12:52:00"/>
    <s v="B"/>
    <s v="09:49 AM"/>
    <s v="Delayed"/>
    <s v="3 Hours 3 Minutes"/>
    <x v="1"/>
  </r>
  <r>
    <x v="958"/>
    <x v="105"/>
    <x v="1"/>
    <x v="1"/>
    <s v="Erode"/>
    <x v="3"/>
    <s v="Arun"/>
    <n v="84"/>
    <n v="87"/>
    <x v="1"/>
    <n v="18000"/>
    <n v="19470"/>
    <n v="0"/>
    <x v="1"/>
    <s v="No"/>
    <d v="2025-08-25T00:00:00"/>
    <d v="2025-10-24T00:00:00"/>
    <d v="1899-12-30T09:58:00"/>
    <d v="1899-12-30T12:58:00"/>
    <s v="B"/>
    <s v="09:58 AM"/>
    <s v="On Time"/>
    <s v="3 Hours 0 Minutes"/>
    <x v="1"/>
  </r>
  <r>
    <x v="959"/>
    <x v="118"/>
    <x v="1"/>
    <x v="0"/>
    <s v="Erode"/>
    <x v="4"/>
    <s v="John"/>
    <n v="44"/>
    <n v="67"/>
    <x v="0"/>
    <n v="15000"/>
    <n v="17110"/>
    <n v="0"/>
    <x v="1"/>
    <s v="No"/>
    <d v="2025-08-09T00:00:00"/>
    <d v="2026-02-05T00:00:00"/>
    <d v="1899-12-30T10:35:00"/>
    <d v="1899-12-30T15:04:00"/>
    <s v="D"/>
    <s v="10:35 AM"/>
    <s v="Delayed"/>
    <s v="4 Hours 29 Minutes"/>
    <x v="0"/>
  </r>
  <r>
    <x v="960"/>
    <x v="50"/>
    <x v="3"/>
    <x v="0"/>
    <s v="Hyderabad"/>
    <x v="1"/>
    <s v="Nandhini"/>
    <n v="43"/>
    <n v="82"/>
    <x v="0"/>
    <n v="15000"/>
    <n v="17700"/>
    <n v="0"/>
    <x v="1"/>
    <s v="No"/>
    <d v="2025-01-05T00:00:00"/>
    <d v="2025-02-04T00:00:00"/>
    <d v="1899-12-30T10:48:00"/>
    <d v="1899-12-30T11:48:00"/>
    <s v="D"/>
    <s v="10:48 AM"/>
    <s v="On Time"/>
    <s v="1 Hours 0 Minutes"/>
    <x v="0"/>
  </r>
  <r>
    <x v="961"/>
    <x v="198"/>
    <x v="0"/>
    <x v="1"/>
    <s v="Madurai"/>
    <x v="6"/>
    <s v="Karthik"/>
    <n v="50"/>
    <n v="61"/>
    <x v="0"/>
    <n v="20000"/>
    <n v="21830"/>
    <n v="0"/>
    <x v="1"/>
    <s v="No"/>
    <d v="2025-03-02T00:00:00"/>
    <d v="2025-08-29T00:00:00"/>
    <d v="1899-12-30T10:38:00"/>
    <d v="1899-12-30T12:42:00"/>
    <s v="D"/>
    <s v="10:38 AM"/>
    <s v="Delayed"/>
    <s v="2 Hours 4 Minutes"/>
    <x v="0"/>
  </r>
  <r>
    <x v="962"/>
    <x v="197"/>
    <x v="1"/>
    <x v="1"/>
    <s v="Chennai"/>
    <x v="4"/>
    <s v="John"/>
    <n v="41"/>
    <n v="63"/>
    <x v="0"/>
    <n v="12000"/>
    <n v="10980"/>
    <n v="2000"/>
    <x v="0"/>
    <s v="No"/>
    <d v="2025-06-26T00:00:00"/>
    <d v="2025-09-24T00:00:00"/>
    <d v="1899-12-30T08:10:00"/>
    <d v="1899-12-30T09:26:00"/>
    <s v="D"/>
    <s v="08:10 AM"/>
    <s v="On Time"/>
    <s v="1 Hours 16 Minutes"/>
    <x v="1"/>
  </r>
  <r>
    <x v="963"/>
    <x v="60"/>
    <x v="0"/>
    <x v="0"/>
    <s v="Hyderabad"/>
    <x v="1"/>
    <s v="Nandhini"/>
    <n v="66"/>
    <n v="98"/>
    <x v="3"/>
    <n v="12000"/>
    <n v="10160"/>
    <n v="4000"/>
    <x v="0"/>
    <s v="No"/>
    <d v="2025-09-05T00:00:00"/>
    <d v="2026-03-04T00:00:00"/>
    <d v="1899-12-30T09:04:00"/>
    <d v="1899-12-30T12:29:00"/>
    <s v="C"/>
    <s v="09:04 AM"/>
    <s v="Delayed"/>
    <s v="3 Hours 25 Minutes"/>
    <x v="1"/>
  </r>
  <r>
    <x v="964"/>
    <x v="223"/>
    <x v="10"/>
    <x v="1"/>
    <s v="Salem"/>
    <x v="1"/>
    <s v="Nandhini"/>
    <n v="60"/>
    <n v="60"/>
    <x v="3"/>
    <n v="20000"/>
    <n v="22420"/>
    <n v="0"/>
    <x v="1"/>
    <s v="Yes"/>
    <d v="2025-03-08T00:00:00"/>
    <d v="2025-07-06T00:00:00"/>
    <d v="1899-12-30T09:10:00"/>
    <d v="1899-12-30T13:46:00"/>
    <s v="C"/>
    <s v="09:10 AM"/>
    <s v="Delayed"/>
    <s v="4 Hours 36 Minutes"/>
    <x v="1"/>
  </r>
  <r>
    <x v="965"/>
    <x v="151"/>
    <x v="3"/>
    <x v="1"/>
    <s v="Thoothukudi"/>
    <x v="4"/>
    <s v="John"/>
    <n v="64"/>
    <n v="61"/>
    <x v="3"/>
    <n v="20000"/>
    <n v="21010"/>
    <n v="2000"/>
    <x v="0"/>
    <s v="No"/>
    <d v="2025-03-11T00:00:00"/>
    <d v="2025-05-10T00:00:00"/>
    <d v="1899-12-30T10:08:00"/>
    <d v="1899-12-30T11:47:00"/>
    <s v="C"/>
    <s v="10:08 AM"/>
    <s v="On Time"/>
    <s v="1 Hours 39 Minutes"/>
    <x v="0"/>
  </r>
  <r>
    <x v="966"/>
    <x v="96"/>
    <x v="0"/>
    <x v="1"/>
    <s v="Salem"/>
    <x v="1"/>
    <s v="Nandhini"/>
    <n v="57"/>
    <n v="65"/>
    <x v="0"/>
    <n v="12000"/>
    <n v="10160"/>
    <n v="4000"/>
    <x v="0"/>
    <s v="No"/>
    <d v="2025-03-01T00:00:00"/>
    <d v="2025-05-30T00:00:00"/>
    <d v="1899-12-30T10:57:00"/>
    <d v="1899-12-30T15:53:00"/>
    <s v="D"/>
    <s v="10:57 AM"/>
    <s v="On Time"/>
    <s v="4 Hours 56 Minutes"/>
    <x v="0"/>
  </r>
  <r>
    <x v="967"/>
    <x v="106"/>
    <x v="3"/>
    <x v="0"/>
    <s v="Hyderabad"/>
    <x v="3"/>
    <s v="Arun"/>
    <n v="59"/>
    <n v="87"/>
    <x v="0"/>
    <n v="15000"/>
    <n v="13700"/>
    <n v="4000"/>
    <x v="0"/>
    <s v="No"/>
    <d v="2025-12-30T00:00:00"/>
    <d v="2026-01-29T00:00:00"/>
    <d v="1899-12-30T10:10:00"/>
    <d v="1899-12-30T14:05:00"/>
    <s v="D"/>
    <s v="10:10 AM"/>
    <s v="On Time"/>
    <s v="3 Hours 55 Minutes"/>
    <x v="0"/>
  </r>
  <r>
    <x v="968"/>
    <x v="90"/>
    <x v="9"/>
    <x v="0"/>
    <s v="Madurai"/>
    <x v="2"/>
    <s v="Priya"/>
    <n v="85"/>
    <n v="90"/>
    <x v="1"/>
    <n v="18000"/>
    <n v="15470"/>
    <n v="4000"/>
    <x v="0"/>
    <s v="No"/>
    <d v="2025-11-04T00:00:00"/>
    <d v="2026-01-03T00:00:00"/>
    <d v="1899-12-30T10:03:00"/>
    <d v="1899-12-30T14:42:00"/>
    <s v="B"/>
    <s v="10:03 AM"/>
    <s v="On Time"/>
    <s v="4 Hours 39 Minutes"/>
    <x v="0"/>
  </r>
  <r>
    <x v="969"/>
    <x v="211"/>
    <x v="7"/>
    <x v="0"/>
    <s v="Erode"/>
    <x v="3"/>
    <s v="Arun"/>
    <n v="68"/>
    <n v="81"/>
    <x v="3"/>
    <n v="12000"/>
    <n v="10390"/>
    <n v="2000"/>
    <x v="0"/>
    <s v="No"/>
    <d v="2025-12-16T00:00:00"/>
    <d v="2026-02-14T00:00:00"/>
    <d v="1899-12-30T08:37:00"/>
    <d v="1899-12-30T10:20:00"/>
    <s v="C"/>
    <s v="08:37 AM"/>
    <s v="On Time"/>
    <s v="1 Hours 43 Minutes"/>
    <x v="1"/>
  </r>
  <r>
    <x v="970"/>
    <x v="158"/>
    <x v="8"/>
    <x v="0"/>
    <s v="Kanchipuram"/>
    <x v="1"/>
    <s v="Nandhini"/>
    <n v="76"/>
    <n v="81"/>
    <x v="1"/>
    <n v="18000"/>
    <n v="21240"/>
    <n v="0"/>
    <x v="1"/>
    <s v="No"/>
    <d v="2025-03-29T00:00:00"/>
    <d v="2025-07-27T00:00:00"/>
    <d v="1899-12-30T08:45:00"/>
    <d v="1899-12-30T10:56:00"/>
    <s v="B"/>
    <s v="08:45 AM"/>
    <s v="Delayed"/>
    <s v="2 Hours 11 Minutes"/>
    <x v="1"/>
  </r>
  <r>
    <x v="971"/>
    <x v="60"/>
    <x v="3"/>
    <x v="0"/>
    <s v="Vellore"/>
    <x v="1"/>
    <s v="Nandhini"/>
    <n v="37"/>
    <n v="87"/>
    <x v="0"/>
    <n v="15000"/>
    <n v="13110"/>
    <n v="4000"/>
    <x v="0"/>
    <s v="No"/>
    <d v="2025-07-30T00:00:00"/>
    <d v="2025-08-29T00:00:00"/>
    <d v="1899-12-30T09:34:00"/>
    <d v="1899-12-30T13:44:00"/>
    <s v="D"/>
    <s v="09:34 AM"/>
    <s v="On Time"/>
    <s v="4 Hours 10 Minutes"/>
    <x v="1"/>
  </r>
  <r>
    <x v="972"/>
    <x v="5"/>
    <x v="1"/>
    <x v="0"/>
    <s v="Vellore"/>
    <x v="6"/>
    <s v="Karthik"/>
    <n v="95"/>
    <n v="72"/>
    <x v="2"/>
    <n v="12000"/>
    <n v="8390"/>
    <n v="4000"/>
    <x v="0"/>
    <s v="No"/>
    <d v="2025-08-11T00:00:00"/>
    <d v="2025-12-09T00:00:00"/>
    <d v="1899-12-30T08:48:00"/>
    <d v="1899-12-30T10:31:00"/>
    <s v="A"/>
    <s v="08:48 AM"/>
    <s v="Delayed"/>
    <s v="1 Hours 43 Minutes"/>
    <x v="1"/>
  </r>
  <r>
    <x v="973"/>
    <x v="83"/>
    <x v="5"/>
    <x v="1"/>
    <s v="Madurai"/>
    <x v="1"/>
    <s v="Nandhini"/>
    <n v="38"/>
    <n v="92"/>
    <x v="0"/>
    <n v="20000"/>
    <n v="19600"/>
    <n v="4000"/>
    <x v="0"/>
    <s v="No"/>
    <d v="2025-07-18T00:00:00"/>
    <d v="2025-10-16T00:00:00"/>
    <d v="1899-12-30T08:59:00"/>
    <d v="1899-12-30T10:34:00"/>
    <s v="D"/>
    <s v="08:59 AM"/>
    <s v="On Time"/>
    <s v="1 Hours 35 Minutes"/>
    <x v="1"/>
  </r>
  <r>
    <x v="974"/>
    <x v="229"/>
    <x v="5"/>
    <x v="1"/>
    <s v="Erode"/>
    <x v="0"/>
    <s v="David"/>
    <n v="80"/>
    <n v="62"/>
    <x v="1"/>
    <n v="15000"/>
    <n v="11930"/>
    <n v="4000"/>
    <x v="0"/>
    <s v="No"/>
    <d v="2025-07-30T00:00:00"/>
    <d v="2026-01-26T00:00:00"/>
    <d v="1899-12-30T10:13:00"/>
    <d v="1899-12-30T11:37:00"/>
    <s v="B"/>
    <s v="10:13 AM"/>
    <s v="Delayed"/>
    <s v="1 Hours 24 Minutes"/>
    <x v="0"/>
  </r>
  <r>
    <x v="975"/>
    <x v="124"/>
    <x v="6"/>
    <x v="1"/>
    <s v="Chennai"/>
    <x v="6"/>
    <s v="Karthik"/>
    <n v="100"/>
    <n v="65"/>
    <x v="2"/>
    <n v="15000"/>
    <n v="13700"/>
    <n v="4000"/>
    <x v="0"/>
    <s v="No"/>
    <d v="2025-02-25T00:00:00"/>
    <d v="2025-08-24T00:00:00"/>
    <d v="1899-12-30T08:09:00"/>
    <d v="1899-12-30T10:48:00"/>
    <s v="A"/>
    <s v="08:09 AM"/>
    <s v="Delayed"/>
    <s v="2 Hours 39 Minutes"/>
    <x v="1"/>
  </r>
  <r>
    <x v="976"/>
    <x v="62"/>
    <x v="1"/>
    <x v="1"/>
    <s v="Kanchipuram"/>
    <x v="5"/>
    <s v="Mani Prabhu"/>
    <n v="65"/>
    <n v="64"/>
    <x v="3"/>
    <n v="10000"/>
    <n v="7800"/>
    <n v="4000"/>
    <x v="0"/>
    <s v="No"/>
    <d v="2025-07-05T00:00:00"/>
    <d v="2025-08-04T00:00:00"/>
    <d v="1899-12-30T08:23:00"/>
    <d v="1899-12-30T12:10:00"/>
    <s v="C"/>
    <s v="08:23 AM"/>
    <s v="On Time"/>
    <s v="3 Hours 47 Minutes"/>
    <x v="1"/>
  </r>
  <r>
    <x v="977"/>
    <x v="31"/>
    <x v="2"/>
    <x v="1"/>
    <s v="Trichy"/>
    <x v="1"/>
    <s v="Nandhini"/>
    <n v="95"/>
    <n v="77"/>
    <x v="2"/>
    <n v="12000"/>
    <n v="10160"/>
    <n v="4000"/>
    <x v="0"/>
    <s v="No"/>
    <d v="2025-08-24T00:00:00"/>
    <d v="2026-02-20T00:00:00"/>
    <d v="1899-12-30T10:16:00"/>
    <d v="1899-12-30T11:17:00"/>
    <s v="A"/>
    <s v="10:16 AM"/>
    <s v="Delayed"/>
    <s v="1 Hours 1 Minutes"/>
    <x v="0"/>
  </r>
  <r>
    <x v="978"/>
    <x v="202"/>
    <x v="2"/>
    <x v="1"/>
    <s v="Thoothukudi"/>
    <x v="2"/>
    <s v="Priya"/>
    <n v="69"/>
    <n v="60"/>
    <x v="3"/>
    <n v="18000"/>
    <n v="19470"/>
    <n v="0"/>
    <x v="1"/>
    <s v="Yes"/>
    <d v="2025-03-17T00:00:00"/>
    <d v="2025-09-13T00:00:00"/>
    <d v="1899-12-30T08:39:00"/>
    <d v="1899-12-30T12:50:00"/>
    <s v="C"/>
    <s v="08:39 AM"/>
    <s v="Delayed"/>
    <s v="4 Hours 11 Minutes"/>
    <x v="1"/>
  </r>
  <r>
    <x v="979"/>
    <x v="116"/>
    <x v="3"/>
    <x v="0"/>
    <s v="Vellore"/>
    <x v="7"/>
    <s v="Sneha"/>
    <n v="56"/>
    <n v="75"/>
    <x v="0"/>
    <n v="20000"/>
    <n v="17830"/>
    <n v="4000"/>
    <x v="0"/>
    <s v="No"/>
    <d v="2025-02-25T00:00:00"/>
    <d v="2025-04-26T00:00:00"/>
    <d v="1899-12-30T10:49:00"/>
    <d v="1899-12-30T13:51:00"/>
    <s v="D"/>
    <s v="10:49 AM"/>
    <s v="On Time"/>
    <s v="3 Hours 2 Minutes"/>
    <x v="0"/>
  </r>
  <r>
    <x v="980"/>
    <x v="236"/>
    <x v="10"/>
    <x v="1"/>
    <s v="Kanchipuram"/>
    <x v="7"/>
    <s v="Sneha"/>
    <n v="66"/>
    <n v="95"/>
    <x v="3"/>
    <n v="18000"/>
    <n v="17240"/>
    <n v="4000"/>
    <x v="0"/>
    <s v="No"/>
    <d v="2025-06-26T00:00:00"/>
    <d v="2025-12-23T00:00:00"/>
    <d v="1899-12-30T08:16:00"/>
    <d v="1899-12-30T09:34:00"/>
    <s v="C"/>
    <s v="08:16 AM"/>
    <s v="Delayed"/>
    <s v="1 Hours 18 Minutes"/>
    <x v="1"/>
  </r>
  <r>
    <x v="981"/>
    <x v="220"/>
    <x v="5"/>
    <x v="0"/>
    <s v="Bengaluru"/>
    <x v="0"/>
    <s v="David"/>
    <n v="84"/>
    <n v="62"/>
    <x v="1"/>
    <n v="15000"/>
    <n v="17700"/>
    <n v="0"/>
    <x v="1"/>
    <s v="Yes"/>
    <d v="2025-03-08T00:00:00"/>
    <d v="2025-06-06T00:00:00"/>
    <d v="1899-12-30T08:04:00"/>
    <d v="1899-12-30T12:04:00"/>
    <s v="B"/>
    <s v="08:04 AM"/>
    <s v="On Time"/>
    <s v="4 Hours 0 Minutes"/>
    <x v="1"/>
  </r>
  <r>
    <x v="982"/>
    <x v="207"/>
    <x v="3"/>
    <x v="0"/>
    <s v="Vellore"/>
    <x v="3"/>
    <s v="Arun"/>
    <n v="52"/>
    <n v="75"/>
    <x v="0"/>
    <n v="18000"/>
    <n v="18650"/>
    <n v="2000"/>
    <x v="0"/>
    <s v="No"/>
    <d v="2025-04-21T00:00:00"/>
    <d v="2025-07-20T00:00:00"/>
    <d v="1899-12-30T08:59:00"/>
    <d v="1899-12-30T10:45:00"/>
    <s v="D"/>
    <s v="08:59 AM"/>
    <s v="On Time"/>
    <s v="1 Hours 46 Minutes"/>
    <x v="1"/>
  </r>
  <r>
    <x v="983"/>
    <x v="73"/>
    <x v="9"/>
    <x v="1"/>
    <s v="Salem"/>
    <x v="4"/>
    <s v="John"/>
    <n v="78"/>
    <n v="78"/>
    <x v="1"/>
    <n v="12000"/>
    <n v="13570"/>
    <n v="0"/>
    <x v="1"/>
    <s v="No"/>
    <d v="2025-04-01T00:00:00"/>
    <d v="2025-09-28T00:00:00"/>
    <d v="1899-12-30T10:30:00"/>
    <d v="1899-12-30T12:58:00"/>
    <s v="B"/>
    <s v="10:30 AM"/>
    <s v="Delayed"/>
    <s v="2 Hours 28 Minutes"/>
    <x v="0"/>
  </r>
  <r>
    <x v="984"/>
    <x v="54"/>
    <x v="8"/>
    <x v="1"/>
    <s v="Bengaluru"/>
    <x v="7"/>
    <s v="Sneha"/>
    <n v="50"/>
    <n v="72"/>
    <x v="0"/>
    <n v="18000"/>
    <n v="21240"/>
    <n v="0"/>
    <x v="1"/>
    <s v="No"/>
    <d v="2025-10-02T00:00:00"/>
    <d v="2026-01-30T00:00:00"/>
    <d v="1899-12-30T10:47:00"/>
    <d v="1899-12-30T13:21:00"/>
    <s v="D"/>
    <s v="10:47 AM"/>
    <s v="Delayed"/>
    <s v="2 Hours 34 Minutes"/>
    <x v="0"/>
  </r>
  <r>
    <x v="985"/>
    <x v="227"/>
    <x v="2"/>
    <x v="0"/>
    <s v="Vellore"/>
    <x v="7"/>
    <s v="Sneha"/>
    <n v="49"/>
    <n v="66"/>
    <x v="0"/>
    <n v="18000"/>
    <n v="19240"/>
    <n v="2000"/>
    <x v="0"/>
    <s v="No"/>
    <d v="2025-04-10T00:00:00"/>
    <d v="2025-07-09T00:00:00"/>
    <d v="1899-12-30T09:27:00"/>
    <d v="1899-12-30T11:17:00"/>
    <s v="D"/>
    <s v="09:27 AM"/>
    <s v="On Time"/>
    <s v="1 Hours 50 Minutes"/>
    <x v="1"/>
  </r>
  <r>
    <x v="986"/>
    <x v="16"/>
    <x v="5"/>
    <x v="1"/>
    <s v="Chennai"/>
    <x v="6"/>
    <s v="Karthik"/>
    <n v="67"/>
    <n v="96"/>
    <x v="3"/>
    <n v="12000"/>
    <n v="9570"/>
    <n v="4000"/>
    <x v="0"/>
    <s v="No"/>
    <d v="2025-11-08T00:00:00"/>
    <d v="2025-12-08T00:00:00"/>
    <d v="1899-12-30T10:35:00"/>
    <d v="1899-12-30T12:36:00"/>
    <s v="C"/>
    <s v="10:35 AM"/>
    <s v="On Time"/>
    <s v="2 Hours 1 Minutes"/>
    <x v="0"/>
  </r>
  <r>
    <x v="987"/>
    <x v="28"/>
    <x v="7"/>
    <x v="1"/>
    <s v="Trichy"/>
    <x v="0"/>
    <s v="David"/>
    <n v="73"/>
    <n v="61"/>
    <x v="3"/>
    <n v="18000"/>
    <n v="20650"/>
    <n v="0"/>
    <x v="1"/>
    <s v="Yes"/>
    <d v="2025-08-06T00:00:00"/>
    <d v="2026-02-02T00:00:00"/>
    <d v="1899-12-30T09:49:00"/>
    <d v="1899-12-30T14:19:00"/>
    <s v="C"/>
    <s v="09:49 AM"/>
    <s v="Delayed"/>
    <s v="4 Hours 30 Minutes"/>
    <x v="1"/>
  </r>
  <r>
    <x v="988"/>
    <x v="93"/>
    <x v="7"/>
    <x v="1"/>
    <s v="Coimbatore"/>
    <x v="2"/>
    <s v="Priya"/>
    <n v="56"/>
    <n v="88"/>
    <x v="0"/>
    <n v="15000"/>
    <n v="13930"/>
    <n v="2000"/>
    <x v="0"/>
    <s v="No"/>
    <d v="2025-12-08T00:00:00"/>
    <d v="2026-03-08T00:00:00"/>
    <d v="1899-12-30T10:21:00"/>
    <d v="1899-12-30T15:09:00"/>
    <s v="D"/>
    <s v="10:21 AM"/>
    <s v="On Time"/>
    <s v="4 Hours 48 Minutes"/>
    <x v="0"/>
  </r>
  <r>
    <x v="989"/>
    <x v="111"/>
    <x v="0"/>
    <x v="1"/>
    <s v="Erode"/>
    <x v="0"/>
    <s v="David"/>
    <n v="95"/>
    <n v="71"/>
    <x v="2"/>
    <n v="15000"/>
    <n v="14520"/>
    <n v="2000"/>
    <x v="0"/>
    <s v="No"/>
    <d v="2025-02-18T00:00:00"/>
    <d v="2025-06-18T00:00:00"/>
    <d v="1899-12-30T10:24:00"/>
    <d v="1899-12-30T12:24:00"/>
    <s v="A"/>
    <s v="10:24 AM"/>
    <s v="Delayed"/>
    <s v="2 Hours 0 Minutes"/>
    <x v="0"/>
  </r>
  <r>
    <x v="990"/>
    <x v="169"/>
    <x v="8"/>
    <x v="0"/>
    <s v="Kanchipuram"/>
    <x v="7"/>
    <s v="Sneha"/>
    <n v="35"/>
    <n v="95"/>
    <x v="0"/>
    <n v="15000"/>
    <n v="16520"/>
    <n v="0"/>
    <x v="1"/>
    <s v="No"/>
    <d v="2025-10-01T00:00:00"/>
    <d v="2026-03-30T00:00:00"/>
    <d v="1899-12-30T09:26:00"/>
    <d v="1899-12-30T11:24:00"/>
    <s v="D"/>
    <s v="09:26 AM"/>
    <s v="Delayed"/>
    <s v="1 Hours 58 Minutes"/>
    <x v="1"/>
  </r>
  <r>
    <x v="991"/>
    <x v="228"/>
    <x v="0"/>
    <x v="1"/>
    <s v="Coimbatore"/>
    <x v="1"/>
    <s v="Nandhini"/>
    <n v="43"/>
    <n v="79"/>
    <x v="0"/>
    <n v="18000"/>
    <n v="17240"/>
    <n v="4000"/>
    <x v="0"/>
    <s v="No"/>
    <d v="2025-06-21T00:00:00"/>
    <d v="2025-09-19T00:00:00"/>
    <d v="1899-12-30T09:01:00"/>
    <d v="1899-12-30T13:43:00"/>
    <s v="D"/>
    <s v="09:01 AM"/>
    <s v="On Time"/>
    <s v="4 Hours 42 Minutes"/>
    <x v="1"/>
  </r>
  <r>
    <x v="992"/>
    <x v="2"/>
    <x v="2"/>
    <x v="1"/>
    <s v="Hyderabad"/>
    <x v="1"/>
    <s v="Nandhini"/>
    <n v="84"/>
    <n v="62"/>
    <x v="1"/>
    <n v="18000"/>
    <n v="17470"/>
    <n v="2000"/>
    <x v="0"/>
    <s v="No"/>
    <d v="2025-07-06T00:00:00"/>
    <d v="2025-10-04T00:00:00"/>
    <d v="1899-12-30T08:26:00"/>
    <d v="1899-12-30T09:39:00"/>
    <s v="B"/>
    <s v="08:26 AM"/>
    <s v="On Time"/>
    <s v="1 Hours 13 Minutes"/>
    <x v="1"/>
  </r>
  <r>
    <x v="993"/>
    <x v="166"/>
    <x v="1"/>
    <x v="0"/>
    <s v="Tirunelveli"/>
    <x v="6"/>
    <s v="Karthik"/>
    <n v="100"/>
    <n v="83"/>
    <x v="2"/>
    <n v="20000"/>
    <n v="17830"/>
    <n v="4000"/>
    <x v="0"/>
    <s v="No"/>
    <d v="2025-05-26T00:00:00"/>
    <d v="2025-09-23T00:00:00"/>
    <d v="1899-12-30T08:26:00"/>
    <d v="1899-12-30T10:04:00"/>
    <s v="A"/>
    <s v="08:26 AM"/>
    <s v="Delayed"/>
    <s v="1 Hours 38 Minutes"/>
    <x v="1"/>
  </r>
  <r>
    <x v="994"/>
    <x v="4"/>
    <x v="8"/>
    <x v="0"/>
    <s v="Vellore"/>
    <x v="2"/>
    <s v="Priya"/>
    <n v="82"/>
    <n v="100"/>
    <x v="1"/>
    <n v="15000"/>
    <n v="16520"/>
    <n v="0"/>
    <x v="1"/>
    <s v="No"/>
    <d v="2025-09-20T00:00:00"/>
    <d v="2026-03-19T00:00:00"/>
    <d v="1899-12-30T09:25:00"/>
    <d v="1899-12-30T10:30:00"/>
    <s v="B"/>
    <s v="09:25 AM"/>
    <s v="Delayed"/>
    <s v="1 Hours 5 Minutes"/>
    <x v="1"/>
  </r>
  <r>
    <x v="995"/>
    <x v="123"/>
    <x v="8"/>
    <x v="0"/>
    <s v="Salem"/>
    <x v="2"/>
    <s v="Priya"/>
    <n v="80"/>
    <n v="67"/>
    <x v="1"/>
    <n v="12000"/>
    <n v="8390"/>
    <n v="4000"/>
    <x v="0"/>
    <s v="No"/>
    <d v="2025-12-22T00:00:00"/>
    <d v="2026-03-22T00:00:00"/>
    <d v="1899-12-30T10:27:00"/>
    <d v="1899-12-30T13:54:00"/>
    <s v="B"/>
    <s v="10:27 AM"/>
    <s v="On Time"/>
    <s v="3 Hours 27 Minutes"/>
    <x v="0"/>
  </r>
  <r>
    <x v="996"/>
    <x v="3"/>
    <x v="4"/>
    <x v="1"/>
    <s v="Hyderabad"/>
    <x v="4"/>
    <s v="John"/>
    <n v="62"/>
    <n v="63"/>
    <x v="3"/>
    <n v="12000"/>
    <n v="12980"/>
    <n v="0"/>
    <x v="1"/>
    <s v="No"/>
    <d v="2025-02-25T00:00:00"/>
    <d v="2025-05-26T00:00:00"/>
    <d v="1899-12-30T08:17:00"/>
    <d v="1899-12-30T12:22:00"/>
    <s v="C"/>
    <s v="08:17 AM"/>
    <s v="On Time"/>
    <s v="4 Hours 5 Minutes"/>
    <x v="1"/>
  </r>
  <r>
    <x v="997"/>
    <x v="11"/>
    <x v="4"/>
    <x v="0"/>
    <s v="Bengaluru"/>
    <x v="4"/>
    <s v="John"/>
    <n v="56"/>
    <n v="86"/>
    <x v="0"/>
    <n v="15000"/>
    <n v="16520"/>
    <n v="0"/>
    <x v="1"/>
    <s v="No"/>
    <d v="2025-01-20T00:00:00"/>
    <d v="2025-02-19T00:00:00"/>
    <d v="1899-12-30T08:49:00"/>
    <d v="1899-12-30T13:13:00"/>
    <s v="D"/>
    <s v="08:49 AM"/>
    <s v="On Time"/>
    <s v="4 Hours 24 Minutes"/>
    <x v="1"/>
  </r>
  <r>
    <x v="998"/>
    <x v="170"/>
    <x v="5"/>
    <x v="1"/>
    <s v="Thoothukudi"/>
    <x v="4"/>
    <s v="John"/>
    <n v="55"/>
    <n v="95"/>
    <x v="0"/>
    <n v="15000"/>
    <n v="13110"/>
    <n v="4000"/>
    <x v="0"/>
    <s v="No"/>
    <d v="2025-01-25T00:00:00"/>
    <d v="2025-04-25T00:00:00"/>
    <d v="1899-12-30T09:51:00"/>
    <d v="1899-12-30T13:11:00"/>
    <s v="D"/>
    <s v="09:51 AM"/>
    <s v="On Time"/>
    <s v="3 Hours 20 Minutes"/>
    <x v="1"/>
  </r>
  <r>
    <x v="999"/>
    <x v="147"/>
    <x v="9"/>
    <x v="1"/>
    <s v="Tirunelveli"/>
    <x v="3"/>
    <s v="Arun"/>
    <n v="45"/>
    <n v="82"/>
    <x v="0"/>
    <n v="10000"/>
    <n v="10030"/>
    <n v="0"/>
    <x v="1"/>
    <s v="No"/>
    <d v="2025-04-10T00:00:00"/>
    <d v="2025-10-07T00:00:00"/>
    <d v="1899-12-30T10:08:00"/>
    <d v="1899-12-30T13:45:00"/>
    <s v="D"/>
    <s v="10:08 AM"/>
    <s v="Delayed"/>
    <s v="3 Hours 37 Minutes"/>
    <x v="0"/>
  </r>
  <r>
    <x v="1000"/>
    <x v="237"/>
    <x v="11"/>
    <x v="2"/>
    <m/>
    <x v="8"/>
    <m/>
    <m/>
    <m/>
    <x v="4"/>
    <m/>
    <m/>
    <m/>
    <x v="2"/>
    <m/>
    <m/>
    <m/>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8"/>
    <x v="0"/>
    <x v="0"/>
    <x v="0"/>
    <x v="0"/>
    <n v="57"/>
    <n v="74"/>
    <x v="0"/>
    <n v="10000"/>
    <n v="7800"/>
    <n v="4000"/>
    <x v="0"/>
    <x v="0"/>
    <d v="2025-09-01T00:00:00"/>
    <d v="2025-12-30T00:00:00"/>
    <d v="1899-12-30T10:24:00"/>
    <d v="1899-12-30T14:30:00"/>
    <s v="D"/>
    <s v="10:24 AM"/>
    <s v="Delayed"/>
    <s v="4 Hours 6 Minutes"/>
    <x v="0"/>
  </r>
  <r>
    <x v="1"/>
    <x v="1"/>
    <n v="28"/>
    <x v="0"/>
    <x v="1"/>
    <x v="1"/>
    <x v="1"/>
    <n v="44"/>
    <n v="85"/>
    <x v="0"/>
    <n v="15000"/>
    <n v="13110"/>
    <n v="4000"/>
    <x v="0"/>
    <x v="0"/>
    <d v="2025-05-09T00:00:00"/>
    <d v="2025-08-07T00:00:00"/>
    <d v="1899-12-30T08:49:00"/>
    <d v="1899-12-30T11:47:00"/>
    <s v="D"/>
    <s v="08:49 AM"/>
    <s v="On Time"/>
    <s v="2 Hours 58 Minutes"/>
    <x v="1"/>
  </r>
  <r>
    <x v="2"/>
    <x v="2"/>
    <n v="27"/>
    <x v="1"/>
    <x v="2"/>
    <x v="0"/>
    <x v="0"/>
    <n v="41"/>
    <n v="98"/>
    <x v="0"/>
    <n v="10000"/>
    <n v="7210"/>
    <n v="4000"/>
    <x v="0"/>
    <x v="0"/>
    <d v="2025-08-03T00:00:00"/>
    <d v="2026-01-30T00:00:00"/>
    <d v="1899-12-30T09:00:00"/>
    <d v="1899-12-30T13:45:00"/>
    <s v="D"/>
    <s v="09:00 AM"/>
    <s v="Delayed"/>
    <s v="4 Hours 45 Minutes"/>
    <x v="1"/>
  </r>
  <r>
    <x v="3"/>
    <x v="3"/>
    <n v="23"/>
    <x v="1"/>
    <x v="3"/>
    <x v="2"/>
    <x v="2"/>
    <n v="52"/>
    <n v="80"/>
    <x v="0"/>
    <n v="15000"/>
    <n v="15930"/>
    <n v="0"/>
    <x v="1"/>
    <x v="0"/>
    <d v="2025-05-31T00:00:00"/>
    <d v="2025-08-29T00:00:00"/>
    <d v="1899-12-30T10:03:00"/>
    <d v="1899-12-30T12:40:00"/>
    <s v="D"/>
    <s v="10:03 AM"/>
    <s v="On Time"/>
    <s v="2 Hours 37 Minutes"/>
    <x v="0"/>
  </r>
  <r>
    <x v="4"/>
    <x v="4"/>
    <n v="23"/>
    <x v="0"/>
    <x v="4"/>
    <x v="1"/>
    <x v="1"/>
    <n v="85"/>
    <n v="62"/>
    <x v="1"/>
    <n v="18000"/>
    <n v="21240"/>
    <n v="0"/>
    <x v="1"/>
    <x v="0"/>
    <d v="2025-04-18T00:00:00"/>
    <d v="2025-07-17T00:00:00"/>
    <d v="1899-12-30T09:14:00"/>
    <d v="1899-12-30T10:40:00"/>
    <s v="B"/>
    <s v="09:14 AM"/>
    <s v="On Time"/>
    <s v="1 Hours 26 Minutes"/>
    <x v="1"/>
  </r>
  <r>
    <x v="5"/>
    <x v="5"/>
    <n v="18"/>
    <x v="0"/>
    <x v="5"/>
    <x v="3"/>
    <x v="3"/>
    <n v="76"/>
    <n v="95"/>
    <x v="1"/>
    <n v="18000"/>
    <n v="20650"/>
    <n v="0"/>
    <x v="1"/>
    <x v="0"/>
    <d v="2025-04-10T00:00:00"/>
    <d v="2025-10-07T00:00:00"/>
    <d v="1899-12-30T08:50:00"/>
    <d v="1899-12-30T10:21:00"/>
    <s v="B"/>
    <s v="08:50 AM"/>
    <s v="Delayed"/>
    <s v="1 Hours 31 Minutes"/>
    <x v="1"/>
  </r>
  <r>
    <x v="6"/>
    <x v="6"/>
    <n v="20"/>
    <x v="1"/>
    <x v="3"/>
    <x v="4"/>
    <x v="4"/>
    <n v="43"/>
    <n v="62"/>
    <x v="0"/>
    <n v="12000"/>
    <n v="14160"/>
    <n v="0"/>
    <x v="1"/>
    <x v="0"/>
    <d v="2025-11-30T00:00:00"/>
    <d v="2026-02-28T00:00:00"/>
    <d v="1899-12-30T09:29:00"/>
    <d v="1899-12-30T13:40:00"/>
    <s v="D"/>
    <s v="09:29 AM"/>
    <s v="On Time"/>
    <s v="4 Hours 11 Minutes"/>
    <x v="1"/>
  </r>
  <r>
    <x v="7"/>
    <x v="7"/>
    <n v="19"/>
    <x v="0"/>
    <x v="2"/>
    <x v="5"/>
    <x v="5"/>
    <n v="98"/>
    <n v="69"/>
    <x v="2"/>
    <n v="15000"/>
    <n v="17110"/>
    <n v="0"/>
    <x v="1"/>
    <x v="0"/>
    <d v="2025-07-27T00:00:00"/>
    <d v="2025-08-26T00:00:00"/>
    <d v="1899-12-30T08:54:00"/>
    <d v="1899-12-30T12:07:00"/>
    <s v="A"/>
    <s v="08:54 AM"/>
    <s v="On Time"/>
    <s v="3 Hours 13 Minutes"/>
    <x v="1"/>
  </r>
  <r>
    <x v="8"/>
    <x v="8"/>
    <n v="19"/>
    <x v="0"/>
    <x v="6"/>
    <x v="6"/>
    <x v="6"/>
    <n v="46"/>
    <n v="91"/>
    <x v="0"/>
    <n v="12000"/>
    <n v="12390"/>
    <n v="0"/>
    <x v="1"/>
    <x v="0"/>
    <d v="2025-12-28T00:00:00"/>
    <d v="2026-04-27T00:00:00"/>
    <d v="1899-12-30T10:20:00"/>
    <d v="1899-12-30T13:12:00"/>
    <s v="D"/>
    <s v="10:20 AM"/>
    <s v="Delayed"/>
    <s v="2 Hours 52 Minutes"/>
    <x v="0"/>
  </r>
  <r>
    <x v="9"/>
    <x v="9"/>
    <n v="23"/>
    <x v="0"/>
    <x v="7"/>
    <x v="6"/>
    <x v="6"/>
    <n v="70"/>
    <n v="68"/>
    <x v="3"/>
    <n v="20000"/>
    <n v="20420"/>
    <n v="2000"/>
    <x v="0"/>
    <x v="0"/>
    <d v="2025-10-10T00:00:00"/>
    <d v="2026-02-07T00:00:00"/>
    <d v="1899-12-30T10:24:00"/>
    <d v="1899-12-30T15:20:00"/>
    <s v="C"/>
    <s v="10:24 AM"/>
    <s v="Delayed"/>
    <s v="4 Hours 56 Minutes"/>
    <x v="0"/>
  </r>
  <r>
    <x v="10"/>
    <x v="10"/>
    <n v="26"/>
    <x v="1"/>
    <x v="7"/>
    <x v="2"/>
    <x v="2"/>
    <n v="50"/>
    <n v="88"/>
    <x v="0"/>
    <n v="12000"/>
    <n v="9570"/>
    <n v="4000"/>
    <x v="0"/>
    <x v="0"/>
    <d v="2025-09-03T00:00:00"/>
    <d v="2026-03-02T00:00:00"/>
    <d v="1899-12-30T08:39:00"/>
    <d v="1899-12-30T11:58:00"/>
    <s v="D"/>
    <s v="08:39 AM"/>
    <s v="Delayed"/>
    <s v="3 Hours 19 Minutes"/>
    <x v="1"/>
  </r>
  <r>
    <x v="11"/>
    <x v="11"/>
    <n v="21"/>
    <x v="1"/>
    <x v="8"/>
    <x v="3"/>
    <x v="3"/>
    <n v="99"/>
    <n v="64"/>
    <x v="2"/>
    <n v="18000"/>
    <n v="18060"/>
    <n v="2000"/>
    <x v="0"/>
    <x v="0"/>
    <d v="2025-11-17T00:00:00"/>
    <d v="2026-03-17T00:00:00"/>
    <d v="1899-12-30T08:07:00"/>
    <d v="1899-12-30T10:21:00"/>
    <s v="A"/>
    <s v="08:07 AM"/>
    <s v="Delayed"/>
    <s v="2 Hours 14 Minutes"/>
    <x v="1"/>
  </r>
  <r>
    <x v="12"/>
    <x v="12"/>
    <n v="19"/>
    <x v="0"/>
    <x v="5"/>
    <x v="0"/>
    <x v="0"/>
    <n v="55"/>
    <n v="76"/>
    <x v="0"/>
    <n v="18000"/>
    <n v="20060"/>
    <n v="0"/>
    <x v="1"/>
    <x v="0"/>
    <d v="2025-09-16T00:00:00"/>
    <d v="2026-03-15T00:00:00"/>
    <d v="1899-12-30T09:00:00"/>
    <d v="1899-12-30T12:35:00"/>
    <s v="D"/>
    <s v="09:00 AM"/>
    <s v="Delayed"/>
    <s v="3 Hours 35 Minutes"/>
    <x v="1"/>
  </r>
  <r>
    <x v="13"/>
    <x v="13"/>
    <n v="26"/>
    <x v="1"/>
    <x v="8"/>
    <x v="4"/>
    <x v="4"/>
    <n v="86"/>
    <n v="82"/>
    <x v="1"/>
    <n v="12000"/>
    <n v="9570"/>
    <n v="4000"/>
    <x v="0"/>
    <x v="0"/>
    <d v="2025-11-17T00:00:00"/>
    <d v="2026-05-16T00:00:00"/>
    <d v="1899-12-30T10:31:00"/>
    <d v="1899-12-30T15:09:00"/>
    <s v="B"/>
    <s v="10:31 AM"/>
    <s v="Delayed"/>
    <s v="4 Hours 38 Minutes"/>
    <x v="0"/>
  </r>
  <r>
    <x v="14"/>
    <x v="14"/>
    <n v="22"/>
    <x v="1"/>
    <x v="2"/>
    <x v="1"/>
    <x v="1"/>
    <n v="63"/>
    <n v="69"/>
    <x v="3"/>
    <n v="15000"/>
    <n v="13110"/>
    <n v="4000"/>
    <x v="0"/>
    <x v="0"/>
    <d v="2025-12-18T00:00:00"/>
    <d v="2026-03-18T00:00:00"/>
    <d v="1899-12-30T09:29:00"/>
    <d v="1899-12-30T14:07:00"/>
    <s v="C"/>
    <s v="09:29 AM"/>
    <s v="On Time"/>
    <s v="4 Hours 38 Minutes"/>
    <x v="1"/>
  </r>
  <r>
    <x v="15"/>
    <x v="15"/>
    <n v="28"/>
    <x v="1"/>
    <x v="5"/>
    <x v="6"/>
    <x v="6"/>
    <n v="55"/>
    <n v="85"/>
    <x v="0"/>
    <n v="20000"/>
    <n v="21830"/>
    <n v="0"/>
    <x v="1"/>
    <x v="0"/>
    <d v="2025-06-30T00:00:00"/>
    <d v="2025-12-27T00:00:00"/>
    <d v="1899-12-30T10:26:00"/>
    <d v="1899-12-30T12:10:00"/>
    <s v="D"/>
    <s v="10:26 AM"/>
    <s v="Delayed"/>
    <s v="1 Hours 44 Minutes"/>
    <x v="0"/>
  </r>
  <r>
    <x v="16"/>
    <x v="16"/>
    <n v="24"/>
    <x v="0"/>
    <x v="8"/>
    <x v="4"/>
    <x v="4"/>
    <n v="42"/>
    <n v="88"/>
    <x v="0"/>
    <n v="10000"/>
    <n v="6620"/>
    <n v="4000"/>
    <x v="0"/>
    <x v="0"/>
    <d v="2025-12-01T00:00:00"/>
    <d v="2026-03-31T00:00:00"/>
    <d v="1899-12-30T08:59:00"/>
    <d v="1899-12-30T13:11:00"/>
    <s v="D"/>
    <s v="08:59 AM"/>
    <s v="Delayed"/>
    <s v="4 Hours 12 Minutes"/>
    <x v="1"/>
  </r>
  <r>
    <x v="17"/>
    <x v="17"/>
    <n v="24"/>
    <x v="0"/>
    <x v="8"/>
    <x v="3"/>
    <x v="3"/>
    <n v="65"/>
    <n v="82"/>
    <x v="3"/>
    <n v="20000"/>
    <n v="19010"/>
    <n v="4000"/>
    <x v="0"/>
    <x v="0"/>
    <d v="2025-02-02T00:00:00"/>
    <d v="2025-08-01T00:00:00"/>
    <d v="1899-12-30T08:16:00"/>
    <d v="1899-12-30T10:25:00"/>
    <s v="C"/>
    <s v="08:16 AM"/>
    <s v="Delayed"/>
    <s v="2 Hours 9 Minutes"/>
    <x v="1"/>
  </r>
  <r>
    <x v="18"/>
    <x v="18"/>
    <n v="28"/>
    <x v="1"/>
    <x v="5"/>
    <x v="7"/>
    <x v="7"/>
    <n v="58"/>
    <n v="65"/>
    <x v="0"/>
    <n v="10000"/>
    <n v="9210"/>
    <n v="2000"/>
    <x v="0"/>
    <x v="0"/>
    <d v="2025-04-07T00:00:00"/>
    <d v="2025-07-06T00:00:00"/>
    <d v="1899-12-30T10:24:00"/>
    <d v="1899-12-30T15:04:00"/>
    <s v="D"/>
    <s v="10:24 AM"/>
    <s v="On Time"/>
    <s v="4 Hours 40 Minutes"/>
    <x v="0"/>
  </r>
  <r>
    <x v="19"/>
    <x v="19"/>
    <n v="26"/>
    <x v="0"/>
    <x v="4"/>
    <x v="1"/>
    <x v="1"/>
    <n v="54"/>
    <n v="67"/>
    <x v="0"/>
    <n v="10000"/>
    <n v="10620"/>
    <n v="0"/>
    <x v="1"/>
    <x v="0"/>
    <d v="2025-06-01T00:00:00"/>
    <d v="2025-08-30T00:00:00"/>
    <d v="1899-12-30T08:09:00"/>
    <d v="1899-12-30T10:22:00"/>
    <s v="D"/>
    <s v="08:09 AM"/>
    <s v="On Time"/>
    <s v="2 Hours 13 Minutes"/>
    <x v="1"/>
  </r>
  <r>
    <x v="20"/>
    <x v="20"/>
    <n v="19"/>
    <x v="0"/>
    <x v="3"/>
    <x v="1"/>
    <x v="1"/>
    <n v="67"/>
    <n v="73"/>
    <x v="3"/>
    <n v="15000"/>
    <n v="12520"/>
    <n v="4000"/>
    <x v="0"/>
    <x v="0"/>
    <d v="2025-06-30T00:00:00"/>
    <d v="2025-09-28T00:00:00"/>
    <d v="1899-12-30T10:21:00"/>
    <d v="1899-12-30T13:41:00"/>
    <s v="C"/>
    <s v="10:21 AM"/>
    <s v="On Time"/>
    <s v="3 Hours 20 Minutes"/>
    <x v="0"/>
  </r>
  <r>
    <x v="21"/>
    <x v="21"/>
    <n v="27"/>
    <x v="0"/>
    <x v="9"/>
    <x v="5"/>
    <x v="5"/>
    <n v="95"/>
    <n v="98"/>
    <x v="2"/>
    <n v="12000"/>
    <n v="13570"/>
    <n v="0"/>
    <x v="1"/>
    <x v="0"/>
    <d v="2025-06-24T00:00:00"/>
    <d v="2025-09-22T00:00:00"/>
    <d v="1899-12-30T09:28:00"/>
    <d v="1899-12-30T13:18:00"/>
    <s v="A"/>
    <s v="09:28 AM"/>
    <s v="On Time"/>
    <s v="3 Hours 50 Minutes"/>
    <x v="1"/>
  </r>
  <r>
    <x v="22"/>
    <x v="22"/>
    <n v="22"/>
    <x v="1"/>
    <x v="1"/>
    <x v="3"/>
    <x v="3"/>
    <n v="59"/>
    <n v="78"/>
    <x v="0"/>
    <n v="12000"/>
    <n v="8980"/>
    <n v="4000"/>
    <x v="0"/>
    <x v="0"/>
    <d v="2025-12-21T00:00:00"/>
    <d v="2026-02-19T00:00:00"/>
    <d v="1899-12-30T10:01:00"/>
    <d v="1899-12-30T11:33:00"/>
    <s v="D"/>
    <s v="10:01 AM"/>
    <s v="On Time"/>
    <s v="1 Hours 32 Minutes"/>
    <x v="0"/>
  </r>
  <r>
    <x v="23"/>
    <x v="19"/>
    <n v="22"/>
    <x v="0"/>
    <x v="5"/>
    <x v="4"/>
    <x v="4"/>
    <n v="93"/>
    <n v="89"/>
    <x v="2"/>
    <n v="12000"/>
    <n v="11570"/>
    <n v="2000"/>
    <x v="0"/>
    <x v="0"/>
    <d v="2025-12-19T00:00:00"/>
    <d v="2026-04-18T00:00:00"/>
    <d v="1899-12-30T08:05:00"/>
    <d v="1899-12-30T11:42:00"/>
    <s v="A"/>
    <s v="08:05 AM"/>
    <s v="Delayed"/>
    <s v="3 Hours 37 Minutes"/>
    <x v="1"/>
  </r>
  <r>
    <x v="24"/>
    <x v="11"/>
    <n v="23"/>
    <x v="1"/>
    <x v="3"/>
    <x v="6"/>
    <x v="6"/>
    <n v="39"/>
    <n v="66"/>
    <x v="0"/>
    <n v="20000"/>
    <n v="20420"/>
    <n v="2000"/>
    <x v="0"/>
    <x v="0"/>
    <d v="2025-03-22T00:00:00"/>
    <d v="2025-07-20T00:00:00"/>
    <d v="1899-12-30T08:46:00"/>
    <d v="1899-12-30T11:07:00"/>
    <s v="D"/>
    <s v="08:46 AM"/>
    <s v="Delayed"/>
    <s v="2 Hours 21 Minutes"/>
    <x v="1"/>
  </r>
  <r>
    <x v="25"/>
    <x v="23"/>
    <n v="28"/>
    <x v="1"/>
    <x v="7"/>
    <x v="6"/>
    <x v="6"/>
    <n v="40"/>
    <n v="98"/>
    <x v="0"/>
    <n v="20000"/>
    <n v="21010"/>
    <n v="2000"/>
    <x v="0"/>
    <x v="0"/>
    <d v="2025-06-05T00:00:00"/>
    <d v="2025-08-04T00:00:00"/>
    <d v="1899-12-30T09:14:00"/>
    <d v="1899-12-30T11:07:00"/>
    <s v="D"/>
    <s v="09:14 AM"/>
    <s v="On Time"/>
    <s v="1 Hours 53 Minutes"/>
    <x v="1"/>
  </r>
  <r>
    <x v="26"/>
    <x v="24"/>
    <n v="23"/>
    <x v="0"/>
    <x v="2"/>
    <x v="1"/>
    <x v="1"/>
    <n v="50"/>
    <n v="70"/>
    <x v="0"/>
    <n v="18000"/>
    <n v="17240"/>
    <n v="4000"/>
    <x v="0"/>
    <x v="0"/>
    <d v="2025-02-10T00:00:00"/>
    <d v="2025-06-10T00:00:00"/>
    <d v="1899-12-30T10:00:00"/>
    <d v="1899-12-30T14:29:00"/>
    <s v="D"/>
    <s v="10:00 AM"/>
    <s v="Delayed"/>
    <s v="4 Hours 29 Minutes"/>
    <x v="1"/>
  </r>
  <r>
    <x v="27"/>
    <x v="25"/>
    <n v="21"/>
    <x v="1"/>
    <x v="7"/>
    <x v="4"/>
    <x v="4"/>
    <n v="51"/>
    <n v="76"/>
    <x v="0"/>
    <n v="20000"/>
    <n v="22420"/>
    <n v="0"/>
    <x v="1"/>
    <x v="0"/>
    <d v="2025-01-31T00:00:00"/>
    <d v="2025-05-31T00:00:00"/>
    <d v="1899-12-30T09:16:00"/>
    <d v="1899-12-30T12:50:00"/>
    <s v="D"/>
    <s v="09:16 AM"/>
    <s v="Delayed"/>
    <s v="3 Hours 34 Minutes"/>
    <x v="1"/>
  </r>
  <r>
    <x v="28"/>
    <x v="26"/>
    <n v="20"/>
    <x v="1"/>
    <x v="3"/>
    <x v="1"/>
    <x v="1"/>
    <n v="95"/>
    <n v="92"/>
    <x v="2"/>
    <n v="15000"/>
    <n v="15700"/>
    <n v="2000"/>
    <x v="0"/>
    <x v="0"/>
    <d v="2025-12-24T00:00:00"/>
    <d v="2026-01-23T00:00:00"/>
    <d v="1899-12-30T09:11:00"/>
    <d v="1899-12-30T12:01:00"/>
    <s v="A"/>
    <s v="09:11 AM"/>
    <s v="On Time"/>
    <s v="2 Hours 50 Minutes"/>
    <x v="1"/>
  </r>
  <r>
    <x v="29"/>
    <x v="27"/>
    <n v="19"/>
    <x v="1"/>
    <x v="7"/>
    <x v="4"/>
    <x v="4"/>
    <n v="80"/>
    <n v="60"/>
    <x v="1"/>
    <n v="20000"/>
    <n v="20420"/>
    <n v="2000"/>
    <x v="0"/>
    <x v="0"/>
    <d v="2025-08-18T00:00:00"/>
    <d v="2025-09-17T00:00:00"/>
    <d v="1899-12-30T08:46:00"/>
    <d v="1899-12-30T12:42:00"/>
    <s v="B"/>
    <s v="08:46 AM"/>
    <s v="On Time"/>
    <s v="3 Hours 56 Minutes"/>
    <x v="1"/>
  </r>
  <r>
    <x v="30"/>
    <x v="28"/>
    <n v="20"/>
    <x v="0"/>
    <x v="10"/>
    <x v="1"/>
    <x v="1"/>
    <n v="59"/>
    <n v="83"/>
    <x v="0"/>
    <n v="10000"/>
    <n v="7210"/>
    <n v="4000"/>
    <x v="0"/>
    <x v="0"/>
    <d v="2025-06-02T00:00:00"/>
    <d v="2025-07-02T00:00:00"/>
    <d v="1899-12-30T08:18:00"/>
    <d v="1899-12-30T09:34:00"/>
    <s v="D"/>
    <s v="08:18 AM"/>
    <s v="On Time"/>
    <s v="1 Hours 16 Minutes"/>
    <x v="1"/>
  </r>
  <r>
    <x v="31"/>
    <x v="29"/>
    <n v="20"/>
    <x v="0"/>
    <x v="1"/>
    <x v="2"/>
    <x v="2"/>
    <n v="87"/>
    <n v="63"/>
    <x v="1"/>
    <n v="20000"/>
    <n v="23600"/>
    <n v="0"/>
    <x v="1"/>
    <x v="0"/>
    <d v="2025-02-10T00:00:00"/>
    <d v="2025-05-11T00:00:00"/>
    <d v="1899-12-30T09:49:00"/>
    <d v="1899-12-30T10:57:00"/>
    <s v="B"/>
    <s v="09:49 AM"/>
    <s v="On Time"/>
    <s v="1 Hours 8 Minutes"/>
    <x v="1"/>
  </r>
  <r>
    <x v="32"/>
    <x v="30"/>
    <n v="20"/>
    <x v="0"/>
    <x v="9"/>
    <x v="4"/>
    <x v="4"/>
    <n v="98"/>
    <n v="80"/>
    <x v="2"/>
    <n v="12000"/>
    <n v="11570"/>
    <n v="2000"/>
    <x v="0"/>
    <x v="0"/>
    <d v="2025-07-04T00:00:00"/>
    <d v="2025-10-02T00:00:00"/>
    <d v="1899-12-30T08:57:00"/>
    <d v="1899-12-30T09:59:00"/>
    <s v="A"/>
    <s v="08:57 AM"/>
    <s v="On Time"/>
    <s v="1 Hours 2 Minutes"/>
    <x v="1"/>
  </r>
  <r>
    <x v="33"/>
    <x v="31"/>
    <n v="19"/>
    <x v="1"/>
    <x v="2"/>
    <x v="5"/>
    <x v="5"/>
    <n v="80"/>
    <n v="88"/>
    <x v="1"/>
    <n v="18000"/>
    <n v="19240"/>
    <n v="2000"/>
    <x v="0"/>
    <x v="0"/>
    <d v="2025-03-21T00:00:00"/>
    <d v="2025-07-19T00:00:00"/>
    <d v="1899-12-30T08:16:00"/>
    <d v="1899-12-30T11:27:00"/>
    <s v="B"/>
    <s v="08:16 AM"/>
    <s v="Delayed"/>
    <s v="3 Hours 11 Minutes"/>
    <x v="1"/>
  </r>
  <r>
    <x v="34"/>
    <x v="32"/>
    <n v="24"/>
    <x v="1"/>
    <x v="11"/>
    <x v="7"/>
    <x v="7"/>
    <n v="55"/>
    <n v="100"/>
    <x v="0"/>
    <n v="15000"/>
    <n v="11930"/>
    <n v="4000"/>
    <x v="0"/>
    <x v="0"/>
    <d v="2025-05-19T00:00:00"/>
    <d v="2025-06-18T00:00:00"/>
    <d v="1899-12-30T09:13:00"/>
    <d v="1899-12-30T14:07:00"/>
    <s v="D"/>
    <s v="09:13 AM"/>
    <s v="On Time"/>
    <s v="4 Hours 54 Minutes"/>
    <x v="1"/>
  </r>
  <r>
    <x v="35"/>
    <x v="33"/>
    <n v="20"/>
    <x v="0"/>
    <x v="5"/>
    <x v="2"/>
    <x v="2"/>
    <n v="37"/>
    <n v="60"/>
    <x v="0"/>
    <n v="20000"/>
    <n v="19600"/>
    <n v="4000"/>
    <x v="0"/>
    <x v="0"/>
    <d v="2025-02-28T00:00:00"/>
    <d v="2025-04-29T00:00:00"/>
    <d v="1899-12-30T10:58:00"/>
    <d v="1899-12-30T14:13:00"/>
    <s v="D"/>
    <s v="10:58 AM"/>
    <s v="On Time"/>
    <s v="3 Hours 15 Minutes"/>
    <x v="0"/>
  </r>
  <r>
    <x v="36"/>
    <x v="34"/>
    <n v="28"/>
    <x v="1"/>
    <x v="11"/>
    <x v="1"/>
    <x v="1"/>
    <n v="37"/>
    <n v="67"/>
    <x v="0"/>
    <n v="18000"/>
    <n v="15470"/>
    <n v="4000"/>
    <x v="0"/>
    <x v="1"/>
    <d v="2025-11-24T00:00:00"/>
    <d v="2026-05-23T00:00:00"/>
    <d v="1899-12-30T08:27:00"/>
    <d v="1899-12-30T10:12:00"/>
    <s v="D"/>
    <s v="08:27 AM"/>
    <s v="Delayed"/>
    <s v="1 Hours 45 Minutes"/>
    <x v="1"/>
  </r>
  <r>
    <x v="37"/>
    <x v="35"/>
    <n v="21"/>
    <x v="1"/>
    <x v="9"/>
    <x v="3"/>
    <x v="3"/>
    <n v="35"/>
    <n v="76"/>
    <x v="0"/>
    <n v="18000"/>
    <n v="18650"/>
    <n v="2000"/>
    <x v="0"/>
    <x v="0"/>
    <d v="2025-02-13T00:00:00"/>
    <d v="2025-04-14T00:00:00"/>
    <d v="1899-12-30T08:26:00"/>
    <d v="1899-12-30T10:41:00"/>
    <s v="D"/>
    <s v="08:26 AM"/>
    <s v="On Time"/>
    <s v="2 Hours 15 Minutes"/>
    <x v="1"/>
  </r>
  <r>
    <x v="38"/>
    <x v="7"/>
    <n v="25"/>
    <x v="1"/>
    <x v="9"/>
    <x v="4"/>
    <x v="4"/>
    <n v="51"/>
    <n v="98"/>
    <x v="0"/>
    <n v="10000"/>
    <n v="8620"/>
    <n v="2000"/>
    <x v="0"/>
    <x v="0"/>
    <d v="2025-03-10T00:00:00"/>
    <d v="2025-06-08T00:00:00"/>
    <d v="1899-12-30T08:20:00"/>
    <d v="1899-12-30T11:31:00"/>
    <s v="D"/>
    <s v="08:20 AM"/>
    <s v="On Time"/>
    <s v="3 Hours 11 Minutes"/>
    <x v="1"/>
  </r>
  <r>
    <x v="39"/>
    <x v="36"/>
    <n v="25"/>
    <x v="0"/>
    <x v="6"/>
    <x v="3"/>
    <x v="3"/>
    <n v="96"/>
    <n v="61"/>
    <x v="2"/>
    <n v="15000"/>
    <n v="15700"/>
    <n v="2000"/>
    <x v="0"/>
    <x v="0"/>
    <d v="2025-05-28T00:00:00"/>
    <d v="2025-11-24T00:00:00"/>
    <d v="1899-12-30T10:50:00"/>
    <d v="1899-12-30T14:33:00"/>
    <s v="A"/>
    <s v="10:50 AM"/>
    <s v="Delayed"/>
    <s v="3 Hours 43 Minutes"/>
    <x v="0"/>
  </r>
  <r>
    <x v="40"/>
    <x v="37"/>
    <n v="23"/>
    <x v="1"/>
    <x v="4"/>
    <x v="2"/>
    <x v="2"/>
    <n v="48"/>
    <n v="88"/>
    <x v="0"/>
    <n v="12000"/>
    <n v="10160"/>
    <n v="4000"/>
    <x v="0"/>
    <x v="0"/>
    <d v="2025-01-24T00:00:00"/>
    <d v="2025-05-24T00:00:00"/>
    <d v="1899-12-30T09:30:00"/>
    <d v="1899-12-30T11:45:00"/>
    <s v="D"/>
    <s v="09:30 AM"/>
    <s v="Delayed"/>
    <s v="2 Hours 15 Minutes"/>
    <x v="1"/>
  </r>
  <r>
    <x v="41"/>
    <x v="38"/>
    <n v="24"/>
    <x v="0"/>
    <x v="6"/>
    <x v="0"/>
    <x v="0"/>
    <n v="84"/>
    <n v="74"/>
    <x v="1"/>
    <n v="10000"/>
    <n v="7210"/>
    <n v="4000"/>
    <x v="0"/>
    <x v="0"/>
    <d v="2025-11-15T00:00:00"/>
    <d v="2026-05-14T00:00:00"/>
    <d v="1899-12-30T08:08:00"/>
    <d v="1899-12-30T09:26:00"/>
    <s v="B"/>
    <s v="08:08 AM"/>
    <s v="Delayed"/>
    <s v="1 Hours 18 Minutes"/>
    <x v="1"/>
  </r>
  <r>
    <x v="42"/>
    <x v="39"/>
    <n v="24"/>
    <x v="1"/>
    <x v="6"/>
    <x v="7"/>
    <x v="7"/>
    <n v="87"/>
    <n v="76"/>
    <x v="1"/>
    <n v="10000"/>
    <n v="7800"/>
    <n v="4000"/>
    <x v="0"/>
    <x v="0"/>
    <d v="2025-12-09T00:00:00"/>
    <d v="2026-03-09T00:00:00"/>
    <d v="1899-12-30T10:01:00"/>
    <d v="1899-12-30T14:28:00"/>
    <s v="B"/>
    <s v="10:01 AM"/>
    <s v="On Time"/>
    <s v="4 Hours 27 Minutes"/>
    <x v="0"/>
  </r>
  <r>
    <x v="43"/>
    <x v="40"/>
    <n v="21"/>
    <x v="0"/>
    <x v="10"/>
    <x v="4"/>
    <x v="4"/>
    <n v="72"/>
    <n v="66"/>
    <x v="3"/>
    <n v="20000"/>
    <n v="17830"/>
    <n v="4000"/>
    <x v="0"/>
    <x v="1"/>
    <d v="2025-07-17T00:00:00"/>
    <d v="2025-10-15T00:00:00"/>
    <d v="1899-12-30T10:47:00"/>
    <d v="1899-12-30T13:18:00"/>
    <s v="C"/>
    <s v="10:47 AM"/>
    <s v="On Time"/>
    <s v="2 Hours 31 Minutes"/>
    <x v="0"/>
  </r>
  <r>
    <x v="44"/>
    <x v="41"/>
    <n v="25"/>
    <x v="0"/>
    <x v="10"/>
    <x v="2"/>
    <x v="2"/>
    <n v="58"/>
    <n v="88"/>
    <x v="0"/>
    <n v="18000"/>
    <n v="18060"/>
    <n v="2000"/>
    <x v="0"/>
    <x v="0"/>
    <d v="2025-04-26T00:00:00"/>
    <d v="2025-06-25T00:00:00"/>
    <d v="1899-12-30T10:24:00"/>
    <d v="1899-12-30T12:23:00"/>
    <s v="D"/>
    <s v="10:24 AM"/>
    <s v="On Time"/>
    <s v="1 Hours 59 Minutes"/>
    <x v="0"/>
  </r>
  <r>
    <x v="45"/>
    <x v="42"/>
    <n v="23"/>
    <x v="1"/>
    <x v="7"/>
    <x v="4"/>
    <x v="4"/>
    <n v="49"/>
    <n v="77"/>
    <x v="0"/>
    <n v="18000"/>
    <n v="16060"/>
    <n v="4000"/>
    <x v="0"/>
    <x v="0"/>
    <d v="2025-03-09T00:00:00"/>
    <d v="2025-04-08T00:00:00"/>
    <d v="1899-12-30T09:54:00"/>
    <d v="1899-12-30T14:16:00"/>
    <s v="D"/>
    <s v="09:54 AM"/>
    <s v="On Time"/>
    <s v="4 Hours 22 Minutes"/>
    <x v="1"/>
  </r>
  <r>
    <x v="46"/>
    <x v="43"/>
    <n v="19"/>
    <x v="1"/>
    <x v="0"/>
    <x v="2"/>
    <x v="2"/>
    <n v="75"/>
    <n v="70"/>
    <x v="1"/>
    <n v="20000"/>
    <n v="23010"/>
    <n v="0"/>
    <x v="1"/>
    <x v="0"/>
    <d v="2025-12-11T00:00:00"/>
    <d v="2026-03-11T00:00:00"/>
    <d v="1899-12-30T08:19:00"/>
    <d v="1899-12-30T11:25:00"/>
    <s v="B"/>
    <s v="08:19 AM"/>
    <s v="On Time"/>
    <s v="3 Hours 6 Minutes"/>
    <x v="1"/>
  </r>
  <r>
    <x v="47"/>
    <x v="44"/>
    <n v="25"/>
    <x v="1"/>
    <x v="8"/>
    <x v="6"/>
    <x v="6"/>
    <n v="88"/>
    <n v="83"/>
    <x v="1"/>
    <n v="12000"/>
    <n v="10390"/>
    <n v="2000"/>
    <x v="0"/>
    <x v="0"/>
    <d v="2025-12-07T00:00:00"/>
    <d v="2026-02-05T00:00:00"/>
    <d v="1899-12-30T09:18:00"/>
    <d v="1899-12-30T12:26:00"/>
    <s v="B"/>
    <s v="09:18 AM"/>
    <s v="On Time"/>
    <s v="3 Hours 8 Minutes"/>
    <x v="1"/>
  </r>
  <r>
    <x v="48"/>
    <x v="45"/>
    <n v="27"/>
    <x v="1"/>
    <x v="1"/>
    <x v="1"/>
    <x v="1"/>
    <n v="78"/>
    <n v="74"/>
    <x v="1"/>
    <n v="20000"/>
    <n v="21010"/>
    <n v="2000"/>
    <x v="0"/>
    <x v="0"/>
    <d v="2025-03-18T00:00:00"/>
    <d v="2025-07-16T00:00:00"/>
    <d v="1899-12-30T09:35:00"/>
    <d v="1899-12-30T14:14:00"/>
    <s v="B"/>
    <s v="09:35 AM"/>
    <s v="Delayed"/>
    <s v="4 Hours 39 Minutes"/>
    <x v="1"/>
  </r>
  <r>
    <x v="49"/>
    <x v="46"/>
    <n v="21"/>
    <x v="0"/>
    <x v="3"/>
    <x v="7"/>
    <x v="7"/>
    <n v="57"/>
    <n v="78"/>
    <x v="0"/>
    <n v="15000"/>
    <n v="11930"/>
    <n v="4000"/>
    <x v="0"/>
    <x v="0"/>
    <d v="2025-11-21T00:00:00"/>
    <d v="2026-01-20T00:00:00"/>
    <d v="1899-12-30T08:02:00"/>
    <d v="1899-12-30T11:32:00"/>
    <s v="D"/>
    <s v="08:02 AM"/>
    <s v="On Time"/>
    <s v="3 Hours 30 Minutes"/>
    <x v="1"/>
  </r>
  <r>
    <x v="50"/>
    <x v="47"/>
    <n v="22"/>
    <x v="0"/>
    <x v="5"/>
    <x v="2"/>
    <x v="2"/>
    <n v="43"/>
    <n v="73"/>
    <x v="0"/>
    <n v="18000"/>
    <n v="16650"/>
    <n v="4000"/>
    <x v="0"/>
    <x v="0"/>
    <d v="2025-03-18T00:00:00"/>
    <d v="2025-09-14T00:00:00"/>
    <d v="1899-12-30T10:52:00"/>
    <d v="1899-12-30T14:31:00"/>
    <s v="D"/>
    <s v="10:52 AM"/>
    <s v="Delayed"/>
    <s v="3 Hours 39 Minutes"/>
    <x v="0"/>
  </r>
  <r>
    <x v="51"/>
    <x v="48"/>
    <n v="22"/>
    <x v="0"/>
    <x v="7"/>
    <x v="7"/>
    <x v="7"/>
    <n v="65"/>
    <n v="65"/>
    <x v="3"/>
    <n v="18000"/>
    <n v="19240"/>
    <n v="2000"/>
    <x v="0"/>
    <x v="0"/>
    <d v="2025-09-17T00:00:00"/>
    <d v="2025-10-17T00:00:00"/>
    <d v="1899-12-30T08:27:00"/>
    <d v="1899-12-30T10:12:00"/>
    <s v="C"/>
    <s v="08:27 AM"/>
    <s v="On Time"/>
    <s v="1 Hours 45 Minutes"/>
    <x v="1"/>
  </r>
  <r>
    <x v="52"/>
    <x v="49"/>
    <n v="23"/>
    <x v="1"/>
    <x v="6"/>
    <x v="1"/>
    <x v="1"/>
    <n v="94"/>
    <n v="84"/>
    <x v="2"/>
    <n v="12000"/>
    <n v="8980"/>
    <n v="4000"/>
    <x v="0"/>
    <x v="0"/>
    <d v="2025-03-06T00:00:00"/>
    <d v="2025-07-04T00:00:00"/>
    <d v="1899-12-30T08:05:00"/>
    <d v="1899-12-30T11:12:00"/>
    <s v="A"/>
    <s v="08:05 AM"/>
    <s v="Delayed"/>
    <s v="3 Hours 7 Minutes"/>
    <x v="1"/>
  </r>
  <r>
    <x v="53"/>
    <x v="50"/>
    <n v="18"/>
    <x v="0"/>
    <x v="0"/>
    <x v="2"/>
    <x v="2"/>
    <n v="83"/>
    <n v="95"/>
    <x v="1"/>
    <n v="18000"/>
    <n v="20650"/>
    <n v="0"/>
    <x v="1"/>
    <x v="0"/>
    <d v="2025-09-10T00:00:00"/>
    <d v="2025-12-09T00:00:00"/>
    <d v="1899-12-30T08:39:00"/>
    <d v="1899-12-30T12:16:00"/>
    <s v="B"/>
    <s v="08:39 AM"/>
    <s v="On Time"/>
    <s v="3 Hours 37 Minutes"/>
    <x v="1"/>
  </r>
  <r>
    <x v="54"/>
    <x v="51"/>
    <n v="25"/>
    <x v="1"/>
    <x v="3"/>
    <x v="2"/>
    <x v="2"/>
    <n v="52"/>
    <n v="77"/>
    <x v="0"/>
    <n v="15000"/>
    <n v="17700"/>
    <n v="0"/>
    <x v="1"/>
    <x v="0"/>
    <d v="2025-03-29T00:00:00"/>
    <d v="2025-06-27T00:00:00"/>
    <d v="1899-12-30T10:25:00"/>
    <d v="1899-12-30T11:56:00"/>
    <s v="D"/>
    <s v="10:25 AM"/>
    <s v="On Time"/>
    <s v="1 Hours 31 Minutes"/>
    <x v="0"/>
  </r>
  <r>
    <x v="55"/>
    <x v="16"/>
    <n v="22"/>
    <x v="0"/>
    <x v="9"/>
    <x v="2"/>
    <x v="2"/>
    <n v="46"/>
    <n v="60"/>
    <x v="0"/>
    <n v="20000"/>
    <n v="22420"/>
    <n v="0"/>
    <x v="1"/>
    <x v="1"/>
    <d v="2025-02-24T00:00:00"/>
    <d v="2025-03-26T00:00:00"/>
    <d v="1899-12-30T08:39:00"/>
    <d v="1899-12-30T11:41:00"/>
    <s v="D"/>
    <s v="08:39 AM"/>
    <s v="On Time"/>
    <s v="3 Hours 2 Minutes"/>
    <x v="1"/>
  </r>
  <r>
    <x v="56"/>
    <x v="52"/>
    <n v="22"/>
    <x v="1"/>
    <x v="11"/>
    <x v="0"/>
    <x v="0"/>
    <n v="85"/>
    <n v="84"/>
    <x v="1"/>
    <n v="10000"/>
    <n v="7210"/>
    <n v="4000"/>
    <x v="0"/>
    <x v="0"/>
    <d v="2025-06-07T00:00:00"/>
    <d v="2025-09-05T00:00:00"/>
    <d v="1899-12-30T08:31:00"/>
    <d v="1899-12-30T10:24:00"/>
    <s v="B"/>
    <s v="08:31 AM"/>
    <s v="On Time"/>
    <s v="1 Hours 53 Minutes"/>
    <x v="1"/>
  </r>
  <r>
    <x v="57"/>
    <x v="53"/>
    <n v="27"/>
    <x v="1"/>
    <x v="0"/>
    <x v="2"/>
    <x v="2"/>
    <n v="73"/>
    <n v="87"/>
    <x v="3"/>
    <n v="20000"/>
    <n v="17830"/>
    <n v="4000"/>
    <x v="0"/>
    <x v="0"/>
    <d v="2025-02-13T00:00:00"/>
    <d v="2025-04-14T00:00:00"/>
    <d v="1899-12-30T10:49:00"/>
    <d v="1899-12-30T15:38:00"/>
    <s v="C"/>
    <s v="10:49 AM"/>
    <s v="On Time"/>
    <s v="4 Hours 49 Minutes"/>
    <x v="0"/>
  </r>
  <r>
    <x v="58"/>
    <x v="54"/>
    <n v="18"/>
    <x v="0"/>
    <x v="8"/>
    <x v="1"/>
    <x v="1"/>
    <n v="94"/>
    <n v="93"/>
    <x v="2"/>
    <n v="10000"/>
    <n v="6030"/>
    <n v="4000"/>
    <x v="0"/>
    <x v="0"/>
    <d v="2025-02-26T00:00:00"/>
    <d v="2025-03-28T00:00:00"/>
    <d v="1899-12-30T08:01:00"/>
    <d v="1899-12-30T11:54:00"/>
    <s v="A"/>
    <s v="08:01 AM"/>
    <s v="On Time"/>
    <s v="3 Hours 53 Minutes"/>
    <x v="1"/>
  </r>
  <r>
    <x v="59"/>
    <x v="55"/>
    <n v="22"/>
    <x v="0"/>
    <x v="3"/>
    <x v="5"/>
    <x v="5"/>
    <n v="82"/>
    <n v="70"/>
    <x v="1"/>
    <n v="18000"/>
    <n v="17470"/>
    <n v="2000"/>
    <x v="0"/>
    <x v="0"/>
    <d v="2025-03-31T00:00:00"/>
    <d v="2025-07-29T00:00:00"/>
    <d v="1899-12-30T08:40:00"/>
    <d v="1899-12-30T09:45:00"/>
    <s v="B"/>
    <s v="08:40 AM"/>
    <s v="Delayed"/>
    <s v="1 Hours 5 Minutes"/>
    <x v="1"/>
  </r>
  <r>
    <x v="60"/>
    <x v="56"/>
    <n v="25"/>
    <x v="0"/>
    <x v="5"/>
    <x v="7"/>
    <x v="7"/>
    <n v="77"/>
    <n v="71"/>
    <x v="1"/>
    <n v="18000"/>
    <n v="20650"/>
    <n v="0"/>
    <x v="1"/>
    <x v="0"/>
    <d v="2025-07-04T00:00:00"/>
    <d v="2025-08-03T00:00:00"/>
    <d v="1899-12-30T09:35:00"/>
    <d v="1899-12-30T14:00:00"/>
    <s v="B"/>
    <s v="09:35 AM"/>
    <s v="On Time"/>
    <s v="4 Hours 25 Minutes"/>
    <x v="1"/>
  </r>
  <r>
    <x v="61"/>
    <x v="57"/>
    <n v="26"/>
    <x v="0"/>
    <x v="9"/>
    <x v="1"/>
    <x v="1"/>
    <n v="56"/>
    <n v="69"/>
    <x v="0"/>
    <n v="12000"/>
    <n v="8390"/>
    <n v="4000"/>
    <x v="0"/>
    <x v="1"/>
    <d v="2025-07-07T00:00:00"/>
    <d v="2025-10-05T00:00:00"/>
    <d v="1899-12-30T10:07:00"/>
    <d v="1899-12-30T12:46:00"/>
    <s v="D"/>
    <s v="10:07 AM"/>
    <s v="On Time"/>
    <s v="2 Hours 39 Minutes"/>
    <x v="0"/>
  </r>
  <r>
    <x v="62"/>
    <x v="58"/>
    <n v="18"/>
    <x v="1"/>
    <x v="9"/>
    <x v="2"/>
    <x v="2"/>
    <n v="67"/>
    <n v="90"/>
    <x v="3"/>
    <n v="12000"/>
    <n v="12390"/>
    <n v="0"/>
    <x v="1"/>
    <x v="0"/>
    <d v="2025-05-01T00:00:00"/>
    <d v="2025-05-31T00:00:00"/>
    <d v="1899-12-30T09:50:00"/>
    <d v="1899-12-30T12:03:00"/>
    <s v="C"/>
    <s v="09:50 AM"/>
    <s v="On Time"/>
    <s v="2 Hours 13 Minutes"/>
    <x v="1"/>
  </r>
  <r>
    <x v="63"/>
    <x v="59"/>
    <n v="27"/>
    <x v="1"/>
    <x v="7"/>
    <x v="5"/>
    <x v="5"/>
    <n v="51"/>
    <n v="97"/>
    <x v="0"/>
    <n v="10000"/>
    <n v="6030"/>
    <n v="4000"/>
    <x v="0"/>
    <x v="0"/>
    <d v="2025-11-17T00:00:00"/>
    <d v="2026-02-15T00:00:00"/>
    <d v="1899-12-30T08:05:00"/>
    <d v="1899-12-30T09:27:00"/>
    <s v="D"/>
    <s v="08:05 AM"/>
    <s v="On Time"/>
    <s v="1 Hours 22 Minutes"/>
    <x v="1"/>
  </r>
  <r>
    <x v="64"/>
    <x v="60"/>
    <n v="22"/>
    <x v="1"/>
    <x v="3"/>
    <x v="6"/>
    <x v="6"/>
    <n v="81"/>
    <n v="74"/>
    <x v="1"/>
    <n v="15000"/>
    <n v="11930"/>
    <n v="4000"/>
    <x v="0"/>
    <x v="0"/>
    <d v="2025-10-05T00:00:00"/>
    <d v="2026-01-03T00:00:00"/>
    <d v="1899-12-30T08:44:00"/>
    <d v="1899-12-30T13:24:00"/>
    <s v="B"/>
    <s v="08:44 AM"/>
    <s v="On Time"/>
    <s v="4 Hours 40 Minutes"/>
    <x v="1"/>
  </r>
  <r>
    <x v="65"/>
    <x v="61"/>
    <n v="23"/>
    <x v="1"/>
    <x v="5"/>
    <x v="3"/>
    <x v="3"/>
    <n v="58"/>
    <n v="65"/>
    <x v="0"/>
    <n v="18000"/>
    <n v="17470"/>
    <n v="2000"/>
    <x v="0"/>
    <x v="0"/>
    <d v="2025-12-07T00:00:00"/>
    <d v="2026-04-06T00:00:00"/>
    <d v="1899-12-30T09:43:00"/>
    <d v="1899-12-30T14:43:00"/>
    <s v="D"/>
    <s v="09:43 AM"/>
    <s v="Delayed"/>
    <s v="5 Hours 0 Minutes"/>
    <x v="1"/>
  </r>
  <r>
    <x v="66"/>
    <x v="62"/>
    <n v="20"/>
    <x v="1"/>
    <x v="4"/>
    <x v="7"/>
    <x v="7"/>
    <n v="49"/>
    <n v="90"/>
    <x v="0"/>
    <n v="20000"/>
    <n v="18420"/>
    <n v="4000"/>
    <x v="0"/>
    <x v="0"/>
    <d v="2025-08-17T00:00:00"/>
    <d v="2025-11-15T00:00:00"/>
    <d v="1899-12-30T09:59:00"/>
    <d v="1899-12-30T12:47:00"/>
    <s v="D"/>
    <s v="09:59 AM"/>
    <s v="On Time"/>
    <s v="2 Hours 48 Minutes"/>
    <x v="1"/>
  </r>
  <r>
    <x v="67"/>
    <x v="63"/>
    <n v="18"/>
    <x v="1"/>
    <x v="6"/>
    <x v="2"/>
    <x v="2"/>
    <n v="36"/>
    <n v="60"/>
    <x v="0"/>
    <n v="15000"/>
    <n v="13110"/>
    <n v="4000"/>
    <x v="0"/>
    <x v="0"/>
    <d v="2025-04-29T00:00:00"/>
    <d v="2025-08-27T00:00:00"/>
    <d v="1899-12-30T10:11:00"/>
    <d v="1899-12-30T11:27:00"/>
    <s v="D"/>
    <s v="10:11 AM"/>
    <s v="Delayed"/>
    <s v="1 Hours 16 Minutes"/>
    <x v="0"/>
  </r>
  <r>
    <x v="68"/>
    <x v="40"/>
    <n v="18"/>
    <x v="1"/>
    <x v="0"/>
    <x v="4"/>
    <x v="4"/>
    <n v="36"/>
    <n v="86"/>
    <x v="0"/>
    <n v="12000"/>
    <n v="10160"/>
    <n v="4000"/>
    <x v="0"/>
    <x v="0"/>
    <d v="2025-06-27T00:00:00"/>
    <d v="2025-07-27T00:00:00"/>
    <d v="1899-12-30T08:10:00"/>
    <d v="1899-12-30T09:19:00"/>
    <s v="D"/>
    <s v="08:10 AM"/>
    <s v="On Time"/>
    <s v="1 Hours 9 Minutes"/>
    <x v="1"/>
  </r>
  <r>
    <x v="69"/>
    <x v="64"/>
    <n v="27"/>
    <x v="0"/>
    <x v="9"/>
    <x v="3"/>
    <x v="3"/>
    <n v="37"/>
    <n v="76"/>
    <x v="0"/>
    <n v="15000"/>
    <n v="16520"/>
    <n v="0"/>
    <x v="1"/>
    <x v="0"/>
    <d v="2025-04-14T00:00:00"/>
    <d v="2025-05-14T00:00:00"/>
    <d v="1899-12-30T10:08:00"/>
    <d v="1899-12-30T12:34:00"/>
    <s v="D"/>
    <s v="10:08 AM"/>
    <s v="On Time"/>
    <s v="2 Hours 26 Minutes"/>
    <x v="0"/>
  </r>
  <r>
    <x v="70"/>
    <x v="21"/>
    <n v="25"/>
    <x v="1"/>
    <x v="10"/>
    <x v="2"/>
    <x v="2"/>
    <n v="77"/>
    <n v="80"/>
    <x v="1"/>
    <n v="15000"/>
    <n v="15700"/>
    <n v="2000"/>
    <x v="0"/>
    <x v="0"/>
    <d v="2025-11-19T00:00:00"/>
    <d v="2026-05-18T00:00:00"/>
    <d v="1899-12-30T10:51:00"/>
    <d v="1899-12-30T12:36:00"/>
    <s v="B"/>
    <s v="10:51 AM"/>
    <s v="Delayed"/>
    <s v="1 Hours 45 Minutes"/>
    <x v="0"/>
  </r>
  <r>
    <x v="71"/>
    <x v="31"/>
    <n v="22"/>
    <x v="1"/>
    <x v="8"/>
    <x v="3"/>
    <x v="3"/>
    <n v="97"/>
    <n v="65"/>
    <x v="2"/>
    <n v="12000"/>
    <n v="13570"/>
    <n v="0"/>
    <x v="1"/>
    <x v="0"/>
    <d v="2025-09-10T00:00:00"/>
    <d v="2026-01-08T00:00:00"/>
    <d v="1899-12-30T09:05:00"/>
    <d v="1899-12-30T12:46:00"/>
    <s v="A"/>
    <s v="09:05 AM"/>
    <s v="Delayed"/>
    <s v="3 Hours 41 Minutes"/>
    <x v="1"/>
  </r>
  <r>
    <x v="72"/>
    <x v="65"/>
    <n v="20"/>
    <x v="0"/>
    <x v="3"/>
    <x v="7"/>
    <x v="7"/>
    <n v="59"/>
    <n v="90"/>
    <x v="0"/>
    <n v="12000"/>
    <n v="12160"/>
    <n v="2000"/>
    <x v="0"/>
    <x v="0"/>
    <d v="2025-11-15T00:00:00"/>
    <d v="2025-12-15T00:00:00"/>
    <d v="1899-12-30T09:15:00"/>
    <d v="1899-12-30T11:58:00"/>
    <s v="D"/>
    <s v="09:15 AM"/>
    <s v="On Time"/>
    <s v="2 Hours 43 Minutes"/>
    <x v="1"/>
  </r>
  <r>
    <x v="73"/>
    <x v="37"/>
    <n v="25"/>
    <x v="1"/>
    <x v="9"/>
    <x v="1"/>
    <x v="1"/>
    <n v="92"/>
    <n v="78"/>
    <x v="2"/>
    <n v="10000"/>
    <n v="11800"/>
    <n v="0"/>
    <x v="1"/>
    <x v="0"/>
    <d v="2025-12-12T00:00:00"/>
    <d v="2026-02-10T00:00:00"/>
    <d v="1899-12-30T09:44:00"/>
    <d v="1899-12-30T13:39:00"/>
    <s v="A"/>
    <s v="09:44 AM"/>
    <s v="On Time"/>
    <s v="3 Hours 55 Minutes"/>
    <x v="1"/>
  </r>
  <r>
    <x v="74"/>
    <x v="66"/>
    <n v="28"/>
    <x v="0"/>
    <x v="8"/>
    <x v="4"/>
    <x v="4"/>
    <n v="64"/>
    <n v="89"/>
    <x v="3"/>
    <n v="15000"/>
    <n v="17110"/>
    <n v="0"/>
    <x v="1"/>
    <x v="0"/>
    <d v="2025-06-05T00:00:00"/>
    <d v="2025-12-02T00:00:00"/>
    <d v="1899-12-30T08:40:00"/>
    <d v="1899-12-30T11:05:00"/>
    <s v="C"/>
    <s v="08:40 AM"/>
    <s v="Delayed"/>
    <s v="2 Hours 25 Minutes"/>
    <x v="1"/>
  </r>
  <r>
    <x v="75"/>
    <x v="67"/>
    <n v="25"/>
    <x v="1"/>
    <x v="4"/>
    <x v="3"/>
    <x v="3"/>
    <n v="58"/>
    <n v="77"/>
    <x v="0"/>
    <n v="15000"/>
    <n v="13930"/>
    <n v="2000"/>
    <x v="0"/>
    <x v="0"/>
    <d v="2025-12-04T00:00:00"/>
    <d v="2026-03-04T00:00:00"/>
    <d v="1899-12-30T08:38:00"/>
    <d v="1899-12-30T13:22:00"/>
    <s v="D"/>
    <s v="08:38 AM"/>
    <s v="On Time"/>
    <s v="4 Hours 44 Minutes"/>
    <x v="1"/>
  </r>
  <r>
    <x v="76"/>
    <x v="68"/>
    <n v="21"/>
    <x v="1"/>
    <x v="5"/>
    <x v="1"/>
    <x v="1"/>
    <n v="64"/>
    <n v="74"/>
    <x v="3"/>
    <n v="12000"/>
    <n v="14160"/>
    <n v="0"/>
    <x v="1"/>
    <x v="0"/>
    <d v="2025-10-16T00:00:00"/>
    <d v="2026-04-14T00:00:00"/>
    <d v="1899-12-30T08:41:00"/>
    <d v="1899-12-30T11:09:00"/>
    <s v="C"/>
    <s v="08:41 AM"/>
    <s v="Delayed"/>
    <s v="2 Hours 28 Minutes"/>
    <x v="1"/>
  </r>
  <r>
    <x v="77"/>
    <x v="69"/>
    <n v="25"/>
    <x v="1"/>
    <x v="9"/>
    <x v="6"/>
    <x v="6"/>
    <n v="36"/>
    <n v="95"/>
    <x v="0"/>
    <n v="18000"/>
    <n v="20060"/>
    <n v="0"/>
    <x v="1"/>
    <x v="0"/>
    <d v="2025-01-02T00:00:00"/>
    <d v="2025-02-01T00:00:00"/>
    <d v="1899-12-30T10:30:00"/>
    <d v="1899-12-30T11:52:00"/>
    <s v="D"/>
    <s v="10:30 AM"/>
    <s v="On Time"/>
    <s v="1 Hours 22 Minutes"/>
    <x v="0"/>
  </r>
  <r>
    <x v="78"/>
    <x v="70"/>
    <n v="26"/>
    <x v="0"/>
    <x v="10"/>
    <x v="1"/>
    <x v="1"/>
    <n v="52"/>
    <n v="70"/>
    <x v="0"/>
    <n v="12000"/>
    <n v="10160"/>
    <n v="4000"/>
    <x v="0"/>
    <x v="0"/>
    <d v="2025-05-05T00:00:00"/>
    <d v="2025-06-04T00:00:00"/>
    <d v="1899-12-30T10:00:00"/>
    <d v="1899-12-30T13:45:00"/>
    <s v="D"/>
    <s v="10:00 AM"/>
    <s v="On Time"/>
    <s v="3 Hours 45 Minutes"/>
    <x v="1"/>
  </r>
  <r>
    <x v="79"/>
    <x v="71"/>
    <n v="24"/>
    <x v="1"/>
    <x v="10"/>
    <x v="5"/>
    <x v="5"/>
    <n v="37"/>
    <n v="98"/>
    <x v="0"/>
    <n v="15000"/>
    <n v="15930"/>
    <n v="0"/>
    <x v="1"/>
    <x v="0"/>
    <d v="2025-01-25T00:00:00"/>
    <d v="2025-02-24T00:00:00"/>
    <d v="1899-12-30T09:13:00"/>
    <d v="1899-12-30T13:18:00"/>
    <s v="D"/>
    <s v="09:13 AM"/>
    <s v="On Time"/>
    <s v="4 Hours 5 Minutes"/>
    <x v="1"/>
  </r>
  <r>
    <x v="80"/>
    <x v="72"/>
    <n v="26"/>
    <x v="0"/>
    <x v="3"/>
    <x v="5"/>
    <x v="5"/>
    <n v="61"/>
    <n v="73"/>
    <x v="3"/>
    <n v="10000"/>
    <n v="7800"/>
    <n v="4000"/>
    <x v="0"/>
    <x v="0"/>
    <d v="2025-09-13T00:00:00"/>
    <d v="2025-10-13T00:00:00"/>
    <d v="1899-12-30T08:26:00"/>
    <d v="1899-12-30T10:30:00"/>
    <s v="C"/>
    <s v="08:26 AM"/>
    <s v="On Time"/>
    <s v="2 Hours 4 Minutes"/>
    <x v="1"/>
  </r>
  <r>
    <x v="81"/>
    <x v="73"/>
    <n v="25"/>
    <x v="1"/>
    <x v="2"/>
    <x v="5"/>
    <x v="5"/>
    <n v="37"/>
    <n v="66"/>
    <x v="0"/>
    <n v="10000"/>
    <n v="7210"/>
    <n v="4000"/>
    <x v="0"/>
    <x v="0"/>
    <d v="2025-11-04T00:00:00"/>
    <d v="2026-02-02T00:00:00"/>
    <d v="1899-12-30T09:16:00"/>
    <d v="1899-12-30T12:25:00"/>
    <s v="D"/>
    <s v="09:16 AM"/>
    <s v="On Time"/>
    <s v="3 Hours 9 Minutes"/>
    <x v="1"/>
  </r>
  <r>
    <x v="82"/>
    <x v="74"/>
    <n v="19"/>
    <x v="1"/>
    <x v="0"/>
    <x v="2"/>
    <x v="2"/>
    <n v="76"/>
    <n v="95"/>
    <x v="1"/>
    <n v="10000"/>
    <n v="6030"/>
    <n v="4000"/>
    <x v="0"/>
    <x v="0"/>
    <d v="2025-04-04T00:00:00"/>
    <d v="2025-06-03T00:00:00"/>
    <d v="1899-12-30T09:57:00"/>
    <d v="1899-12-30T14:29:00"/>
    <s v="B"/>
    <s v="09:57 AM"/>
    <s v="On Time"/>
    <s v="4 Hours 32 Minutes"/>
    <x v="1"/>
  </r>
  <r>
    <x v="83"/>
    <x v="75"/>
    <n v="25"/>
    <x v="1"/>
    <x v="1"/>
    <x v="1"/>
    <x v="1"/>
    <n v="85"/>
    <n v="75"/>
    <x v="1"/>
    <n v="15000"/>
    <n v="12520"/>
    <n v="4000"/>
    <x v="0"/>
    <x v="0"/>
    <d v="2025-11-23T00:00:00"/>
    <d v="2025-12-23T00:00:00"/>
    <d v="1899-12-30T09:05:00"/>
    <d v="1899-12-30T10:53:00"/>
    <s v="B"/>
    <s v="09:05 AM"/>
    <s v="On Time"/>
    <s v="1 Hours 48 Minutes"/>
    <x v="1"/>
  </r>
  <r>
    <x v="84"/>
    <x v="76"/>
    <n v="24"/>
    <x v="0"/>
    <x v="3"/>
    <x v="5"/>
    <x v="5"/>
    <n v="41"/>
    <n v="82"/>
    <x v="0"/>
    <n v="15000"/>
    <n v="13930"/>
    <n v="2000"/>
    <x v="0"/>
    <x v="0"/>
    <d v="2025-12-17T00:00:00"/>
    <d v="2026-04-16T00:00:00"/>
    <d v="1899-12-30T09:04:00"/>
    <d v="1899-12-30T13:41:00"/>
    <s v="D"/>
    <s v="09:04 AM"/>
    <s v="Delayed"/>
    <s v="4 Hours 37 Minutes"/>
    <x v="1"/>
  </r>
  <r>
    <x v="85"/>
    <x v="74"/>
    <n v="20"/>
    <x v="0"/>
    <x v="10"/>
    <x v="6"/>
    <x v="6"/>
    <n v="76"/>
    <n v="89"/>
    <x v="1"/>
    <n v="15000"/>
    <n v="12520"/>
    <n v="4000"/>
    <x v="0"/>
    <x v="0"/>
    <d v="2025-01-14T00:00:00"/>
    <d v="2025-04-14T00:00:00"/>
    <d v="1899-12-30T10:09:00"/>
    <d v="1899-12-30T11:53:00"/>
    <s v="B"/>
    <s v="10:09 AM"/>
    <s v="On Time"/>
    <s v="1 Hours 44 Minutes"/>
    <x v="0"/>
  </r>
  <r>
    <x v="86"/>
    <x v="77"/>
    <n v="28"/>
    <x v="1"/>
    <x v="1"/>
    <x v="0"/>
    <x v="0"/>
    <n v="35"/>
    <n v="82"/>
    <x v="0"/>
    <n v="20000"/>
    <n v="20420"/>
    <n v="2000"/>
    <x v="0"/>
    <x v="0"/>
    <d v="2025-10-09T00:00:00"/>
    <d v="2025-11-08T00:00:00"/>
    <d v="1899-12-30T08:57:00"/>
    <d v="1899-12-30T10:59:00"/>
    <s v="D"/>
    <s v="08:57 AM"/>
    <s v="On Time"/>
    <s v="2 Hours 2 Minutes"/>
    <x v="1"/>
  </r>
  <r>
    <x v="87"/>
    <x v="78"/>
    <n v="28"/>
    <x v="1"/>
    <x v="9"/>
    <x v="4"/>
    <x v="4"/>
    <n v="58"/>
    <n v="69"/>
    <x v="0"/>
    <n v="12000"/>
    <n v="12160"/>
    <n v="2000"/>
    <x v="0"/>
    <x v="0"/>
    <d v="2025-05-06T00:00:00"/>
    <d v="2025-09-03T00:00:00"/>
    <d v="1899-12-30T10:36:00"/>
    <d v="1899-12-30T15:08:00"/>
    <s v="D"/>
    <s v="10:36 AM"/>
    <s v="Delayed"/>
    <s v="4 Hours 32 Minutes"/>
    <x v="0"/>
  </r>
  <r>
    <x v="88"/>
    <x v="3"/>
    <n v="27"/>
    <x v="0"/>
    <x v="6"/>
    <x v="4"/>
    <x v="4"/>
    <n v="65"/>
    <n v="82"/>
    <x v="3"/>
    <n v="15000"/>
    <n v="15930"/>
    <n v="0"/>
    <x v="1"/>
    <x v="0"/>
    <d v="2025-08-08T00:00:00"/>
    <d v="2025-10-07T00:00:00"/>
    <d v="1899-12-30T10:38:00"/>
    <d v="1899-12-30T13:53:00"/>
    <s v="C"/>
    <s v="10:38 AM"/>
    <s v="On Time"/>
    <s v="3 Hours 15 Minutes"/>
    <x v="0"/>
  </r>
  <r>
    <x v="89"/>
    <x v="65"/>
    <n v="21"/>
    <x v="0"/>
    <x v="7"/>
    <x v="0"/>
    <x v="0"/>
    <n v="100"/>
    <n v="93"/>
    <x v="2"/>
    <n v="10000"/>
    <n v="7800"/>
    <n v="4000"/>
    <x v="0"/>
    <x v="0"/>
    <d v="2025-02-05T00:00:00"/>
    <d v="2025-03-07T00:00:00"/>
    <d v="1899-12-30T08:47:00"/>
    <d v="1899-12-30T13:05:00"/>
    <s v="A"/>
    <s v="08:47 AM"/>
    <s v="On Time"/>
    <s v="4 Hours 18 Minutes"/>
    <x v="1"/>
  </r>
  <r>
    <x v="90"/>
    <x v="79"/>
    <n v="23"/>
    <x v="0"/>
    <x v="0"/>
    <x v="5"/>
    <x v="5"/>
    <n v="100"/>
    <n v="83"/>
    <x v="2"/>
    <n v="10000"/>
    <n v="11800"/>
    <n v="0"/>
    <x v="1"/>
    <x v="0"/>
    <d v="2025-08-02T00:00:00"/>
    <d v="2025-09-01T00:00:00"/>
    <d v="1899-12-30T08:22:00"/>
    <d v="1899-12-30T09:52:00"/>
    <s v="A"/>
    <s v="08:22 AM"/>
    <s v="On Time"/>
    <s v="1 Hours 30 Minutes"/>
    <x v="1"/>
  </r>
  <r>
    <x v="91"/>
    <x v="80"/>
    <n v="26"/>
    <x v="1"/>
    <x v="6"/>
    <x v="4"/>
    <x v="4"/>
    <n v="46"/>
    <n v="79"/>
    <x v="0"/>
    <n v="10000"/>
    <n v="11210"/>
    <n v="0"/>
    <x v="1"/>
    <x v="0"/>
    <d v="2025-12-12T00:00:00"/>
    <d v="2026-02-10T00:00:00"/>
    <d v="1899-12-30T08:13:00"/>
    <d v="1899-12-30T09:26:00"/>
    <s v="D"/>
    <s v="08:13 AM"/>
    <s v="On Time"/>
    <s v="1 Hours 13 Minutes"/>
    <x v="1"/>
  </r>
  <r>
    <x v="92"/>
    <x v="81"/>
    <n v="28"/>
    <x v="0"/>
    <x v="3"/>
    <x v="6"/>
    <x v="6"/>
    <n v="87"/>
    <n v="88"/>
    <x v="1"/>
    <n v="12000"/>
    <n v="10160"/>
    <n v="4000"/>
    <x v="0"/>
    <x v="0"/>
    <d v="2025-12-16T00:00:00"/>
    <d v="2026-02-14T00:00:00"/>
    <d v="1899-12-30T08:27:00"/>
    <d v="1899-12-30T11:44:00"/>
    <s v="B"/>
    <s v="08:27 AM"/>
    <s v="On Time"/>
    <s v="3 Hours 17 Minutes"/>
    <x v="1"/>
  </r>
  <r>
    <x v="93"/>
    <x v="82"/>
    <n v="22"/>
    <x v="0"/>
    <x v="5"/>
    <x v="7"/>
    <x v="7"/>
    <n v="96"/>
    <n v="88"/>
    <x v="2"/>
    <n v="10000"/>
    <n v="10620"/>
    <n v="0"/>
    <x v="1"/>
    <x v="0"/>
    <d v="2025-09-04T00:00:00"/>
    <d v="2025-10-04T00:00:00"/>
    <d v="1899-12-30T09:35:00"/>
    <d v="1899-12-30T10:59:00"/>
    <s v="A"/>
    <s v="09:35 AM"/>
    <s v="On Time"/>
    <s v="1 Hours 24 Minutes"/>
    <x v="1"/>
  </r>
  <r>
    <x v="94"/>
    <x v="83"/>
    <n v="22"/>
    <x v="1"/>
    <x v="1"/>
    <x v="0"/>
    <x v="0"/>
    <n v="55"/>
    <n v="68"/>
    <x v="0"/>
    <n v="10000"/>
    <n v="6030"/>
    <n v="4000"/>
    <x v="0"/>
    <x v="0"/>
    <d v="2025-03-16T00:00:00"/>
    <d v="2025-05-15T00:00:00"/>
    <d v="1899-12-30T08:42:00"/>
    <d v="1899-12-30T10:40:00"/>
    <s v="D"/>
    <s v="08:42 AM"/>
    <s v="On Time"/>
    <s v="1 Hours 58 Minutes"/>
    <x v="1"/>
  </r>
  <r>
    <x v="95"/>
    <x v="84"/>
    <n v="21"/>
    <x v="0"/>
    <x v="2"/>
    <x v="4"/>
    <x v="4"/>
    <n v="56"/>
    <n v="72"/>
    <x v="0"/>
    <n v="20000"/>
    <n v="21830"/>
    <n v="0"/>
    <x v="1"/>
    <x v="0"/>
    <d v="2025-10-29T00:00:00"/>
    <d v="2026-02-26T00:00:00"/>
    <d v="1899-12-30T10:39:00"/>
    <d v="1899-12-30T15:15:00"/>
    <s v="D"/>
    <s v="10:39 AM"/>
    <s v="Delayed"/>
    <s v="4 Hours 36 Minutes"/>
    <x v="0"/>
  </r>
  <r>
    <x v="96"/>
    <x v="85"/>
    <n v="24"/>
    <x v="0"/>
    <x v="4"/>
    <x v="5"/>
    <x v="5"/>
    <n v="61"/>
    <n v="70"/>
    <x v="3"/>
    <n v="20000"/>
    <n v="19010"/>
    <n v="4000"/>
    <x v="0"/>
    <x v="0"/>
    <d v="2025-01-29T00:00:00"/>
    <d v="2025-02-28T00:00:00"/>
    <d v="1899-12-30T10:40:00"/>
    <d v="1899-12-30T15:24:00"/>
    <s v="C"/>
    <s v="10:40 AM"/>
    <s v="On Time"/>
    <s v="4 Hours 44 Minutes"/>
    <x v="0"/>
  </r>
  <r>
    <x v="97"/>
    <x v="25"/>
    <n v="28"/>
    <x v="1"/>
    <x v="2"/>
    <x v="4"/>
    <x v="4"/>
    <n v="67"/>
    <n v="93"/>
    <x v="3"/>
    <n v="20000"/>
    <n v="23600"/>
    <n v="0"/>
    <x v="1"/>
    <x v="0"/>
    <d v="2025-04-20T00:00:00"/>
    <d v="2025-10-17T00:00:00"/>
    <d v="1899-12-30T10:54:00"/>
    <d v="1899-12-30T15:40:00"/>
    <s v="C"/>
    <s v="10:54 AM"/>
    <s v="Delayed"/>
    <s v="4 Hours 46 Minutes"/>
    <x v="0"/>
  </r>
  <r>
    <x v="98"/>
    <x v="86"/>
    <n v="23"/>
    <x v="1"/>
    <x v="2"/>
    <x v="7"/>
    <x v="7"/>
    <n v="87"/>
    <n v="81"/>
    <x v="1"/>
    <n v="15000"/>
    <n v="14520"/>
    <n v="2000"/>
    <x v="0"/>
    <x v="0"/>
    <d v="2025-04-28T00:00:00"/>
    <d v="2025-06-27T00:00:00"/>
    <d v="1899-12-30T08:41:00"/>
    <d v="1899-12-30T09:59:00"/>
    <s v="B"/>
    <s v="08:41 AM"/>
    <s v="On Time"/>
    <s v="1 Hours 18 Minutes"/>
    <x v="1"/>
  </r>
  <r>
    <x v="99"/>
    <x v="87"/>
    <n v="21"/>
    <x v="1"/>
    <x v="9"/>
    <x v="7"/>
    <x v="7"/>
    <n v="47"/>
    <n v="83"/>
    <x v="0"/>
    <n v="18000"/>
    <n v="16650"/>
    <n v="4000"/>
    <x v="0"/>
    <x v="0"/>
    <d v="2025-03-30T00:00:00"/>
    <d v="2025-04-29T00:00:00"/>
    <d v="1899-12-30T08:30:00"/>
    <d v="1899-12-30T10:22:00"/>
    <s v="D"/>
    <s v="08:30 AM"/>
    <s v="On Time"/>
    <s v="1 Hours 52 Minutes"/>
    <x v="1"/>
  </r>
  <r>
    <x v="100"/>
    <x v="33"/>
    <n v="20"/>
    <x v="0"/>
    <x v="1"/>
    <x v="5"/>
    <x v="5"/>
    <n v="42"/>
    <n v="73"/>
    <x v="0"/>
    <n v="15000"/>
    <n v="12520"/>
    <n v="4000"/>
    <x v="0"/>
    <x v="0"/>
    <d v="2025-11-21T00:00:00"/>
    <d v="2026-03-21T00:00:00"/>
    <d v="1899-12-30T09:13:00"/>
    <d v="1899-12-30T11:43:00"/>
    <s v="D"/>
    <s v="09:13 AM"/>
    <s v="Delayed"/>
    <s v="2 Hours 30 Minutes"/>
    <x v="1"/>
  </r>
  <r>
    <x v="101"/>
    <x v="88"/>
    <n v="22"/>
    <x v="0"/>
    <x v="6"/>
    <x v="3"/>
    <x v="3"/>
    <n v="44"/>
    <n v="61"/>
    <x v="0"/>
    <n v="10000"/>
    <n v="9800"/>
    <n v="2000"/>
    <x v="0"/>
    <x v="0"/>
    <d v="2025-11-16T00:00:00"/>
    <d v="2025-12-16T00:00:00"/>
    <d v="1899-12-30T10:28:00"/>
    <d v="1899-12-30T15:06:00"/>
    <s v="D"/>
    <s v="10:28 AM"/>
    <s v="On Time"/>
    <s v="4 Hours 38 Minutes"/>
    <x v="0"/>
  </r>
  <r>
    <x v="102"/>
    <x v="89"/>
    <n v="21"/>
    <x v="1"/>
    <x v="7"/>
    <x v="4"/>
    <x v="4"/>
    <n v="64"/>
    <n v="90"/>
    <x v="3"/>
    <n v="20000"/>
    <n v="21010"/>
    <n v="2000"/>
    <x v="0"/>
    <x v="0"/>
    <d v="2025-09-17T00:00:00"/>
    <d v="2026-01-15T00:00:00"/>
    <d v="1899-12-30T08:01:00"/>
    <d v="1899-12-30T09:48:00"/>
    <s v="C"/>
    <s v="08:01 AM"/>
    <s v="Delayed"/>
    <s v="1 Hours 47 Minutes"/>
    <x v="1"/>
  </r>
  <r>
    <x v="103"/>
    <x v="90"/>
    <n v="20"/>
    <x v="1"/>
    <x v="2"/>
    <x v="0"/>
    <x v="0"/>
    <n v="67"/>
    <n v="83"/>
    <x v="3"/>
    <n v="10000"/>
    <n v="6620"/>
    <n v="4000"/>
    <x v="0"/>
    <x v="0"/>
    <d v="2025-11-17T00:00:00"/>
    <d v="2025-12-17T00:00:00"/>
    <d v="1899-12-30T09:54:00"/>
    <d v="1899-12-30T11:06:00"/>
    <s v="C"/>
    <s v="09:54 AM"/>
    <s v="On Time"/>
    <s v="1 Hours 12 Minutes"/>
    <x v="1"/>
  </r>
  <r>
    <x v="104"/>
    <x v="91"/>
    <n v="23"/>
    <x v="0"/>
    <x v="9"/>
    <x v="3"/>
    <x v="3"/>
    <n v="60"/>
    <n v="67"/>
    <x v="3"/>
    <n v="12000"/>
    <n v="14160"/>
    <n v="0"/>
    <x v="1"/>
    <x v="0"/>
    <d v="2025-05-31T00:00:00"/>
    <d v="2025-11-27T00:00:00"/>
    <d v="1899-12-30T09:26:00"/>
    <d v="1899-12-30T12:05:00"/>
    <s v="C"/>
    <s v="09:26 AM"/>
    <s v="Delayed"/>
    <s v="2 Hours 39 Minutes"/>
    <x v="1"/>
  </r>
  <r>
    <x v="105"/>
    <x v="85"/>
    <n v="27"/>
    <x v="1"/>
    <x v="7"/>
    <x v="1"/>
    <x v="1"/>
    <n v="39"/>
    <n v="84"/>
    <x v="0"/>
    <n v="10000"/>
    <n v="7800"/>
    <n v="4000"/>
    <x v="0"/>
    <x v="0"/>
    <d v="2025-08-10T00:00:00"/>
    <d v="2025-11-08T00:00:00"/>
    <d v="1899-12-30T08:14:00"/>
    <d v="1899-12-30T09:27:00"/>
    <s v="D"/>
    <s v="08:14 AM"/>
    <s v="On Time"/>
    <s v="1 Hours 13 Minutes"/>
    <x v="1"/>
  </r>
  <r>
    <x v="106"/>
    <x v="54"/>
    <n v="19"/>
    <x v="1"/>
    <x v="4"/>
    <x v="5"/>
    <x v="5"/>
    <n v="87"/>
    <n v="79"/>
    <x v="1"/>
    <n v="15000"/>
    <n v="15930"/>
    <n v="0"/>
    <x v="1"/>
    <x v="0"/>
    <d v="2025-03-06T00:00:00"/>
    <d v="2025-06-04T00:00:00"/>
    <d v="1899-12-30T09:10:00"/>
    <d v="1899-12-30T13:22:00"/>
    <s v="B"/>
    <s v="09:10 AM"/>
    <s v="On Time"/>
    <s v="4 Hours 12 Minutes"/>
    <x v="1"/>
  </r>
  <r>
    <x v="107"/>
    <x v="92"/>
    <n v="24"/>
    <x v="0"/>
    <x v="4"/>
    <x v="2"/>
    <x v="2"/>
    <n v="49"/>
    <n v="84"/>
    <x v="0"/>
    <n v="15000"/>
    <n v="13930"/>
    <n v="2000"/>
    <x v="0"/>
    <x v="0"/>
    <d v="2025-11-25T00:00:00"/>
    <d v="2026-01-24T00:00:00"/>
    <d v="1899-12-30T09:34:00"/>
    <d v="1899-12-30T14:23:00"/>
    <s v="D"/>
    <s v="09:34 AM"/>
    <s v="On Time"/>
    <s v="4 Hours 49 Minutes"/>
    <x v="1"/>
  </r>
  <r>
    <x v="108"/>
    <x v="93"/>
    <n v="28"/>
    <x v="1"/>
    <x v="1"/>
    <x v="5"/>
    <x v="5"/>
    <n v="100"/>
    <n v="67"/>
    <x v="2"/>
    <n v="18000"/>
    <n v="20060"/>
    <n v="0"/>
    <x v="1"/>
    <x v="1"/>
    <d v="2025-01-27T00:00:00"/>
    <d v="2025-04-27T00:00:00"/>
    <d v="1899-12-30T08:16:00"/>
    <d v="1899-12-30T13:14:00"/>
    <s v="A"/>
    <s v="08:16 AM"/>
    <s v="On Time"/>
    <s v="4 Hours 58 Minutes"/>
    <x v="1"/>
  </r>
  <r>
    <x v="109"/>
    <x v="64"/>
    <n v="28"/>
    <x v="0"/>
    <x v="5"/>
    <x v="7"/>
    <x v="7"/>
    <n v="85"/>
    <n v="60"/>
    <x v="1"/>
    <n v="18000"/>
    <n v="15470"/>
    <n v="4000"/>
    <x v="0"/>
    <x v="0"/>
    <d v="2025-03-29T00:00:00"/>
    <d v="2025-04-28T00:00:00"/>
    <d v="1899-12-30T10:59:00"/>
    <d v="1899-12-30T15:53:00"/>
    <s v="B"/>
    <s v="10:59 AM"/>
    <s v="On Time"/>
    <s v="4 Hours 54 Minutes"/>
    <x v="0"/>
  </r>
  <r>
    <x v="110"/>
    <x v="94"/>
    <n v="28"/>
    <x v="1"/>
    <x v="1"/>
    <x v="6"/>
    <x v="6"/>
    <n v="38"/>
    <n v="64"/>
    <x v="0"/>
    <n v="10000"/>
    <n v="8030"/>
    <n v="2000"/>
    <x v="0"/>
    <x v="0"/>
    <d v="2025-03-22T00:00:00"/>
    <d v="2025-04-21T00:00:00"/>
    <d v="1899-12-30T10:44:00"/>
    <d v="1899-12-30T15:36:00"/>
    <s v="D"/>
    <s v="10:44 AM"/>
    <s v="On Time"/>
    <s v="4 Hours 52 Minutes"/>
    <x v="0"/>
  </r>
  <r>
    <x v="111"/>
    <x v="16"/>
    <n v="28"/>
    <x v="1"/>
    <x v="4"/>
    <x v="3"/>
    <x v="3"/>
    <n v="39"/>
    <n v="99"/>
    <x v="0"/>
    <n v="15000"/>
    <n v="11930"/>
    <n v="4000"/>
    <x v="0"/>
    <x v="0"/>
    <d v="2025-06-05T00:00:00"/>
    <d v="2025-07-05T00:00:00"/>
    <d v="1899-12-30T10:07:00"/>
    <d v="1899-12-30T13:12:00"/>
    <s v="D"/>
    <s v="10:07 AM"/>
    <s v="On Time"/>
    <s v="3 Hours 5 Minutes"/>
    <x v="0"/>
  </r>
  <r>
    <x v="112"/>
    <x v="95"/>
    <n v="27"/>
    <x v="1"/>
    <x v="4"/>
    <x v="7"/>
    <x v="7"/>
    <n v="87"/>
    <n v="100"/>
    <x v="1"/>
    <n v="10000"/>
    <n v="10620"/>
    <n v="0"/>
    <x v="1"/>
    <x v="0"/>
    <d v="2025-06-17T00:00:00"/>
    <d v="2025-12-14T00:00:00"/>
    <d v="1899-12-30T10:02:00"/>
    <d v="1899-12-30T12:13:00"/>
    <s v="B"/>
    <s v="10:02 AM"/>
    <s v="Delayed"/>
    <s v="2 Hours 11 Minutes"/>
    <x v="0"/>
  </r>
  <r>
    <x v="113"/>
    <x v="96"/>
    <n v="21"/>
    <x v="1"/>
    <x v="8"/>
    <x v="7"/>
    <x v="7"/>
    <n v="58"/>
    <n v="89"/>
    <x v="0"/>
    <n v="20000"/>
    <n v="19010"/>
    <n v="4000"/>
    <x v="0"/>
    <x v="0"/>
    <d v="2025-08-11T00:00:00"/>
    <d v="2025-11-09T00:00:00"/>
    <d v="1899-12-30T10:40:00"/>
    <d v="1899-12-30T14:21:00"/>
    <s v="D"/>
    <s v="10:40 AM"/>
    <s v="On Time"/>
    <s v="3 Hours 41 Minutes"/>
    <x v="0"/>
  </r>
  <r>
    <x v="114"/>
    <x v="97"/>
    <n v="23"/>
    <x v="1"/>
    <x v="4"/>
    <x v="5"/>
    <x v="5"/>
    <n v="50"/>
    <n v="86"/>
    <x v="0"/>
    <n v="12000"/>
    <n v="13570"/>
    <n v="0"/>
    <x v="1"/>
    <x v="0"/>
    <d v="2025-02-11T00:00:00"/>
    <d v="2025-08-10T00:00:00"/>
    <d v="1899-12-30T10:09:00"/>
    <d v="1899-12-30T13:25:00"/>
    <s v="D"/>
    <s v="10:09 AM"/>
    <s v="Delayed"/>
    <s v="3 Hours 16 Minutes"/>
    <x v="0"/>
  </r>
  <r>
    <x v="115"/>
    <x v="98"/>
    <n v="26"/>
    <x v="1"/>
    <x v="0"/>
    <x v="4"/>
    <x v="4"/>
    <n v="95"/>
    <n v="69"/>
    <x v="2"/>
    <n v="18000"/>
    <n v="16060"/>
    <n v="4000"/>
    <x v="0"/>
    <x v="0"/>
    <d v="2025-08-28T00:00:00"/>
    <d v="2026-02-24T00:00:00"/>
    <d v="1899-12-30T09:32:00"/>
    <d v="1899-12-30T12:14:00"/>
    <s v="A"/>
    <s v="09:32 AM"/>
    <s v="Delayed"/>
    <s v="2 Hours 42 Minutes"/>
    <x v="1"/>
  </r>
  <r>
    <x v="116"/>
    <x v="99"/>
    <n v="28"/>
    <x v="0"/>
    <x v="11"/>
    <x v="6"/>
    <x v="6"/>
    <n v="81"/>
    <n v="88"/>
    <x v="1"/>
    <n v="18000"/>
    <n v="20650"/>
    <n v="0"/>
    <x v="1"/>
    <x v="0"/>
    <d v="2025-01-04T00:00:00"/>
    <d v="2025-05-04T00:00:00"/>
    <d v="1899-12-30T09:14:00"/>
    <d v="1899-12-30T10:34:00"/>
    <s v="B"/>
    <s v="09:14 AM"/>
    <s v="Delayed"/>
    <s v="1 Hours 20 Minutes"/>
    <x v="1"/>
  </r>
  <r>
    <x v="117"/>
    <x v="33"/>
    <n v="19"/>
    <x v="0"/>
    <x v="4"/>
    <x v="2"/>
    <x v="2"/>
    <n v="98"/>
    <n v="100"/>
    <x v="2"/>
    <n v="18000"/>
    <n v="18060"/>
    <n v="2000"/>
    <x v="0"/>
    <x v="0"/>
    <d v="2025-04-23T00:00:00"/>
    <d v="2025-05-23T00:00:00"/>
    <d v="1899-12-30T09:03:00"/>
    <d v="1899-12-30T13:06:00"/>
    <s v="A"/>
    <s v="09:03 AM"/>
    <s v="On Time"/>
    <s v="4 Hours 3 Minutes"/>
    <x v="1"/>
  </r>
  <r>
    <x v="118"/>
    <x v="67"/>
    <n v="18"/>
    <x v="1"/>
    <x v="5"/>
    <x v="1"/>
    <x v="1"/>
    <n v="74"/>
    <n v="60"/>
    <x v="3"/>
    <n v="15000"/>
    <n v="17110"/>
    <n v="0"/>
    <x v="1"/>
    <x v="0"/>
    <d v="2025-09-21T00:00:00"/>
    <d v="2025-12-20T00:00:00"/>
    <d v="1899-12-30T10:11:00"/>
    <d v="1899-12-30T12:28:00"/>
    <s v="C"/>
    <s v="10:11 AM"/>
    <s v="On Time"/>
    <s v="2 Hours 17 Minutes"/>
    <x v="0"/>
  </r>
  <r>
    <x v="119"/>
    <x v="100"/>
    <n v="28"/>
    <x v="0"/>
    <x v="5"/>
    <x v="4"/>
    <x v="4"/>
    <n v="91"/>
    <n v="79"/>
    <x v="2"/>
    <n v="20000"/>
    <n v="23600"/>
    <n v="0"/>
    <x v="1"/>
    <x v="0"/>
    <d v="2025-08-21T00:00:00"/>
    <d v="2025-09-20T00:00:00"/>
    <d v="1899-12-30T10:00:00"/>
    <d v="1899-12-30T14:52:00"/>
    <s v="A"/>
    <s v="10:00 AM"/>
    <s v="On Time"/>
    <s v="4 Hours 52 Minutes"/>
    <x v="1"/>
  </r>
  <r>
    <x v="120"/>
    <x v="101"/>
    <n v="26"/>
    <x v="0"/>
    <x v="10"/>
    <x v="5"/>
    <x v="5"/>
    <n v="97"/>
    <n v="99"/>
    <x v="2"/>
    <n v="10000"/>
    <n v="9800"/>
    <n v="2000"/>
    <x v="0"/>
    <x v="0"/>
    <d v="2025-05-29T00:00:00"/>
    <d v="2025-11-25T00:00:00"/>
    <d v="1899-12-30T08:28:00"/>
    <d v="1899-12-30T11:27:00"/>
    <s v="A"/>
    <s v="08:28 AM"/>
    <s v="Delayed"/>
    <s v="2 Hours 59 Minutes"/>
    <x v="1"/>
  </r>
  <r>
    <x v="121"/>
    <x v="66"/>
    <n v="22"/>
    <x v="0"/>
    <x v="1"/>
    <x v="2"/>
    <x v="2"/>
    <n v="36"/>
    <n v="100"/>
    <x v="0"/>
    <n v="15000"/>
    <n v="11930"/>
    <n v="4000"/>
    <x v="0"/>
    <x v="1"/>
    <d v="2025-12-12T00:00:00"/>
    <d v="2026-03-12T00:00:00"/>
    <d v="1899-12-30T09:37:00"/>
    <d v="1899-12-30T13:34:00"/>
    <s v="D"/>
    <s v="09:37 AM"/>
    <s v="On Time"/>
    <s v="3 Hours 57 Minutes"/>
    <x v="1"/>
  </r>
  <r>
    <x v="122"/>
    <x v="58"/>
    <n v="21"/>
    <x v="0"/>
    <x v="3"/>
    <x v="7"/>
    <x v="7"/>
    <n v="69"/>
    <n v="99"/>
    <x v="3"/>
    <n v="18000"/>
    <n v="20650"/>
    <n v="0"/>
    <x v="1"/>
    <x v="0"/>
    <d v="2025-03-27T00:00:00"/>
    <d v="2025-04-26T00:00:00"/>
    <d v="1899-12-30T08:57:00"/>
    <d v="1899-12-30T12:43:00"/>
    <s v="C"/>
    <s v="08:57 AM"/>
    <s v="On Time"/>
    <s v="3 Hours 46 Minutes"/>
    <x v="1"/>
  </r>
  <r>
    <x v="123"/>
    <x v="102"/>
    <n v="18"/>
    <x v="1"/>
    <x v="11"/>
    <x v="1"/>
    <x v="1"/>
    <n v="50"/>
    <n v="98"/>
    <x v="0"/>
    <n v="10000"/>
    <n v="11800"/>
    <n v="0"/>
    <x v="1"/>
    <x v="0"/>
    <d v="2025-10-28T00:00:00"/>
    <d v="2026-02-25T00:00:00"/>
    <d v="1899-12-30T08:53:00"/>
    <d v="1899-12-30T10:08:00"/>
    <s v="D"/>
    <s v="08:53 AM"/>
    <s v="Delayed"/>
    <s v="1 Hours 15 Minutes"/>
    <x v="1"/>
  </r>
  <r>
    <x v="124"/>
    <x v="78"/>
    <n v="28"/>
    <x v="1"/>
    <x v="4"/>
    <x v="0"/>
    <x v="0"/>
    <n v="38"/>
    <n v="68"/>
    <x v="0"/>
    <n v="18000"/>
    <n v="20060"/>
    <n v="0"/>
    <x v="1"/>
    <x v="1"/>
    <d v="2025-08-07T00:00:00"/>
    <d v="2025-12-05T00:00:00"/>
    <d v="1899-12-30T08:14:00"/>
    <d v="1899-12-30T09:25:00"/>
    <s v="D"/>
    <s v="08:14 AM"/>
    <s v="Delayed"/>
    <s v="1 Hours 11 Minutes"/>
    <x v="1"/>
  </r>
  <r>
    <x v="125"/>
    <x v="14"/>
    <n v="18"/>
    <x v="1"/>
    <x v="2"/>
    <x v="3"/>
    <x v="3"/>
    <n v="100"/>
    <n v="63"/>
    <x v="2"/>
    <n v="18000"/>
    <n v="17470"/>
    <n v="2000"/>
    <x v="0"/>
    <x v="0"/>
    <d v="2025-01-13T00:00:00"/>
    <d v="2025-07-12T00:00:00"/>
    <d v="1899-12-30T08:53:00"/>
    <d v="1899-12-30T10:03:00"/>
    <s v="A"/>
    <s v="08:53 AM"/>
    <s v="Delayed"/>
    <s v="1 Hours 10 Minutes"/>
    <x v="1"/>
  </r>
  <r>
    <x v="126"/>
    <x v="95"/>
    <n v="19"/>
    <x v="0"/>
    <x v="8"/>
    <x v="7"/>
    <x v="7"/>
    <n v="73"/>
    <n v="60"/>
    <x v="3"/>
    <n v="10000"/>
    <n v="6030"/>
    <n v="4000"/>
    <x v="0"/>
    <x v="0"/>
    <d v="2025-03-10T00:00:00"/>
    <d v="2025-04-09T00:00:00"/>
    <d v="1899-12-30T09:32:00"/>
    <d v="1899-12-30T12:59:00"/>
    <s v="C"/>
    <s v="09:32 AM"/>
    <s v="On Time"/>
    <s v="3 Hours 27 Minutes"/>
    <x v="1"/>
  </r>
  <r>
    <x v="127"/>
    <x v="32"/>
    <n v="23"/>
    <x v="0"/>
    <x v="9"/>
    <x v="1"/>
    <x v="1"/>
    <n v="57"/>
    <n v="63"/>
    <x v="0"/>
    <n v="15000"/>
    <n v="14520"/>
    <n v="2000"/>
    <x v="0"/>
    <x v="0"/>
    <d v="2025-07-14T00:00:00"/>
    <d v="2025-11-11T00:00:00"/>
    <d v="1899-12-30T08:36:00"/>
    <d v="1899-12-30T12:57:00"/>
    <s v="D"/>
    <s v="08:36 AM"/>
    <s v="Delayed"/>
    <s v="4 Hours 21 Minutes"/>
    <x v="1"/>
  </r>
  <r>
    <x v="128"/>
    <x v="51"/>
    <n v="20"/>
    <x v="1"/>
    <x v="6"/>
    <x v="5"/>
    <x v="5"/>
    <n v="97"/>
    <n v="74"/>
    <x v="2"/>
    <n v="18000"/>
    <n v="16060"/>
    <n v="4000"/>
    <x v="0"/>
    <x v="0"/>
    <d v="2025-02-25T00:00:00"/>
    <d v="2025-05-26T00:00:00"/>
    <d v="1899-12-30T10:05:00"/>
    <d v="1899-12-30T13:58:00"/>
    <s v="A"/>
    <s v="10:05 AM"/>
    <s v="On Time"/>
    <s v="3 Hours 53 Minutes"/>
    <x v="0"/>
  </r>
  <r>
    <x v="129"/>
    <x v="63"/>
    <n v="23"/>
    <x v="1"/>
    <x v="0"/>
    <x v="1"/>
    <x v="1"/>
    <n v="62"/>
    <n v="84"/>
    <x v="3"/>
    <n v="18000"/>
    <n v="18060"/>
    <n v="2000"/>
    <x v="0"/>
    <x v="0"/>
    <d v="2025-05-20T00:00:00"/>
    <d v="2025-09-17T00:00:00"/>
    <d v="1899-12-30T09:23:00"/>
    <d v="1899-12-30T13:33:00"/>
    <s v="C"/>
    <s v="09:23 AM"/>
    <s v="Delayed"/>
    <s v="4 Hours 10 Minutes"/>
    <x v="1"/>
  </r>
  <r>
    <x v="130"/>
    <x v="75"/>
    <n v="21"/>
    <x v="1"/>
    <x v="4"/>
    <x v="3"/>
    <x v="3"/>
    <n v="48"/>
    <n v="71"/>
    <x v="0"/>
    <n v="10000"/>
    <n v="6620"/>
    <n v="4000"/>
    <x v="0"/>
    <x v="0"/>
    <d v="2025-11-16T00:00:00"/>
    <d v="2026-02-14T00:00:00"/>
    <d v="1899-12-30T08:15:00"/>
    <d v="1899-12-30T10:32:00"/>
    <s v="D"/>
    <s v="08:15 AM"/>
    <s v="On Time"/>
    <s v="2 Hours 17 Minutes"/>
    <x v="1"/>
  </r>
  <r>
    <x v="131"/>
    <x v="103"/>
    <n v="28"/>
    <x v="1"/>
    <x v="8"/>
    <x v="0"/>
    <x v="0"/>
    <n v="90"/>
    <n v="70"/>
    <x v="2"/>
    <n v="10000"/>
    <n v="7800"/>
    <n v="4000"/>
    <x v="0"/>
    <x v="0"/>
    <d v="2025-11-01T00:00:00"/>
    <d v="2026-03-01T00:00:00"/>
    <d v="1899-12-30T10:02:00"/>
    <d v="1899-12-30T12:38:00"/>
    <s v="A"/>
    <s v="10:02 AM"/>
    <s v="Delayed"/>
    <s v="2 Hours 36 Minutes"/>
    <x v="0"/>
  </r>
  <r>
    <x v="132"/>
    <x v="104"/>
    <n v="19"/>
    <x v="0"/>
    <x v="10"/>
    <x v="5"/>
    <x v="5"/>
    <n v="81"/>
    <n v="77"/>
    <x v="1"/>
    <n v="15000"/>
    <n v="16520"/>
    <n v="0"/>
    <x v="1"/>
    <x v="0"/>
    <d v="2025-11-28T00:00:00"/>
    <d v="2025-12-28T00:00:00"/>
    <d v="1899-12-30T10:04:00"/>
    <d v="1899-12-30T12:30:00"/>
    <s v="B"/>
    <s v="10:04 AM"/>
    <s v="On Time"/>
    <s v="2 Hours 26 Minutes"/>
    <x v="0"/>
  </r>
  <r>
    <x v="133"/>
    <x v="105"/>
    <n v="19"/>
    <x v="1"/>
    <x v="4"/>
    <x v="2"/>
    <x v="2"/>
    <n v="52"/>
    <n v="89"/>
    <x v="0"/>
    <n v="10000"/>
    <n v="10620"/>
    <n v="0"/>
    <x v="1"/>
    <x v="0"/>
    <d v="2025-02-28T00:00:00"/>
    <d v="2025-04-29T00:00:00"/>
    <d v="1899-12-30T10:09:00"/>
    <d v="1899-12-30T12:48:00"/>
    <s v="D"/>
    <s v="10:09 AM"/>
    <s v="On Time"/>
    <s v="2 Hours 39 Minutes"/>
    <x v="0"/>
  </r>
  <r>
    <x v="134"/>
    <x v="86"/>
    <n v="22"/>
    <x v="1"/>
    <x v="5"/>
    <x v="3"/>
    <x v="3"/>
    <n v="97"/>
    <n v="76"/>
    <x v="2"/>
    <n v="20000"/>
    <n v="20420"/>
    <n v="2000"/>
    <x v="0"/>
    <x v="0"/>
    <d v="2025-04-27T00:00:00"/>
    <d v="2025-08-25T00:00:00"/>
    <d v="1899-12-30T09:11:00"/>
    <d v="1899-12-30T11:06:00"/>
    <s v="A"/>
    <s v="09:11 AM"/>
    <s v="Delayed"/>
    <s v="1 Hours 55 Minutes"/>
    <x v="1"/>
  </r>
  <r>
    <x v="135"/>
    <x v="66"/>
    <n v="24"/>
    <x v="0"/>
    <x v="8"/>
    <x v="7"/>
    <x v="7"/>
    <n v="73"/>
    <n v="92"/>
    <x v="3"/>
    <n v="10000"/>
    <n v="7800"/>
    <n v="4000"/>
    <x v="0"/>
    <x v="0"/>
    <d v="2025-01-17T00:00:00"/>
    <d v="2025-04-17T00:00:00"/>
    <d v="1899-12-30T10:52:00"/>
    <d v="1899-12-30T12:08:00"/>
    <s v="C"/>
    <s v="10:52 AM"/>
    <s v="On Time"/>
    <s v="1 Hours 16 Minutes"/>
    <x v="0"/>
  </r>
  <r>
    <x v="136"/>
    <x v="30"/>
    <n v="21"/>
    <x v="1"/>
    <x v="2"/>
    <x v="0"/>
    <x v="0"/>
    <n v="46"/>
    <n v="94"/>
    <x v="0"/>
    <n v="20000"/>
    <n v="21010"/>
    <n v="2000"/>
    <x v="0"/>
    <x v="0"/>
    <d v="2025-05-18T00:00:00"/>
    <d v="2025-11-14T00:00:00"/>
    <d v="1899-12-30T09:18:00"/>
    <d v="1899-12-30T10:26:00"/>
    <s v="D"/>
    <s v="09:18 AM"/>
    <s v="Delayed"/>
    <s v="1 Hours 8 Minutes"/>
    <x v="1"/>
  </r>
  <r>
    <x v="137"/>
    <x v="106"/>
    <n v="28"/>
    <x v="1"/>
    <x v="11"/>
    <x v="1"/>
    <x v="1"/>
    <n v="45"/>
    <n v="88"/>
    <x v="0"/>
    <n v="20000"/>
    <n v="21010"/>
    <n v="2000"/>
    <x v="0"/>
    <x v="0"/>
    <d v="2025-11-11T00:00:00"/>
    <d v="2025-12-11T00:00:00"/>
    <d v="1899-12-30T09:28:00"/>
    <d v="1899-12-30T11:45:00"/>
    <s v="D"/>
    <s v="09:28 AM"/>
    <s v="On Time"/>
    <s v="2 Hours 17 Minutes"/>
    <x v="1"/>
  </r>
  <r>
    <x v="138"/>
    <x v="107"/>
    <n v="27"/>
    <x v="0"/>
    <x v="9"/>
    <x v="1"/>
    <x v="1"/>
    <n v="57"/>
    <n v="83"/>
    <x v="0"/>
    <n v="10000"/>
    <n v="11800"/>
    <n v="0"/>
    <x v="1"/>
    <x v="0"/>
    <d v="2025-02-24T00:00:00"/>
    <d v="2025-04-25T00:00:00"/>
    <d v="1899-12-30T08:19:00"/>
    <d v="1899-12-30T10:15:00"/>
    <s v="D"/>
    <s v="08:19 AM"/>
    <s v="On Time"/>
    <s v="1 Hours 56 Minutes"/>
    <x v="1"/>
  </r>
  <r>
    <x v="139"/>
    <x v="5"/>
    <n v="23"/>
    <x v="1"/>
    <x v="4"/>
    <x v="1"/>
    <x v="1"/>
    <n v="97"/>
    <n v="89"/>
    <x v="2"/>
    <n v="20000"/>
    <n v="21010"/>
    <n v="2000"/>
    <x v="0"/>
    <x v="0"/>
    <d v="2025-12-28T00:00:00"/>
    <d v="2026-03-28T00:00:00"/>
    <d v="1899-12-30T08:02:00"/>
    <d v="1899-12-30T10:07:00"/>
    <s v="A"/>
    <s v="08:02 AM"/>
    <s v="On Time"/>
    <s v="2 Hours 5 Minutes"/>
    <x v="1"/>
  </r>
  <r>
    <x v="140"/>
    <x v="108"/>
    <n v="21"/>
    <x v="0"/>
    <x v="8"/>
    <x v="2"/>
    <x v="2"/>
    <n v="69"/>
    <n v="98"/>
    <x v="3"/>
    <n v="18000"/>
    <n v="18650"/>
    <n v="2000"/>
    <x v="0"/>
    <x v="0"/>
    <d v="2025-01-31T00:00:00"/>
    <d v="2025-03-02T00:00:00"/>
    <d v="1899-12-30T10:45:00"/>
    <d v="1899-12-30T15:42:00"/>
    <s v="C"/>
    <s v="10:45 AM"/>
    <s v="On Time"/>
    <s v="4 Hours 57 Minutes"/>
    <x v="0"/>
  </r>
  <r>
    <x v="141"/>
    <x v="109"/>
    <n v="25"/>
    <x v="0"/>
    <x v="8"/>
    <x v="0"/>
    <x v="0"/>
    <n v="90"/>
    <n v="70"/>
    <x v="2"/>
    <n v="10000"/>
    <n v="10030"/>
    <n v="0"/>
    <x v="1"/>
    <x v="0"/>
    <d v="2025-10-26T00:00:00"/>
    <d v="2026-02-23T00:00:00"/>
    <d v="1899-12-30T10:39:00"/>
    <d v="1899-12-30T13:23:00"/>
    <s v="A"/>
    <s v="10:39 AM"/>
    <s v="Delayed"/>
    <s v="2 Hours 44 Minutes"/>
    <x v="0"/>
  </r>
  <r>
    <x v="142"/>
    <x v="15"/>
    <n v="26"/>
    <x v="0"/>
    <x v="0"/>
    <x v="5"/>
    <x v="5"/>
    <n v="90"/>
    <n v="99"/>
    <x v="2"/>
    <n v="18000"/>
    <n v="16060"/>
    <n v="4000"/>
    <x v="0"/>
    <x v="0"/>
    <d v="2025-06-04T00:00:00"/>
    <d v="2025-12-01T00:00:00"/>
    <d v="1899-12-30T09:02:00"/>
    <d v="1899-12-30T12:55:00"/>
    <s v="A"/>
    <s v="09:02 AM"/>
    <s v="Delayed"/>
    <s v="3 Hours 53 Minutes"/>
    <x v="1"/>
  </r>
  <r>
    <x v="143"/>
    <x v="110"/>
    <n v="25"/>
    <x v="0"/>
    <x v="1"/>
    <x v="5"/>
    <x v="5"/>
    <n v="54"/>
    <n v="97"/>
    <x v="0"/>
    <n v="12000"/>
    <n v="10980"/>
    <n v="2000"/>
    <x v="0"/>
    <x v="0"/>
    <d v="2025-09-12T00:00:00"/>
    <d v="2026-03-11T00:00:00"/>
    <d v="1899-12-30T08:44:00"/>
    <d v="1899-12-30T11:36:00"/>
    <s v="D"/>
    <s v="08:44 AM"/>
    <s v="Delayed"/>
    <s v="2 Hours 52 Minutes"/>
    <x v="1"/>
  </r>
  <r>
    <x v="144"/>
    <x v="21"/>
    <n v="25"/>
    <x v="0"/>
    <x v="3"/>
    <x v="4"/>
    <x v="4"/>
    <n v="62"/>
    <n v="89"/>
    <x v="3"/>
    <n v="18000"/>
    <n v="16060"/>
    <n v="4000"/>
    <x v="0"/>
    <x v="0"/>
    <d v="2025-05-09T00:00:00"/>
    <d v="2025-11-05T00:00:00"/>
    <d v="1899-12-30T08:16:00"/>
    <d v="1899-12-30T09:22:00"/>
    <s v="C"/>
    <s v="08:16 AM"/>
    <s v="Delayed"/>
    <s v="1 Hours 6 Minutes"/>
    <x v="1"/>
  </r>
  <r>
    <x v="145"/>
    <x v="111"/>
    <n v="27"/>
    <x v="0"/>
    <x v="2"/>
    <x v="7"/>
    <x v="7"/>
    <n v="87"/>
    <n v="66"/>
    <x v="1"/>
    <n v="18000"/>
    <n v="16650"/>
    <n v="4000"/>
    <x v="0"/>
    <x v="0"/>
    <d v="2025-02-15T00:00:00"/>
    <d v="2025-06-15T00:00:00"/>
    <d v="1899-12-30T10:41:00"/>
    <d v="1899-12-30T12:46:00"/>
    <s v="B"/>
    <s v="10:41 AM"/>
    <s v="Delayed"/>
    <s v="2 Hours 5 Minutes"/>
    <x v="0"/>
  </r>
  <r>
    <x v="146"/>
    <x v="38"/>
    <n v="25"/>
    <x v="0"/>
    <x v="1"/>
    <x v="3"/>
    <x v="3"/>
    <n v="37"/>
    <n v="86"/>
    <x v="0"/>
    <n v="20000"/>
    <n v="17830"/>
    <n v="4000"/>
    <x v="0"/>
    <x v="0"/>
    <d v="2025-06-25T00:00:00"/>
    <d v="2025-12-22T00:00:00"/>
    <d v="1899-12-30T09:51:00"/>
    <d v="1899-12-30T11:22:00"/>
    <s v="D"/>
    <s v="09:51 AM"/>
    <s v="Delayed"/>
    <s v="1 Hours 31 Minutes"/>
    <x v="1"/>
  </r>
  <r>
    <x v="147"/>
    <x v="112"/>
    <n v="28"/>
    <x v="0"/>
    <x v="9"/>
    <x v="7"/>
    <x v="7"/>
    <n v="71"/>
    <n v="61"/>
    <x v="3"/>
    <n v="12000"/>
    <n v="11570"/>
    <n v="2000"/>
    <x v="0"/>
    <x v="0"/>
    <d v="2025-07-16T00:00:00"/>
    <d v="2025-10-14T00:00:00"/>
    <d v="1899-12-30T08:36:00"/>
    <d v="1899-12-30T11:03:00"/>
    <s v="C"/>
    <s v="08:36 AM"/>
    <s v="On Time"/>
    <s v="2 Hours 27 Minutes"/>
    <x v="1"/>
  </r>
  <r>
    <x v="148"/>
    <x v="113"/>
    <n v="26"/>
    <x v="1"/>
    <x v="5"/>
    <x v="0"/>
    <x v="0"/>
    <n v="76"/>
    <n v="71"/>
    <x v="1"/>
    <n v="18000"/>
    <n v="20060"/>
    <n v="0"/>
    <x v="1"/>
    <x v="0"/>
    <d v="2025-03-23T00:00:00"/>
    <d v="2025-09-19T00:00:00"/>
    <d v="1899-12-30T09:07:00"/>
    <d v="1899-12-30T13:57:00"/>
    <s v="B"/>
    <s v="09:07 AM"/>
    <s v="Delayed"/>
    <s v="4 Hours 50 Minutes"/>
    <x v="1"/>
  </r>
  <r>
    <x v="149"/>
    <x v="56"/>
    <n v="23"/>
    <x v="1"/>
    <x v="0"/>
    <x v="3"/>
    <x v="3"/>
    <n v="81"/>
    <n v="98"/>
    <x v="1"/>
    <n v="12000"/>
    <n v="12390"/>
    <n v="0"/>
    <x v="1"/>
    <x v="0"/>
    <d v="2025-05-26T00:00:00"/>
    <d v="2025-11-22T00:00:00"/>
    <d v="1899-12-30T10:42:00"/>
    <d v="1899-12-30T14:34:00"/>
    <s v="B"/>
    <s v="10:42 AM"/>
    <s v="Delayed"/>
    <s v="3 Hours 52 Minutes"/>
    <x v="0"/>
  </r>
  <r>
    <x v="150"/>
    <x v="3"/>
    <n v="28"/>
    <x v="1"/>
    <x v="9"/>
    <x v="2"/>
    <x v="2"/>
    <n v="44"/>
    <n v="66"/>
    <x v="0"/>
    <n v="15000"/>
    <n v="15110"/>
    <n v="2000"/>
    <x v="0"/>
    <x v="0"/>
    <d v="2025-05-31T00:00:00"/>
    <d v="2025-11-27T00:00:00"/>
    <d v="1899-12-30T10:46:00"/>
    <d v="1899-12-30T15:31:00"/>
    <s v="D"/>
    <s v="10:46 AM"/>
    <s v="Delayed"/>
    <s v="4 Hours 45 Minutes"/>
    <x v="0"/>
  </r>
  <r>
    <x v="151"/>
    <x v="6"/>
    <n v="28"/>
    <x v="0"/>
    <x v="1"/>
    <x v="3"/>
    <x v="3"/>
    <n v="36"/>
    <n v="69"/>
    <x v="0"/>
    <n v="10000"/>
    <n v="9210"/>
    <n v="2000"/>
    <x v="0"/>
    <x v="0"/>
    <d v="2025-07-20T00:00:00"/>
    <d v="2025-09-18T00:00:00"/>
    <d v="1899-12-30T09:06:00"/>
    <d v="1899-12-30T13:15:00"/>
    <s v="D"/>
    <s v="09:06 AM"/>
    <s v="On Time"/>
    <s v="4 Hours 9 Minutes"/>
    <x v="1"/>
  </r>
  <r>
    <x v="152"/>
    <x v="114"/>
    <n v="26"/>
    <x v="0"/>
    <x v="1"/>
    <x v="5"/>
    <x v="5"/>
    <n v="54"/>
    <n v="76"/>
    <x v="0"/>
    <n v="12000"/>
    <n v="9570"/>
    <n v="4000"/>
    <x v="0"/>
    <x v="0"/>
    <d v="2025-10-16T00:00:00"/>
    <d v="2026-01-14T00:00:00"/>
    <d v="1899-12-30T08:11:00"/>
    <d v="1899-12-30T09:20:00"/>
    <s v="D"/>
    <s v="08:11 AM"/>
    <s v="On Time"/>
    <s v="1 Hours 9 Minutes"/>
    <x v="1"/>
  </r>
  <r>
    <x v="153"/>
    <x v="28"/>
    <n v="18"/>
    <x v="1"/>
    <x v="4"/>
    <x v="0"/>
    <x v="0"/>
    <n v="37"/>
    <n v="99"/>
    <x v="0"/>
    <n v="18000"/>
    <n v="16650"/>
    <n v="4000"/>
    <x v="0"/>
    <x v="0"/>
    <d v="2025-04-10T00:00:00"/>
    <d v="2025-06-09T00:00:00"/>
    <d v="1899-12-30T08:19:00"/>
    <d v="1899-12-30T10:53:00"/>
    <s v="D"/>
    <s v="08:19 AM"/>
    <s v="On Time"/>
    <s v="2 Hours 34 Minutes"/>
    <x v="1"/>
  </r>
  <r>
    <x v="154"/>
    <x v="108"/>
    <n v="20"/>
    <x v="0"/>
    <x v="8"/>
    <x v="4"/>
    <x v="4"/>
    <n v="44"/>
    <n v="60"/>
    <x v="0"/>
    <n v="20000"/>
    <n v="19830"/>
    <n v="2000"/>
    <x v="0"/>
    <x v="1"/>
    <d v="2025-04-17T00:00:00"/>
    <d v="2025-08-15T00:00:00"/>
    <d v="1899-12-30T09:15:00"/>
    <d v="1899-12-30T11:54:00"/>
    <s v="D"/>
    <s v="09:15 AM"/>
    <s v="Delayed"/>
    <s v="2 Hours 39 Minutes"/>
    <x v="1"/>
  </r>
  <r>
    <x v="155"/>
    <x v="115"/>
    <n v="20"/>
    <x v="0"/>
    <x v="10"/>
    <x v="5"/>
    <x v="5"/>
    <n v="77"/>
    <n v="65"/>
    <x v="1"/>
    <n v="12000"/>
    <n v="9570"/>
    <n v="4000"/>
    <x v="0"/>
    <x v="1"/>
    <d v="2025-08-13T00:00:00"/>
    <d v="2025-09-12T00:00:00"/>
    <d v="1899-12-30T08:48:00"/>
    <d v="1899-12-30T10:07:00"/>
    <s v="B"/>
    <s v="08:48 AM"/>
    <s v="On Time"/>
    <s v="1 Hours 19 Minutes"/>
    <x v="1"/>
  </r>
  <r>
    <x v="156"/>
    <x v="116"/>
    <n v="22"/>
    <x v="1"/>
    <x v="5"/>
    <x v="1"/>
    <x v="1"/>
    <n v="94"/>
    <n v="80"/>
    <x v="2"/>
    <n v="15000"/>
    <n v="15930"/>
    <n v="0"/>
    <x v="1"/>
    <x v="0"/>
    <d v="2025-06-05T00:00:00"/>
    <d v="2025-10-03T00:00:00"/>
    <d v="1899-12-30T10:48:00"/>
    <d v="1899-12-30T15:38:00"/>
    <s v="A"/>
    <s v="10:48 AM"/>
    <s v="Delayed"/>
    <s v="4 Hours 50 Minutes"/>
    <x v="0"/>
  </r>
  <r>
    <x v="157"/>
    <x v="117"/>
    <n v="20"/>
    <x v="0"/>
    <x v="1"/>
    <x v="7"/>
    <x v="7"/>
    <n v="53"/>
    <n v="86"/>
    <x v="0"/>
    <n v="10000"/>
    <n v="8620"/>
    <n v="2000"/>
    <x v="0"/>
    <x v="0"/>
    <d v="2025-09-23T00:00:00"/>
    <d v="2025-12-22T00:00:00"/>
    <d v="1899-12-30T09:59:00"/>
    <d v="1899-12-30T12:34:00"/>
    <s v="D"/>
    <s v="09:59 AM"/>
    <s v="On Time"/>
    <s v="2 Hours 35 Minutes"/>
    <x v="1"/>
  </r>
  <r>
    <x v="158"/>
    <x v="96"/>
    <n v="21"/>
    <x v="1"/>
    <x v="10"/>
    <x v="7"/>
    <x v="7"/>
    <n v="86"/>
    <n v="100"/>
    <x v="1"/>
    <n v="10000"/>
    <n v="6030"/>
    <n v="4000"/>
    <x v="0"/>
    <x v="0"/>
    <d v="2025-05-01T00:00:00"/>
    <d v="2025-05-31T00:00:00"/>
    <d v="1899-12-30T10:57:00"/>
    <d v="1899-12-30T12:03:00"/>
    <s v="B"/>
    <s v="10:57 AM"/>
    <s v="On Time"/>
    <s v="1 Hours 6 Minutes"/>
    <x v="0"/>
  </r>
  <r>
    <x v="159"/>
    <x v="118"/>
    <n v="18"/>
    <x v="0"/>
    <x v="10"/>
    <x v="1"/>
    <x v="1"/>
    <n v="45"/>
    <n v="99"/>
    <x v="0"/>
    <n v="10000"/>
    <n v="7800"/>
    <n v="4000"/>
    <x v="0"/>
    <x v="0"/>
    <d v="2025-03-04T00:00:00"/>
    <d v="2025-04-03T00:00:00"/>
    <d v="1899-12-30T09:13:00"/>
    <d v="1899-12-30T11:10:00"/>
    <s v="D"/>
    <s v="09:13 AM"/>
    <s v="On Time"/>
    <s v="1 Hours 57 Minutes"/>
    <x v="1"/>
  </r>
  <r>
    <x v="160"/>
    <x v="119"/>
    <n v="18"/>
    <x v="0"/>
    <x v="10"/>
    <x v="3"/>
    <x v="3"/>
    <n v="50"/>
    <n v="70"/>
    <x v="0"/>
    <n v="10000"/>
    <n v="9800"/>
    <n v="2000"/>
    <x v="0"/>
    <x v="0"/>
    <d v="2025-11-15T00:00:00"/>
    <d v="2026-02-13T00:00:00"/>
    <d v="1899-12-30T08:24:00"/>
    <d v="1899-12-30T12:55:00"/>
    <s v="D"/>
    <s v="08:24 AM"/>
    <s v="On Time"/>
    <s v="4 Hours 31 Minutes"/>
    <x v="1"/>
  </r>
  <r>
    <x v="161"/>
    <x v="120"/>
    <n v="23"/>
    <x v="0"/>
    <x v="1"/>
    <x v="0"/>
    <x v="0"/>
    <n v="66"/>
    <n v="76"/>
    <x v="3"/>
    <n v="15000"/>
    <n v="13110"/>
    <n v="4000"/>
    <x v="0"/>
    <x v="0"/>
    <d v="2025-03-11T00:00:00"/>
    <d v="2025-07-09T00:00:00"/>
    <d v="1899-12-30T09:12:00"/>
    <d v="1899-12-30T13:55:00"/>
    <s v="C"/>
    <s v="09:12 AM"/>
    <s v="Delayed"/>
    <s v="4 Hours 43 Minutes"/>
    <x v="1"/>
  </r>
  <r>
    <x v="162"/>
    <x v="40"/>
    <n v="23"/>
    <x v="0"/>
    <x v="2"/>
    <x v="6"/>
    <x v="6"/>
    <n v="60"/>
    <n v="82"/>
    <x v="3"/>
    <n v="12000"/>
    <n v="11570"/>
    <n v="2000"/>
    <x v="0"/>
    <x v="0"/>
    <d v="2025-12-01T00:00:00"/>
    <d v="2026-01-30T00:00:00"/>
    <d v="1899-12-30T10:57:00"/>
    <d v="1899-12-30T12:22:00"/>
    <s v="C"/>
    <s v="10:57 AM"/>
    <s v="On Time"/>
    <s v="1 Hours 25 Minutes"/>
    <x v="0"/>
  </r>
  <r>
    <x v="163"/>
    <x v="114"/>
    <n v="28"/>
    <x v="0"/>
    <x v="0"/>
    <x v="0"/>
    <x v="0"/>
    <n v="58"/>
    <n v="98"/>
    <x v="0"/>
    <n v="12000"/>
    <n v="12980"/>
    <n v="0"/>
    <x v="1"/>
    <x v="0"/>
    <d v="2025-10-03T00:00:00"/>
    <d v="2026-01-01T00:00:00"/>
    <d v="1899-12-30T10:31:00"/>
    <d v="1899-12-30T12:59:00"/>
    <s v="D"/>
    <s v="10:31 AM"/>
    <s v="On Time"/>
    <s v="2 Hours 28 Minutes"/>
    <x v="0"/>
  </r>
  <r>
    <x v="164"/>
    <x v="72"/>
    <n v="23"/>
    <x v="0"/>
    <x v="4"/>
    <x v="1"/>
    <x v="1"/>
    <n v="62"/>
    <n v="70"/>
    <x v="3"/>
    <n v="10000"/>
    <n v="11210"/>
    <n v="0"/>
    <x v="1"/>
    <x v="0"/>
    <d v="2025-06-11T00:00:00"/>
    <d v="2025-08-10T00:00:00"/>
    <d v="1899-12-30T09:36:00"/>
    <d v="1899-12-30T12:38:00"/>
    <s v="C"/>
    <s v="09:36 AM"/>
    <s v="On Time"/>
    <s v="3 Hours 2 Minutes"/>
    <x v="1"/>
  </r>
  <r>
    <x v="165"/>
    <x v="121"/>
    <n v="21"/>
    <x v="1"/>
    <x v="0"/>
    <x v="2"/>
    <x v="2"/>
    <n v="95"/>
    <n v="70"/>
    <x v="2"/>
    <n v="20000"/>
    <n v="23010"/>
    <n v="0"/>
    <x v="1"/>
    <x v="0"/>
    <d v="2025-05-18T00:00:00"/>
    <d v="2025-07-17T00:00:00"/>
    <d v="1899-12-30T10:09:00"/>
    <d v="1899-12-30T14:52:00"/>
    <s v="A"/>
    <s v="10:09 AM"/>
    <s v="On Time"/>
    <s v="4 Hours 43 Minutes"/>
    <x v="0"/>
  </r>
  <r>
    <x v="166"/>
    <x v="79"/>
    <n v="22"/>
    <x v="1"/>
    <x v="1"/>
    <x v="2"/>
    <x v="2"/>
    <n v="77"/>
    <n v="84"/>
    <x v="1"/>
    <n v="10000"/>
    <n v="11210"/>
    <n v="0"/>
    <x v="1"/>
    <x v="0"/>
    <d v="2025-11-20T00:00:00"/>
    <d v="2026-05-19T00:00:00"/>
    <d v="1899-12-30T09:26:00"/>
    <d v="1899-12-30T12:55:00"/>
    <s v="B"/>
    <s v="09:26 AM"/>
    <s v="Delayed"/>
    <s v="3 Hours 29 Minutes"/>
    <x v="1"/>
  </r>
  <r>
    <x v="167"/>
    <x v="98"/>
    <n v="22"/>
    <x v="0"/>
    <x v="8"/>
    <x v="5"/>
    <x v="5"/>
    <n v="59"/>
    <n v="73"/>
    <x v="0"/>
    <n v="10000"/>
    <n v="8620"/>
    <n v="2000"/>
    <x v="0"/>
    <x v="0"/>
    <d v="2025-11-26T00:00:00"/>
    <d v="2026-03-26T00:00:00"/>
    <d v="1899-12-30T10:47:00"/>
    <d v="1899-12-30T15:47:00"/>
    <s v="D"/>
    <s v="10:47 AM"/>
    <s v="Delayed"/>
    <s v="5 Hours 0 Minutes"/>
    <x v="0"/>
  </r>
  <r>
    <x v="168"/>
    <x v="122"/>
    <n v="18"/>
    <x v="1"/>
    <x v="6"/>
    <x v="3"/>
    <x v="3"/>
    <n v="82"/>
    <n v="94"/>
    <x v="1"/>
    <n v="20000"/>
    <n v="21830"/>
    <n v="0"/>
    <x v="1"/>
    <x v="0"/>
    <d v="2025-08-21T00:00:00"/>
    <d v="2025-10-20T00:00:00"/>
    <d v="1899-12-30T10:19:00"/>
    <d v="1899-12-30T12:36:00"/>
    <s v="B"/>
    <s v="10:19 AM"/>
    <s v="On Time"/>
    <s v="2 Hours 17 Minutes"/>
    <x v="0"/>
  </r>
  <r>
    <x v="169"/>
    <x v="123"/>
    <n v="23"/>
    <x v="0"/>
    <x v="9"/>
    <x v="6"/>
    <x v="6"/>
    <n v="78"/>
    <n v="62"/>
    <x v="1"/>
    <n v="15000"/>
    <n v="15110"/>
    <n v="2000"/>
    <x v="0"/>
    <x v="0"/>
    <d v="2025-01-31T00:00:00"/>
    <d v="2025-04-01T00:00:00"/>
    <d v="1899-12-30T09:46:00"/>
    <d v="1899-12-30T10:53:00"/>
    <s v="B"/>
    <s v="09:46 AM"/>
    <s v="On Time"/>
    <s v="1 Hours 7 Minutes"/>
    <x v="1"/>
  </r>
  <r>
    <x v="170"/>
    <x v="124"/>
    <n v="21"/>
    <x v="1"/>
    <x v="1"/>
    <x v="0"/>
    <x v="0"/>
    <n v="68"/>
    <n v="75"/>
    <x v="3"/>
    <n v="15000"/>
    <n v="17110"/>
    <n v="0"/>
    <x v="1"/>
    <x v="0"/>
    <d v="2025-04-01T00:00:00"/>
    <d v="2025-05-01T00:00:00"/>
    <d v="1899-12-30T10:24:00"/>
    <d v="1899-12-30T12:18:00"/>
    <s v="C"/>
    <s v="10:24 AM"/>
    <s v="On Time"/>
    <s v="1 Hours 54 Minutes"/>
    <x v="0"/>
  </r>
  <r>
    <x v="171"/>
    <x v="125"/>
    <n v="24"/>
    <x v="0"/>
    <x v="4"/>
    <x v="7"/>
    <x v="7"/>
    <n v="89"/>
    <n v="61"/>
    <x v="1"/>
    <n v="15000"/>
    <n v="13110"/>
    <n v="4000"/>
    <x v="0"/>
    <x v="0"/>
    <d v="2025-07-24T00:00:00"/>
    <d v="2025-08-23T00:00:00"/>
    <d v="1899-12-30T09:37:00"/>
    <d v="1899-12-30T12:22:00"/>
    <s v="B"/>
    <s v="09:37 AM"/>
    <s v="On Time"/>
    <s v="2 Hours 45 Minutes"/>
    <x v="1"/>
  </r>
  <r>
    <x v="172"/>
    <x v="106"/>
    <n v="26"/>
    <x v="1"/>
    <x v="9"/>
    <x v="2"/>
    <x v="2"/>
    <n v="57"/>
    <n v="85"/>
    <x v="0"/>
    <n v="15000"/>
    <n v="15110"/>
    <n v="2000"/>
    <x v="0"/>
    <x v="0"/>
    <d v="2025-05-03T00:00:00"/>
    <d v="2025-08-31T00:00:00"/>
    <d v="1899-12-30T08:35:00"/>
    <d v="1899-12-30T12:59:00"/>
    <s v="D"/>
    <s v="08:35 AM"/>
    <s v="Delayed"/>
    <s v="4 Hours 24 Minutes"/>
    <x v="1"/>
  </r>
  <r>
    <x v="173"/>
    <x v="34"/>
    <n v="20"/>
    <x v="0"/>
    <x v="0"/>
    <x v="6"/>
    <x v="6"/>
    <n v="87"/>
    <n v="87"/>
    <x v="1"/>
    <n v="10000"/>
    <n v="8620"/>
    <n v="2000"/>
    <x v="0"/>
    <x v="0"/>
    <d v="2025-08-29T00:00:00"/>
    <d v="2026-02-25T00:00:00"/>
    <d v="1899-12-30T09:56:00"/>
    <d v="1899-12-30T11:07:00"/>
    <s v="B"/>
    <s v="09:56 AM"/>
    <s v="Delayed"/>
    <s v="1 Hours 11 Minutes"/>
    <x v="1"/>
  </r>
  <r>
    <x v="174"/>
    <x v="107"/>
    <n v="22"/>
    <x v="0"/>
    <x v="1"/>
    <x v="0"/>
    <x v="0"/>
    <n v="63"/>
    <n v="67"/>
    <x v="3"/>
    <n v="18000"/>
    <n v="17470"/>
    <n v="2000"/>
    <x v="0"/>
    <x v="0"/>
    <d v="2025-03-21T00:00:00"/>
    <d v="2025-06-19T00:00:00"/>
    <d v="1899-12-30T09:42:00"/>
    <d v="1899-12-30T14:18:00"/>
    <s v="C"/>
    <s v="09:42 AM"/>
    <s v="On Time"/>
    <s v="4 Hours 36 Minutes"/>
    <x v="1"/>
  </r>
  <r>
    <x v="175"/>
    <x v="126"/>
    <n v="28"/>
    <x v="1"/>
    <x v="3"/>
    <x v="7"/>
    <x v="7"/>
    <n v="82"/>
    <n v="92"/>
    <x v="1"/>
    <n v="18000"/>
    <n v="20060"/>
    <n v="0"/>
    <x v="1"/>
    <x v="0"/>
    <d v="2025-08-15T00:00:00"/>
    <d v="2025-10-14T00:00:00"/>
    <d v="1899-12-30T08:06:00"/>
    <d v="1899-12-30T12:33:00"/>
    <s v="B"/>
    <s v="08:06 AM"/>
    <s v="On Time"/>
    <s v="4 Hours 27 Minutes"/>
    <x v="1"/>
  </r>
  <r>
    <x v="176"/>
    <x v="88"/>
    <n v="22"/>
    <x v="0"/>
    <x v="5"/>
    <x v="2"/>
    <x v="2"/>
    <n v="38"/>
    <n v="87"/>
    <x v="0"/>
    <n v="12000"/>
    <n v="10160"/>
    <n v="4000"/>
    <x v="0"/>
    <x v="0"/>
    <d v="2025-06-24T00:00:00"/>
    <d v="2025-12-21T00:00:00"/>
    <d v="1899-12-30T10:36:00"/>
    <d v="1899-12-30T13:41:00"/>
    <s v="D"/>
    <s v="10:36 AM"/>
    <s v="Delayed"/>
    <s v="3 Hours 5 Minutes"/>
    <x v="0"/>
  </r>
  <r>
    <x v="177"/>
    <x v="127"/>
    <n v="23"/>
    <x v="0"/>
    <x v="5"/>
    <x v="0"/>
    <x v="0"/>
    <n v="96"/>
    <n v="84"/>
    <x v="2"/>
    <n v="10000"/>
    <n v="6620"/>
    <n v="4000"/>
    <x v="0"/>
    <x v="0"/>
    <d v="2025-04-09T00:00:00"/>
    <d v="2025-05-09T00:00:00"/>
    <d v="1899-12-30T10:41:00"/>
    <d v="1899-12-30T12:54:00"/>
    <s v="A"/>
    <s v="10:41 AM"/>
    <s v="On Time"/>
    <s v="2 Hours 13 Minutes"/>
    <x v="0"/>
  </r>
  <r>
    <x v="178"/>
    <x v="102"/>
    <n v="22"/>
    <x v="1"/>
    <x v="3"/>
    <x v="6"/>
    <x v="6"/>
    <n v="54"/>
    <n v="83"/>
    <x v="0"/>
    <n v="10000"/>
    <n v="9800"/>
    <n v="2000"/>
    <x v="0"/>
    <x v="0"/>
    <d v="2025-12-14T00:00:00"/>
    <d v="2026-01-13T00:00:00"/>
    <d v="1899-12-30T08:13:00"/>
    <d v="1899-12-30T09:49:00"/>
    <s v="D"/>
    <s v="08:13 AM"/>
    <s v="On Time"/>
    <s v="1 Hours 36 Minutes"/>
    <x v="1"/>
  </r>
  <r>
    <x v="179"/>
    <x v="128"/>
    <n v="23"/>
    <x v="0"/>
    <x v="9"/>
    <x v="0"/>
    <x v="0"/>
    <n v="35"/>
    <n v="98"/>
    <x v="0"/>
    <n v="10000"/>
    <n v="8030"/>
    <n v="2000"/>
    <x v="0"/>
    <x v="0"/>
    <d v="2025-04-03T00:00:00"/>
    <d v="2025-09-30T00:00:00"/>
    <d v="1899-12-30T10:38:00"/>
    <d v="1899-12-30T14:34:00"/>
    <s v="D"/>
    <s v="10:38 AM"/>
    <s v="Delayed"/>
    <s v="3 Hours 56 Minutes"/>
    <x v="0"/>
  </r>
  <r>
    <x v="180"/>
    <x v="38"/>
    <n v="23"/>
    <x v="1"/>
    <x v="11"/>
    <x v="6"/>
    <x v="6"/>
    <n v="66"/>
    <n v="80"/>
    <x v="3"/>
    <n v="12000"/>
    <n v="9570"/>
    <n v="4000"/>
    <x v="0"/>
    <x v="0"/>
    <d v="2025-08-02T00:00:00"/>
    <d v="2025-11-30T00:00:00"/>
    <d v="1899-12-30T10:41:00"/>
    <d v="1899-12-30T13:33:00"/>
    <s v="C"/>
    <s v="10:41 AM"/>
    <s v="Delayed"/>
    <s v="2 Hours 52 Minutes"/>
    <x v="0"/>
  </r>
  <r>
    <x v="181"/>
    <x v="109"/>
    <n v="27"/>
    <x v="1"/>
    <x v="7"/>
    <x v="6"/>
    <x v="6"/>
    <n v="36"/>
    <n v="95"/>
    <x v="0"/>
    <n v="18000"/>
    <n v="17470"/>
    <n v="2000"/>
    <x v="0"/>
    <x v="0"/>
    <d v="2025-05-02T00:00:00"/>
    <d v="2025-07-01T00:00:00"/>
    <d v="1899-12-30T08:23:00"/>
    <d v="1899-12-30T12:36:00"/>
    <s v="D"/>
    <s v="08:23 AM"/>
    <s v="On Time"/>
    <s v="4 Hours 13 Minutes"/>
    <x v="1"/>
  </r>
  <r>
    <x v="182"/>
    <x v="100"/>
    <n v="22"/>
    <x v="0"/>
    <x v="5"/>
    <x v="2"/>
    <x v="2"/>
    <n v="55"/>
    <n v="63"/>
    <x v="0"/>
    <n v="18000"/>
    <n v="21240"/>
    <n v="0"/>
    <x v="1"/>
    <x v="0"/>
    <d v="2025-10-14T00:00:00"/>
    <d v="2026-02-11T00:00:00"/>
    <d v="1899-12-30T08:32:00"/>
    <d v="1899-12-30T13:09:00"/>
    <s v="D"/>
    <s v="08:32 AM"/>
    <s v="Delayed"/>
    <s v="4 Hours 37 Minutes"/>
    <x v="1"/>
  </r>
  <r>
    <x v="183"/>
    <x v="129"/>
    <n v="27"/>
    <x v="0"/>
    <x v="3"/>
    <x v="1"/>
    <x v="1"/>
    <n v="40"/>
    <n v="99"/>
    <x v="0"/>
    <n v="20000"/>
    <n v="23600"/>
    <n v="0"/>
    <x v="1"/>
    <x v="0"/>
    <d v="2025-04-22T00:00:00"/>
    <d v="2025-10-19T00:00:00"/>
    <d v="1899-12-30T10:58:00"/>
    <d v="1899-12-30T15:30:00"/>
    <s v="D"/>
    <s v="10:58 AM"/>
    <s v="Delayed"/>
    <s v="4 Hours 32 Minutes"/>
    <x v="0"/>
  </r>
  <r>
    <x v="184"/>
    <x v="12"/>
    <n v="25"/>
    <x v="0"/>
    <x v="4"/>
    <x v="6"/>
    <x v="6"/>
    <n v="41"/>
    <n v="87"/>
    <x v="0"/>
    <n v="12000"/>
    <n v="8980"/>
    <n v="4000"/>
    <x v="0"/>
    <x v="0"/>
    <d v="2025-10-22T00:00:00"/>
    <d v="2026-02-19T00:00:00"/>
    <d v="1899-12-30T08:35:00"/>
    <d v="1899-12-30T11:48:00"/>
    <s v="D"/>
    <s v="08:35 AM"/>
    <s v="Delayed"/>
    <s v="3 Hours 13 Minutes"/>
    <x v="1"/>
  </r>
  <r>
    <x v="185"/>
    <x v="95"/>
    <n v="26"/>
    <x v="0"/>
    <x v="2"/>
    <x v="4"/>
    <x v="4"/>
    <n v="71"/>
    <n v="95"/>
    <x v="3"/>
    <n v="20000"/>
    <n v="20420"/>
    <n v="2000"/>
    <x v="0"/>
    <x v="0"/>
    <d v="2025-12-03T00:00:00"/>
    <d v="2026-01-02T00:00:00"/>
    <d v="1899-12-30T09:14:00"/>
    <d v="1899-12-30T12:36:00"/>
    <s v="C"/>
    <s v="09:14 AM"/>
    <s v="On Time"/>
    <s v="3 Hours 22 Minutes"/>
    <x v="1"/>
  </r>
  <r>
    <x v="186"/>
    <x v="119"/>
    <n v="23"/>
    <x v="0"/>
    <x v="1"/>
    <x v="1"/>
    <x v="1"/>
    <n v="58"/>
    <n v="76"/>
    <x v="0"/>
    <n v="15000"/>
    <n v="13110"/>
    <n v="4000"/>
    <x v="0"/>
    <x v="0"/>
    <d v="2025-10-14T00:00:00"/>
    <d v="2025-12-13T00:00:00"/>
    <d v="1899-12-30T10:15:00"/>
    <d v="1899-12-30T12:45:00"/>
    <s v="D"/>
    <s v="10:15 AM"/>
    <s v="On Time"/>
    <s v="2 Hours 30 Minutes"/>
    <x v="0"/>
  </r>
  <r>
    <x v="187"/>
    <x v="97"/>
    <n v="18"/>
    <x v="1"/>
    <x v="2"/>
    <x v="6"/>
    <x v="6"/>
    <n v="36"/>
    <n v="76"/>
    <x v="0"/>
    <n v="20000"/>
    <n v="19830"/>
    <n v="2000"/>
    <x v="0"/>
    <x v="0"/>
    <d v="2025-04-11T00:00:00"/>
    <d v="2025-10-08T00:00:00"/>
    <d v="1899-12-30T08:40:00"/>
    <d v="1899-12-30T10:18:00"/>
    <s v="D"/>
    <s v="08:40 AM"/>
    <s v="Delayed"/>
    <s v="1 Hours 38 Minutes"/>
    <x v="1"/>
  </r>
  <r>
    <x v="188"/>
    <x v="20"/>
    <n v="20"/>
    <x v="1"/>
    <x v="10"/>
    <x v="2"/>
    <x v="2"/>
    <n v="52"/>
    <n v="80"/>
    <x v="0"/>
    <n v="15000"/>
    <n v="12520"/>
    <n v="4000"/>
    <x v="0"/>
    <x v="0"/>
    <d v="2025-02-20T00:00:00"/>
    <d v="2025-03-22T00:00:00"/>
    <d v="1899-12-30T09:14:00"/>
    <d v="1899-12-30T10:22:00"/>
    <s v="D"/>
    <s v="09:14 AM"/>
    <s v="On Time"/>
    <s v="1 Hours 8 Minutes"/>
    <x v="1"/>
  </r>
  <r>
    <x v="189"/>
    <x v="130"/>
    <n v="20"/>
    <x v="1"/>
    <x v="7"/>
    <x v="5"/>
    <x v="5"/>
    <n v="67"/>
    <n v="71"/>
    <x v="3"/>
    <n v="15000"/>
    <n v="16520"/>
    <n v="0"/>
    <x v="1"/>
    <x v="0"/>
    <d v="2025-05-04T00:00:00"/>
    <d v="2025-10-31T00:00:00"/>
    <d v="1899-12-30T10:02:00"/>
    <d v="1899-12-30T14:56:00"/>
    <s v="C"/>
    <s v="10:02 AM"/>
    <s v="Delayed"/>
    <s v="4 Hours 54 Minutes"/>
    <x v="0"/>
  </r>
  <r>
    <x v="190"/>
    <x v="110"/>
    <n v="22"/>
    <x v="0"/>
    <x v="5"/>
    <x v="0"/>
    <x v="0"/>
    <n v="66"/>
    <n v="78"/>
    <x v="3"/>
    <n v="18000"/>
    <n v="17240"/>
    <n v="4000"/>
    <x v="0"/>
    <x v="0"/>
    <d v="2025-08-23T00:00:00"/>
    <d v="2025-12-21T00:00:00"/>
    <d v="1899-12-30T08:29:00"/>
    <d v="1899-12-30T11:27:00"/>
    <s v="C"/>
    <s v="08:29 AM"/>
    <s v="Delayed"/>
    <s v="2 Hours 58 Minutes"/>
    <x v="1"/>
  </r>
  <r>
    <x v="191"/>
    <x v="131"/>
    <n v="25"/>
    <x v="1"/>
    <x v="5"/>
    <x v="5"/>
    <x v="5"/>
    <n v="97"/>
    <n v="83"/>
    <x v="2"/>
    <n v="12000"/>
    <n v="10160"/>
    <n v="4000"/>
    <x v="0"/>
    <x v="0"/>
    <d v="2025-08-09T00:00:00"/>
    <d v="2025-11-07T00:00:00"/>
    <d v="1899-12-30T09:38:00"/>
    <d v="1899-12-30T11:24:00"/>
    <s v="A"/>
    <s v="09:38 AM"/>
    <s v="On Time"/>
    <s v="1 Hours 46 Minutes"/>
    <x v="1"/>
  </r>
  <r>
    <x v="192"/>
    <x v="6"/>
    <n v="21"/>
    <x v="1"/>
    <x v="5"/>
    <x v="7"/>
    <x v="7"/>
    <n v="63"/>
    <n v="77"/>
    <x v="3"/>
    <n v="10000"/>
    <n v="6030"/>
    <n v="4000"/>
    <x v="0"/>
    <x v="0"/>
    <d v="2025-03-17T00:00:00"/>
    <d v="2025-06-15T00:00:00"/>
    <d v="1899-12-30T09:01:00"/>
    <d v="1899-12-30T12:40:00"/>
    <s v="C"/>
    <s v="09:01 AM"/>
    <s v="On Time"/>
    <s v="3 Hours 39 Minutes"/>
    <x v="1"/>
  </r>
  <r>
    <x v="193"/>
    <x v="132"/>
    <n v="24"/>
    <x v="1"/>
    <x v="10"/>
    <x v="6"/>
    <x v="6"/>
    <n v="37"/>
    <n v="85"/>
    <x v="0"/>
    <n v="18000"/>
    <n v="18650"/>
    <n v="2000"/>
    <x v="0"/>
    <x v="0"/>
    <d v="2025-02-13T00:00:00"/>
    <d v="2025-08-12T00:00:00"/>
    <d v="1899-12-30T08:17:00"/>
    <d v="1899-12-30T12:30:00"/>
    <s v="D"/>
    <s v="08:17 AM"/>
    <s v="Delayed"/>
    <s v="4 Hours 13 Minutes"/>
    <x v="1"/>
  </r>
  <r>
    <x v="194"/>
    <x v="67"/>
    <n v="19"/>
    <x v="1"/>
    <x v="1"/>
    <x v="7"/>
    <x v="7"/>
    <n v="61"/>
    <n v="95"/>
    <x v="3"/>
    <n v="18000"/>
    <n v="17240"/>
    <n v="4000"/>
    <x v="0"/>
    <x v="0"/>
    <d v="2025-06-16T00:00:00"/>
    <d v="2025-09-14T00:00:00"/>
    <d v="1899-12-30T10:04:00"/>
    <d v="1899-12-30T11:48:00"/>
    <s v="C"/>
    <s v="10:04 AM"/>
    <s v="On Time"/>
    <s v="1 Hours 44 Minutes"/>
    <x v="0"/>
  </r>
  <r>
    <x v="195"/>
    <x v="94"/>
    <n v="28"/>
    <x v="1"/>
    <x v="6"/>
    <x v="4"/>
    <x v="4"/>
    <n v="47"/>
    <n v="92"/>
    <x v="0"/>
    <n v="15000"/>
    <n v="15700"/>
    <n v="2000"/>
    <x v="0"/>
    <x v="0"/>
    <d v="2025-05-12T00:00:00"/>
    <d v="2025-09-09T00:00:00"/>
    <d v="1899-12-30T09:04:00"/>
    <d v="1899-12-30T12:47:00"/>
    <s v="D"/>
    <s v="09:04 AM"/>
    <s v="Delayed"/>
    <s v="3 Hours 43 Minutes"/>
    <x v="1"/>
  </r>
  <r>
    <x v="196"/>
    <x v="133"/>
    <n v="19"/>
    <x v="0"/>
    <x v="5"/>
    <x v="1"/>
    <x v="1"/>
    <n v="36"/>
    <n v="64"/>
    <x v="0"/>
    <n v="10000"/>
    <n v="6030"/>
    <n v="4000"/>
    <x v="0"/>
    <x v="0"/>
    <d v="2025-12-14T00:00:00"/>
    <d v="2026-02-12T00:00:00"/>
    <d v="1899-12-30T10:58:00"/>
    <d v="1899-12-30T14:48:00"/>
    <s v="D"/>
    <s v="10:58 AM"/>
    <s v="On Time"/>
    <s v="3 Hours 50 Minutes"/>
    <x v="0"/>
  </r>
  <r>
    <x v="197"/>
    <x v="126"/>
    <n v="22"/>
    <x v="1"/>
    <x v="5"/>
    <x v="0"/>
    <x v="0"/>
    <n v="41"/>
    <n v="68"/>
    <x v="0"/>
    <n v="15000"/>
    <n v="17110"/>
    <n v="0"/>
    <x v="1"/>
    <x v="1"/>
    <d v="2025-01-22T00:00:00"/>
    <d v="2025-07-21T00:00:00"/>
    <d v="1899-12-30T10:04:00"/>
    <d v="1899-12-30T11:36:00"/>
    <s v="D"/>
    <s v="10:04 AM"/>
    <s v="Delayed"/>
    <s v="1 Hours 32 Minutes"/>
    <x v="0"/>
  </r>
  <r>
    <x v="198"/>
    <x v="116"/>
    <n v="19"/>
    <x v="0"/>
    <x v="2"/>
    <x v="1"/>
    <x v="1"/>
    <n v="59"/>
    <n v="80"/>
    <x v="0"/>
    <n v="12000"/>
    <n v="9570"/>
    <n v="4000"/>
    <x v="0"/>
    <x v="0"/>
    <d v="2025-07-24T00:00:00"/>
    <d v="2026-01-20T00:00:00"/>
    <d v="1899-12-30T09:15:00"/>
    <d v="1899-12-30T12:46:00"/>
    <s v="D"/>
    <s v="09:15 AM"/>
    <s v="Delayed"/>
    <s v="3 Hours 31 Minutes"/>
    <x v="1"/>
  </r>
  <r>
    <x v="199"/>
    <x v="42"/>
    <n v="23"/>
    <x v="0"/>
    <x v="10"/>
    <x v="7"/>
    <x v="7"/>
    <n v="57"/>
    <n v="100"/>
    <x v="0"/>
    <n v="12000"/>
    <n v="10980"/>
    <n v="2000"/>
    <x v="0"/>
    <x v="0"/>
    <d v="2025-05-22T00:00:00"/>
    <d v="2025-08-20T00:00:00"/>
    <d v="1899-12-30T08:38:00"/>
    <d v="1899-12-30T10:44:00"/>
    <s v="D"/>
    <s v="08:38 AM"/>
    <s v="On Time"/>
    <s v="2 Hours 6 Minutes"/>
    <x v="1"/>
  </r>
  <r>
    <x v="200"/>
    <x v="134"/>
    <n v="25"/>
    <x v="0"/>
    <x v="11"/>
    <x v="1"/>
    <x v="1"/>
    <n v="40"/>
    <n v="97"/>
    <x v="0"/>
    <n v="20000"/>
    <n v="17830"/>
    <n v="4000"/>
    <x v="0"/>
    <x v="0"/>
    <d v="2025-08-19T00:00:00"/>
    <d v="2025-11-17T00:00:00"/>
    <d v="1899-12-30T09:23:00"/>
    <d v="1899-12-30T12:39:00"/>
    <s v="D"/>
    <s v="09:23 AM"/>
    <s v="On Time"/>
    <s v="3 Hours 16 Minutes"/>
    <x v="1"/>
  </r>
  <r>
    <x v="201"/>
    <x v="135"/>
    <n v="24"/>
    <x v="1"/>
    <x v="10"/>
    <x v="4"/>
    <x v="4"/>
    <n v="64"/>
    <n v="74"/>
    <x v="3"/>
    <n v="20000"/>
    <n v="17830"/>
    <n v="4000"/>
    <x v="0"/>
    <x v="0"/>
    <d v="2025-06-02T00:00:00"/>
    <d v="2025-07-02T00:00:00"/>
    <d v="1899-12-30T09:48:00"/>
    <d v="1899-12-30T11:28:00"/>
    <s v="C"/>
    <s v="09:48 AM"/>
    <s v="On Time"/>
    <s v="1 Hours 40 Minutes"/>
    <x v="1"/>
  </r>
  <r>
    <x v="202"/>
    <x v="31"/>
    <n v="24"/>
    <x v="0"/>
    <x v="9"/>
    <x v="5"/>
    <x v="5"/>
    <n v="83"/>
    <n v="90"/>
    <x v="1"/>
    <n v="18000"/>
    <n v="18650"/>
    <n v="2000"/>
    <x v="0"/>
    <x v="0"/>
    <d v="2025-02-05T00:00:00"/>
    <d v="2025-05-06T00:00:00"/>
    <d v="1899-12-30T09:57:00"/>
    <d v="1899-12-30T11:37:00"/>
    <s v="B"/>
    <s v="09:57 AM"/>
    <s v="On Time"/>
    <s v="1 Hours 40 Minutes"/>
    <x v="1"/>
  </r>
  <r>
    <x v="203"/>
    <x v="136"/>
    <n v="25"/>
    <x v="1"/>
    <x v="11"/>
    <x v="4"/>
    <x v="4"/>
    <n v="62"/>
    <n v="89"/>
    <x v="3"/>
    <n v="12000"/>
    <n v="9570"/>
    <n v="4000"/>
    <x v="0"/>
    <x v="0"/>
    <d v="2025-11-17T00:00:00"/>
    <d v="2026-02-15T00:00:00"/>
    <d v="1899-12-30T10:18:00"/>
    <d v="1899-12-30T14:06:00"/>
    <s v="C"/>
    <s v="10:18 AM"/>
    <s v="On Time"/>
    <s v="3 Hours 48 Minutes"/>
    <x v="0"/>
  </r>
  <r>
    <x v="204"/>
    <x v="24"/>
    <n v="26"/>
    <x v="1"/>
    <x v="3"/>
    <x v="2"/>
    <x v="2"/>
    <n v="98"/>
    <n v="92"/>
    <x v="2"/>
    <n v="18000"/>
    <n v="18060"/>
    <n v="2000"/>
    <x v="0"/>
    <x v="0"/>
    <d v="2025-06-17T00:00:00"/>
    <d v="2025-08-16T00:00:00"/>
    <d v="1899-12-30T09:23:00"/>
    <d v="1899-12-30T14:21:00"/>
    <s v="A"/>
    <s v="09:23 AM"/>
    <s v="On Time"/>
    <s v="4 Hours 58 Minutes"/>
    <x v="1"/>
  </r>
  <r>
    <x v="205"/>
    <x v="137"/>
    <n v="21"/>
    <x v="0"/>
    <x v="10"/>
    <x v="2"/>
    <x v="2"/>
    <n v="96"/>
    <n v="98"/>
    <x v="2"/>
    <n v="20000"/>
    <n v="19830"/>
    <n v="2000"/>
    <x v="0"/>
    <x v="0"/>
    <d v="2025-08-12T00:00:00"/>
    <d v="2025-12-10T00:00:00"/>
    <d v="1899-12-30T09:50:00"/>
    <d v="1899-12-30T12:02:00"/>
    <s v="A"/>
    <s v="09:50 AM"/>
    <s v="Delayed"/>
    <s v="2 Hours 12 Minutes"/>
    <x v="1"/>
  </r>
  <r>
    <x v="206"/>
    <x v="125"/>
    <n v="22"/>
    <x v="0"/>
    <x v="4"/>
    <x v="1"/>
    <x v="1"/>
    <n v="42"/>
    <n v="79"/>
    <x v="0"/>
    <n v="15000"/>
    <n v="17110"/>
    <n v="0"/>
    <x v="1"/>
    <x v="0"/>
    <d v="2025-03-14T00:00:00"/>
    <d v="2025-09-10T00:00:00"/>
    <d v="1899-12-30T10:14:00"/>
    <d v="1899-12-30T13:23:00"/>
    <s v="D"/>
    <s v="10:14 AM"/>
    <s v="Delayed"/>
    <s v="3 Hours 9 Minutes"/>
    <x v="0"/>
  </r>
  <r>
    <x v="207"/>
    <x v="138"/>
    <n v="27"/>
    <x v="1"/>
    <x v="1"/>
    <x v="0"/>
    <x v="0"/>
    <n v="69"/>
    <n v="89"/>
    <x v="3"/>
    <n v="20000"/>
    <n v="23600"/>
    <n v="0"/>
    <x v="1"/>
    <x v="0"/>
    <d v="2025-11-17T00:00:00"/>
    <d v="2025-12-17T00:00:00"/>
    <d v="1899-12-30T08:55:00"/>
    <d v="1899-12-30T10:00:00"/>
    <s v="C"/>
    <s v="08:55 AM"/>
    <s v="On Time"/>
    <s v="1 Hours 5 Minutes"/>
    <x v="1"/>
  </r>
  <r>
    <x v="208"/>
    <x v="20"/>
    <n v="21"/>
    <x v="0"/>
    <x v="11"/>
    <x v="5"/>
    <x v="5"/>
    <n v="52"/>
    <n v="65"/>
    <x v="0"/>
    <n v="18000"/>
    <n v="20060"/>
    <n v="0"/>
    <x v="1"/>
    <x v="1"/>
    <d v="2025-09-20T00:00:00"/>
    <d v="2026-03-19T00:00:00"/>
    <d v="1899-12-30T10:56:00"/>
    <d v="1899-12-30T12:20:00"/>
    <s v="D"/>
    <s v="10:56 AM"/>
    <s v="Delayed"/>
    <s v="1 Hours 24 Minutes"/>
    <x v="0"/>
  </r>
  <r>
    <x v="209"/>
    <x v="139"/>
    <n v="24"/>
    <x v="0"/>
    <x v="4"/>
    <x v="5"/>
    <x v="5"/>
    <n v="99"/>
    <n v="65"/>
    <x v="2"/>
    <n v="15000"/>
    <n v="13110"/>
    <n v="4000"/>
    <x v="0"/>
    <x v="0"/>
    <d v="2025-03-10T00:00:00"/>
    <d v="2025-04-09T00:00:00"/>
    <d v="1899-12-30T08:04:00"/>
    <d v="1899-12-30T09:37:00"/>
    <s v="A"/>
    <s v="08:04 AM"/>
    <s v="On Time"/>
    <s v="1 Hours 33 Minutes"/>
    <x v="1"/>
  </r>
  <r>
    <x v="210"/>
    <x v="61"/>
    <n v="19"/>
    <x v="0"/>
    <x v="11"/>
    <x v="2"/>
    <x v="2"/>
    <n v="36"/>
    <n v="76"/>
    <x v="0"/>
    <n v="12000"/>
    <n v="14160"/>
    <n v="0"/>
    <x v="1"/>
    <x v="1"/>
    <d v="2025-05-13T00:00:00"/>
    <d v="2025-11-09T00:00:00"/>
    <d v="1899-12-30T08:54:00"/>
    <d v="1899-12-30T12:18:00"/>
    <s v="D"/>
    <s v="08:54 AM"/>
    <s v="Delayed"/>
    <s v="3 Hours 24 Minutes"/>
    <x v="1"/>
  </r>
  <r>
    <x v="211"/>
    <x v="140"/>
    <n v="27"/>
    <x v="0"/>
    <x v="2"/>
    <x v="2"/>
    <x v="2"/>
    <n v="81"/>
    <n v="63"/>
    <x v="1"/>
    <n v="15000"/>
    <n v="17700"/>
    <n v="0"/>
    <x v="1"/>
    <x v="0"/>
    <d v="2025-06-13T00:00:00"/>
    <d v="2025-07-13T00:00:00"/>
    <d v="1899-12-30T09:45:00"/>
    <d v="1899-12-30T11:12:00"/>
    <s v="B"/>
    <s v="09:45 AM"/>
    <s v="On Time"/>
    <s v="1 Hours 27 Minutes"/>
    <x v="1"/>
  </r>
  <r>
    <x v="212"/>
    <x v="141"/>
    <n v="18"/>
    <x v="1"/>
    <x v="2"/>
    <x v="5"/>
    <x v="5"/>
    <n v="48"/>
    <n v="97"/>
    <x v="0"/>
    <n v="10000"/>
    <n v="9800"/>
    <n v="2000"/>
    <x v="0"/>
    <x v="0"/>
    <d v="2025-08-29T00:00:00"/>
    <d v="2026-02-25T00:00:00"/>
    <d v="1899-12-30T09:11:00"/>
    <d v="1899-12-30T11:51:00"/>
    <s v="D"/>
    <s v="09:11 AM"/>
    <s v="Delayed"/>
    <s v="2 Hours 40 Minutes"/>
    <x v="1"/>
  </r>
  <r>
    <x v="213"/>
    <x v="90"/>
    <n v="25"/>
    <x v="1"/>
    <x v="4"/>
    <x v="1"/>
    <x v="1"/>
    <n v="57"/>
    <n v="76"/>
    <x v="0"/>
    <n v="20000"/>
    <n v="21830"/>
    <n v="0"/>
    <x v="1"/>
    <x v="0"/>
    <d v="2025-01-27T00:00:00"/>
    <d v="2025-05-27T00:00:00"/>
    <d v="1899-12-30T10:18:00"/>
    <d v="1899-12-30T12:08:00"/>
    <s v="D"/>
    <s v="10:18 AM"/>
    <s v="Delayed"/>
    <s v="1 Hours 50 Minutes"/>
    <x v="0"/>
  </r>
  <r>
    <x v="214"/>
    <x v="76"/>
    <n v="23"/>
    <x v="0"/>
    <x v="7"/>
    <x v="5"/>
    <x v="5"/>
    <n v="91"/>
    <n v="100"/>
    <x v="2"/>
    <n v="15000"/>
    <n v="11930"/>
    <n v="4000"/>
    <x v="0"/>
    <x v="0"/>
    <d v="2025-05-17T00:00:00"/>
    <d v="2025-08-15T00:00:00"/>
    <d v="1899-12-30T08:45:00"/>
    <d v="1899-12-30T10:05:00"/>
    <s v="A"/>
    <s v="08:45 AM"/>
    <s v="On Time"/>
    <s v="1 Hours 20 Minutes"/>
    <x v="1"/>
  </r>
  <r>
    <x v="215"/>
    <x v="142"/>
    <n v="22"/>
    <x v="1"/>
    <x v="4"/>
    <x v="0"/>
    <x v="0"/>
    <n v="79"/>
    <n v="76"/>
    <x v="1"/>
    <n v="10000"/>
    <n v="10030"/>
    <n v="0"/>
    <x v="1"/>
    <x v="0"/>
    <d v="2025-03-20T00:00:00"/>
    <d v="2025-07-18T00:00:00"/>
    <d v="1899-12-30T08:51:00"/>
    <d v="1899-12-30T12:48:00"/>
    <s v="B"/>
    <s v="08:51 AM"/>
    <s v="Delayed"/>
    <s v="3 Hours 57 Minutes"/>
    <x v="1"/>
  </r>
  <r>
    <x v="216"/>
    <x v="143"/>
    <n v="23"/>
    <x v="0"/>
    <x v="5"/>
    <x v="5"/>
    <x v="5"/>
    <n v="63"/>
    <n v="67"/>
    <x v="3"/>
    <n v="12000"/>
    <n v="10390"/>
    <n v="2000"/>
    <x v="0"/>
    <x v="1"/>
    <d v="2025-09-25T00:00:00"/>
    <d v="2025-10-25T00:00:00"/>
    <d v="1899-12-30T10:38:00"/>
    <d v="1899-12-30T15:04:00"/>
    <s v="C"/>
    <s v="10:38 AM"/>
    <s v="On Time"/>
    <s v="4 Hours 26 Minutes"/>
    <x v="0"/>
  </r>
  <r>
    <x v="217"/>
    <x v="36"/>
    <n v="19"/>
    <x v="0"/>
    <x v="10"/>
    <x v="1"/>
    <x v="1"/>
    <n v="90"/>
    <n v="65"/>
    <x v="2"/>
    <n v="18000"/>
    <n v="16650"/>
    <n v="4000"/>
    <x v="0"/>
    <x v="1"/>
    <d v="2025-06-06T00:00:00"/>
    <d v="2025-10-04T00:00:00"/>
    <d v="1899-12-30T10:58:00"/>
    <d v="1899-12-30T14:00:00"/>
    <s v="A"/>
    <s v="10:58 AM"/>
    <s v="Delayed"/>
    <s v="3 Hours 2 Minutes"/>
    <x v="0"/>
  </r>
  <r>
    <x v="218"/>
    <x v="144"/>
    <n v="22"/>
    <x v="1"/>
    <x v="2"/>
    <x v="5"/>
    <x v="5"/>
    <n v="63"/>
    <n v="70"/>
    <x v="3"/>
    <n v="10000"/>
    <n v="11210"/>
    <n v="0"/>
    <x v="1"/>
    <x v="0"/>
    <d v="2025-04-09T00:00:00"/>
    <d v="2025-08-07T00:00:00"/>
    <d v="1899-12-30T08:57:00"/>
    <d v="1899-12-30T11:27:00"/>
    <s v="C"/>
    <s v="08:57 AM"/>
    <s v="Delayed"/>
    <s v="2 Hours 30 Minutes"/>
    <x v="1"/>
  </r>
  <r>
    <x v="219"/>
    <x v="52"/>
    <n v="20"/>
    <x v="1"/>
    <x v="2"/>
    <x v="0"/>
    <x v="0"/>
    <n v="62"/>
    <n v="79"/>
    <x v="3"/>
    <n v="20000"/>
    <n v="23600"/>
    <n v="0"/>
    <x v="1"/>
    <x v="0"/>
    <d v="2025-04-18T00:00:00"/>
    <d v="2025-07-17T00:00:00"/>
    <d v="1899-12-30T09:12:00"/>
    <d v="1899-12-30T13:14:00"/>
    <s v="C"/>
    <s v="09:12 AM"/>
    <s v="On Time"/>
    <s v="4 Hours 2 Minutes"/>
    <x v="1"/>
  </r>
  <r>
    <x v="220"/>
    <x v="126"/>
    <n v="26"/>
    <x v="0"/>
    <x v="5"/>
    <x v="6"/>
    <x v="6"/>
    <n v="70"/>
    <n v="94"/>
    <x v="3"/>
    <n v="15000"/>
    <n v="13930"/>
    <n v="2000"/>
    <x v="0"/>
    <x v="0"/>
    <d v="2025-10-24T00:00:00"/>
    <d v="2026-02-21T00:00:00"/>
    <d v="1899-12-30T08:29:00"/>
    <d v="1899-12-30T11:43:00"/>
    <s v="C"/>
    <s v="08:29 AM"/>
    <s v="Delayed"/>
    <s v="3 Hours 14 Minutes"/>
    <x v="1"/>
  </r>
  <r>
    <x v="221"/>
    <x v="102"/>
    <n v="21"/>
    <x v="1"/>
    <x v="9"/>
    <x v="2"/>
    <x v="2"/>
    <n v="58"/>
    <n v="99"/>
    <x v="0"/>
    <n v="10000"/>
    <n v="8030"/>
    <n v="2000"/>
    <x v="0"/>
    <x v="0"/>
    <d v="2025-01-04T00:00:00"/>
    <d v="2025-03-05T00:00:00"/>
    <d v="1899-12-30T10:18:00"/>
    <d v="1899-12-30T11:49:00"/>
    <s v="D"/>
    <s v="10:18 AM"/>
    <s v="On Time"/>
    <s v="1 Hours 31 Minutes"/>
    <x v="0"/>
  </r>
  <r>
    <x v="222"/>
    <x v="68"/>
    <n v="23"/>
    <x v="1"/>
    <x v="5"/>
    <x v="3"/>
    <x v="3"/>
    <n v="42"/>
    <n v="69"/>
    <x v="0"/>
    <n v="18000"/>
    <n v="17240"/>
    <n v="4000"/>
    <x v="0"/>
    <x v="1"/>
    <d v="2025-09-22T00:00:00"/>
    <d v="2026-03-21T00:00:00"/>
    <d v="1899-12-30T09:01:00"/>
    <d v="1899-12-30T12:32:00"/>
    <s v="D"/>
    <s v="09:01 AM"/>
    <s v="Delayed"/>
    <s v="3 Hours 31 Minutes"/>
    <x v="1"/>
  </r>
  <r>
    <x v="223"/>
    <x v="134"/>
    <n v="24"/>
    <x v="1"/>
    <x v="11"/>
    <x v="4"/>
    <x v="4"/>
    <n v="64"/>
    <n v="66"/>
    <x v="3"/>
    <n v="10000"/>
    <n v="9800"/>
    <n v="2000"/>
    <x v="0"/>
    <x v="0"/>
    <d v="2025-06-17T00:00:00"/>
    <d v="2025-09-15T00:00:00"/>
    <d v="1899-12-30T09:44:00"/>
    <d v="1899-12-30T13:05:00"/>
    <s v="C"/>
    <s v="09:44 AM"/>
    <s v="On Time"/>
    <s v="3 Hours 21 Minutes"/>
    <x v="1"/>
  </r>
  <r>
    <x v="224"/>
    <x v="145"/>
    <n v="28"/>
    <x v="1"/>
    <x v="7"/>
    <x v="5"/>
    <x v="5"/>
    <n v="98"/>
    <n v="63"/>
    <x v="2"/>
    <n v="10000"/>
    <n v="10030"/>
    <n v="0"/>
    <x v="1"/>
    <x v="0"/>
    <d v="2025-04-18T00:00:00"/>
    <d v="2025-06-17T00:00:00"/>
    <d v="1899-12-30T09:09:00"/>
    <d v="1899-12-30T10:55:00"/>
    <s v="A"/>
    <s v="09:09 AM"/>
    <s v="On Time"/>
    <s v="1 Hours 46 Minutes"/>
    <x v="1"/>
  </r>
  <r>
    <x v="225"/>
    <x v="146"/>
    <n v="19"/>
    <x v="0"/>
    <x v="5"/>
    <x v="7"/>
    <x v="7"/>
    <n v="82"/>
    <n v="79"/>
    <x v="1"/>
    <n v="18000"/>
    <n v="16060"/>
    <n v="4000"/>
    <x v="0"/>
    <x v="0"/>
    <d v="2025-11-03T00:00:00"/>
    <d v="2025-12-03T00:00:00"/>
    <d v="1899-12-30T08:12:00"/>
    <d v="1899-12-30T11:55:00"/>
    <s v="B"/>
    <s v="08:12 AM"/>
    <s v="On Time"/>
    <s v="3 Hours 43 Minutes"/>
    <x v="1"/>
  </r>
  <r>
    <x v="226"/>
    <x v="147"/>
    <n v="22"/>
    <x v="1"/>
    <x v="9"/>
    <x v="7"/>
    <x v="7"/>
    <n v="70"/>
    <n v="95"/>
    <x v="3"/>
    <n v="15000"/>
    <n v="14520"/>
    <n v="2000"/>
    <x v="0"/>
    <x v="0"/>
    <d v="2025-01-06T00:00:00"/>
    <d v="2025-02-05T00:00:00"/>
    <d v="1899-12-30T09:11:00"/>
    <d v="1899-12-30T13:42:00"/>
    <s v="C"/>
    <s v="09:11 AM"/>
    <s v="On Time"/>
    <s v="4 Hours 31 Minutes"/>
    <x v="1"/>
  </r>
  <r>
    <x v="227"/>
    <x v="13"/>
    <n v="23"/>
    <x v="1"/>
    <x v="4"/>
    <x v="7"/>
    <x v="7"/>
    <n v="94"/>
    <n v="94"/>
    <x v="2"/>
    <n v="12000"/>
    <n v="12980"/>
    <n v="0"/>
    <x v="1"/>
    <x v="0"/>
    <d v="2025-09-14T00:00:00"/>
    <d v="2025-10-14T00:00:00"/>
    <d v="1899-12-30T08:38:00"/>
    <d v="1899-12-30T11:49:00"/>
    <s v="A"/>
    <s v="08:38 AM"/>
    <s v="On Time"/>
    <s v="3 Hours 11 Minutes"/>
    <x v="1"/>
  </r>
  <r>
    <x v="228"/>
    <x v="115"/>
    <n v="23"/>
    <x v="1"/>
    <x v="10"/>
    <x v="6"/>
    <x v="6"/>
    <n v="41"/>
    <n v="96"/>
    <x v="0"/>
    <n v="12000"/>
    <n v="12160"/>
    <n v="2000"/>
    <x v="0"/>
    <x v="0"/>
    <d v="2025-06-16T00:00:00"/>
    <d v="2025-09-14T00:00:00"/>
    <d v="1899-12-30T10:34:00"/>
    <d v="1899-12-30T12:06:00"/>
    <s v="D"/>
    <s v="10:34 AM"/>
    <s v="On Time"/>
    <s v="1 Hours 32 Minutes"/>
    <x v="0"/>
  </r>
  <r>
    <x v="229"/>
    <x v="148"/>
    <n v="25"/>
    <x v="1"/>
    <x v="8"/>
    <x v="5"/>
    <x v="5"/>
    <n v="50"/>
    <n v="100"/>
    <x v="0"/>
    <n v="20000"/>
    <n v="19830"/>
    <n v="2000"/>
    <x v="0"/>
    <x v="0"/>
    <d v="2025-02-17T00:00:00"/>
    <d v="2025-05-18T00:00:00"/>
    <d v="1899-12-30T10:54:00"/>
    <d v="1899-12-30T12:13:00"/>
    <s v="D"/>
    <s v="10:54 AM"/>
    <s v="On Time"/>
    <s v="1 Hours 19 Minutes"/>
    <x v="0"/>
  </r>
  <r>
    <x v="230"/>
    <x v="79"/>
    <n v="18"/>
    <x v="0"/>
    <x v="2"/>
    <x v="7"/>
    <x v="7"/>
    <n v="75"/>
    <n v="84"/>
    <x v="1"/>
    <n v="12000"/>
    <n v="8390"/>
    <n v="4000"/>
    <x v="0"/>
    <x v="0"/>
    <d v="2025-03-01T00:00:00"/>
    <d v="2025-06-29T00:00:00"/>
    <d v="1899-12-30T09:22:00"/>
    <d v="1899-12-30T12:45:00"/>
    <s v="B"/>
    <s v="09:22 AM"/>
    <s v="Delayed"/>
    <s v="3 Hours 23 Minutes"/>
    <x v="1"/>
  </r>
  <r>
    <x v="231"/>
    <x v="111"/>
    <n v="20"/>
    <x v="1"/>
    <x v="5"/>
    <x v="2"/>
    <x v="2"/>
    <n v="82"/>
    <n v="87"/>
    <x v="1"/>
    <n v="20000"/>
    <n v="19830"/>
    <n v="2000"/>
    <x v="0"/>
    <x v="0"/>
    <d v="2025-06-30T00:00:00"/>
    <d v="2025-09-28T00:00:00"/>
    <d v="1899-12-30T09:44:00"/>
    <d v="1899-12-30T14:18:00"/>
    <s v="B"/>
    <s v="09:44 AM"/>
    <s v="On Time"/>
    <s v="4 Hours 34 Minutes"/>
    <x v="1"/>
  </r>
  <r>
    <x v="232"/>
    <x v="29"/>
    <n v="22"/>
    <x v="1"/>
    <x v="8"/>
    <x v="0"/>
    <x v="0"/>
    <n v="56"/>
    <n v="81"/>
    <x v="0"/>
    <n v="15000"/>
    <n v="11930"/>
    <n v="4000"/>
    <x v="0"/>
    <x v="0"/>
    <d v="2025-11-04T00:00:00"/>
    <d v="2026-01-03T00:00:00"/>
    <d v="1899-12-30T10:05:00"/>
    <d v="1899-12-30T14:55:00"/>
    <s v="D"/>
    <s v="10:05 AM"/>
    <s v="On Time"/>
    <s v="4 Hours 50 Minutes"/>
    <x v="0"/>
  </r>
  <r>
    <x v="233"/>
    <x v="36"/>
    <n v="23"/>
    <x v="1"/>
    <x v="9"/>
    <x v="1"/>
    <x v="1"/>
    <n v="90"/>
    <n v="99"/>
    <x v="2"/>
    <n v="18000"/>
    <n v="21240"/>
    <n v="0"/>
    <x v="1"/>
    <x v="0"/>
    <d v="2025-01-16T00:00:00"/>
    <d v="2025-05-16T00:00:00"/>
    <d v="1899-12-30T10:52:00"/>
    <d v="1899-12-30T12:09:00"/>
    <s v="A"/>
    <s v="10:52 AM"/>
    <s v="Delayed"/>
    <s v="1 Hours 17 Minutes"/>
    <x v="0"/>
  </r>
  <r>
    <x v="234"/>
    <x v="149"/>
    <n v="27"/>
    <x v="0"/>
    <x v="10"/>
    <x v="0"/>
    <x v="0"/>
    <n v="84"/>
    <n v="88"/>
    <x v="1"/>
    <n v="12000"/>
    <n v="11570"/>
    <n v="2000"/>
    <x v="0"/>
    <x v="0"/>
    <d v="2025-04-13T00:00:00"/>
    <d v="2025-07-12T00:00:00"/>
    <d v="1899-12-30T10:00:00"/>
    <d v="1899-12-30T14:21:00"/>
    <s v="B"/>
    <s v="10:00 AM"/>
    <s v="On Time"/>
    <s v="4 Hours 21 Minutes"/>
    <x v="1"/>
  </r>
  <r>
    <x v="235"/>
    <x v="113"/>
    <n v="25"/>
    <x v="0"/>
    <x v="8"/>
    <x v="0"/>
    <x v="0"/>
    <n v="84"/>
    <n v="99"/>
    <x v="1"/>
    <n v="20000"/>
    <n v="21010"/>
    <n v="2000"/>
    <x v="0"/>
    <x v="0"/>
    <d v="2025-01-24T00:00:00"/>
    <d v="2025-07-23T00:00:00"/>
    <d v="1899-12-30T09:48:00"/>
    <d v="1899-12-30T10:53:00"/>
    <s v="B"/>
    <s v="09:48 AM"/>
    <s v="Delayed"/>
    <s v="1 Hours 5 Minutes"/>
    <x v="1"/>
  </r>
  <r>
    <x v="236"/>
    <x v="136"/>
    <n v="28"/>
    <x v="1"/>
    <x v="3"/>
    <x v="5"/>
    <x v="5"/>
    <n v="74"/>
    <n v="66"/>
    <x v="3"/>
    <n v="12000"/>
    <n v="8980"/>
    <n v="4000"/>
    <x v="0"/>
    <x v="0"/>
    <d v="2025-06-30T00:00:00"/>
    <d v="2025-09-28T00:00:00"/>
    <d v="1899-12-30T08:41:00"/>
    <d v="1899-12-30T13:37:00"/>
    <s v="C"/>
    <s v="08:41 AM"/>
    <s v="On Time"/>
    <s v="4 Hours 56 Minutes"/>
    <x v="1"/>
  </r>
  <r>
    <x v="237"/>
    <x v="140"/>
    <n v="18"/>
    <x v="1"/>
    <x v="11"/>
    <x v="2"/>
    <x v="2"/>
    <n v="56"/>
    <n v="76"/>
    <x v="0"/>
    <n v="10000"/>
    <n v="7800"/>
    <n v="4000"/>
    <x v="0"/>
    <x v="0"/>
    <d v="2025-05-14T00:00:00"/>
    <d v="2025-11-10T00:00:00"/>
    <d v="1899-12-30T08:38:00"/>
    <d v="1899-12-30T12:18:00"/>
    <s v="D"/>
    <s v="08:38 AM"/>
    <s v="Delayed"/>
    <s v="3 Hours 40 Minutes"/>
    <x v="1"/>
  </r>
  <r>
    <x v="238"/>
    <x v="120"/>
    <n v="19"/>
    <x v="1"/>
    <x v="1"/>
    <x v="6"/>
    <x v="6"/>
    <n v="97"/>
    <n v="96"/>
    <x v="2"/>
    <n v="20000"/>
    <n v="19830"/>
    <n v="2000"/>
    <x v="0"/>
    <x v="0"/>
    <d v="2025-09-10T00:00:00"/>
    <d v="2025-11-09T00:00:00"/>
    <d v="1899-12-30T08:50:00"/>
    <d v="1899-12-30T10:19:00"/>
    <s v="A"/>
    <s v="08:50 AM"/>
    <s v="On Time"/>
    <s v="1 Hours 29 Minutes"/>
    <x v="1"/>
  </r>
  <r>
    <x v="239"/>
    <x v="135"/>
    <n v="21"/>
    <x v="0"/>
    <x v="9"/>
    <x v="3"/>
    <x v="3"/>
    <n v="75"/>
    <n v="90"/>
    <x v="1"/>
    <n v="20000"/>
    <n v="20420"/>
    <n v="2000"/>
    <x v="0"/>
    <x v="0"/>
    <d v="2025-02-23T00:00:00"/>
    <d v="2025-08-22T00:00:00"/>
    <d v="1899-12-30T08:26:00"/>
    <d v="1899-12-30T12:34:00"/>
    <s v="B"/>
    <s v="08:26 AM"/>
    <s v="Delayed"/>
    <s v="4 Hours 8 Minutes"/>
    <x v="1"/>
  </r>
  <r>
    <x v="240"/>
    <x v="150"/>
    <n v="24"/>
    <x v="1"/>
    <x v="6"/>
    <x v="1"/>
    <x v="1"/>
    <n v="35"/>
    <n v="87"/>
    <x v="0"/>
    <n v="20000"/>
    <n v="21010"/>
    <n v="2000"/>
    <x v="0"/>
    <x v="0"/>
    <d v="2025-06-25T00:00:00"/>
    <d v="2025-07-25T00:00:00"/>
    <d v="1899-12-30T09:32:00"/>
    <d v="1899-12-30T13:21:00"/>
    <s v="D"/>
    <s v="09:32 AM"/>
    <s v="On Time"/>
    <s v="3 Hours 49 Minutes"/>
    <x v="1"/>
  </r>
  <r>
    <x v="241"/>
    <x v="151"/>
    <n v="21"/>
    <x v="0"/>
    <x v="8"/>
    <x v="5"/>
    <x v="5"/>
    <n v="83"/>
    <n v="66"/>
    <x v="1"/>
    <n v="10000"/>
    <n v="6030"/>
    <n v="4000"/>
    <x v="0"/>
    <x v="0"/>
    <d v="2025-09-07T00:00:00"/>
    <d v="2025-11-06T00:00:00"/>
    <d v="1899-12-30T09:51:00"/>
    <d v="1899-12-30T12:58:00"/>
    <s v="B"/>
    <s v="09:51 AM"/>
    <s v="On Time"/>
    <s v="3 Hours 7 Minutes"/>
    <x v="1"/>
  </r>
  <r>
    <x v="242"/>
    <x v="152"/>
    <n v="26"/>
    <x v="1"/>
    <x v="4"/>
    <x v="3"/>
    <x v="3"/>
    <n v="55"/>
    <n v="81"/>
    <x v="0"/>
    <n v="18000"/>
    <n v="18060"/>
    <n v="2000"/>
    <x v="0"/>
    <x v="0"/>
    <d v="2025-01-22T00:00:00"/>
    <d v="2025-03-23T00:00:00"/>
    <d v="1899-12-30T10:55:00"/>
    <d v="1899-12-30T15:10:00"/>
    <s v="D"/>
    <s v="10:55 AM"/>
    <s v="On Time"/>
    <s v="4 Hours 15 Minutes"/>
    <x v="0"/>
  </r>
  <r>
    <x v="243"/>
    <x v="79"/>
    <n v="26"/>
    <x v="0"/>
    <x v="1"/>
    <x v="7"/>
    <x v="7"/>
    <n v="51"/>
    <n v="81"/>
    <x v="0"/>
    <n v="18000"/>
    <n v="18060"/>
    <n v="2000"/>
    <x v="0"/>
    <x v="0"/>
    <d v="2025-06-10T00:00:00"/>
    <d v="2025-10-08T00:00:00"/>
    <d v="1899-12-30T10:53:00"/>
    <d v="1899-12-30T13:40:00"/>
    <s v="D"/>
    <s v="10:53 AM"/>
    <s v="Delayed"/>
    <s v="2 Hours 47 Minutes"/>
    <x v="0"/>
  </r>
  <r>
    <x v="244"/>
    <x v="107"/>
    <n v="23"/>
    <x v="1"/>
    <x v="5"/>
    <x v="7"/>
    <x v="7"/>
    <n v="38"/>
    <n v="99"/>
    <x v="0"/>
    <n v="15000"/>
    <n v="15110"/>
    <n v="2000"/>
    <x v="0"/>
    <x v="0"/>
    <d v="2025-09-24T00:00:00"/>
    <d v="2025-10-24T00:00:00"/>
    <d v="1899-12-30T09:16:00"/>
    <d v="1899-12-30T12:04:00"/>
    <s v="D"/>
    <s v="09:16 AM"/>
    <s v="On Time"/>
    <s v="2 Hours 48 Minutes"/>
    <x v="1"/>
  </r>
  <r>
    <x v="245"/>
    <x v="42"/>
    <n v="26"/>
    <x v="1"/>
    <x v="10"/>
    <x v="3"/>
    <x v="3"/>
    <n v="94"/>
    <n v="91"/>
    <x v="2"/>
    <n v="15000"/>
    <n v="15110"/>
    <n v="2000"/>
    <x v="0"/>
    <x v="0"/>
    <d v="2025-09-23T00:00:00"/>
    <d v="2026-03-22T00:00:00"/>
    <d v="1899-12-30T10:30:00"/>
    <d v="1899-12-30T12:29:00"/>
    <s v="A"/>
    <s v="10:30 AM"/>
    <s v="Delayed"/>
    <s v="1 Hours 59 Minutes"/>
    <x v="0"/>
  </r>
  <r>
    <x v="246"/>
    <x v="140"/>
    <n v="28"/>
    <x v="1"/>
    <x v="6"/>
    <x v="4"/>
    <x v="4"/>
    <n v="46"/>
    <n v="85"/>
    <x v="0"/>
    <n v="20000"/>
    <n v="19010"/>
    <n v="4000"/>
    <x v="0"/>
    <x v="0"/>
    <d v="2025-09-11T00:00:00"/>
    <d v="2026-03-10T00:00:00"/>
    <d v="1899-12-30T09:02:00"/>
    <d v="1899-12-30T13:11:00"/>
    <s v="D"/>
    <s v="09:02 AM"/>
    <s v="Delayed"/>
    <s v="4 Hours 9 Minutes"/>
    <x v="1"/>
  </r>
  <r>
    <x v="247"/>
    <x v="153"/>
    <n v="24"/>
    <x v="1"/>
    <x v="5"/>
    <x v="6"/>
    <x v="6"/>
    <n v="43"/>
    <n v="74"/>
    <x v="0"/>
    <n v="20000"/>
    <n v="20420"/>
    <n v="2000"/>
    <x v="0"/>
    <x v="0"/>
    <d v="2025-04-11T00:00:00"/>
    <d v="2025-08-09T00:00:00"/>
    <d v="1899-12-30T08:10:00"/>
    <d v="1899-12-30T12:37:00"/>
    <s v="D"/>
    <s v="08:10 AM"/>
    <s v="Delayed"/>
    <s v="4 Hours 27 Minutes"/>
    <x v="1"/>
  </r>
  <r>
    <x v="248"/>
    <x v="16"/>
    <n v="20"/>
    <x v="0"/>
    <x v="0"/>
    <x v="6"/>
    <x v="6"/>
    <n v="90"/>
    <n v="69"/>
    <x v="2"/>
    <n v="20000"/>
    <n v="17830"/>
    <n v="4000"/>
    <x v="0"/>
    <x v="1"/>
    <d v="2025-03-08T00:00:00"/>
    <d v="2025-07-06T00:00:00"/>
    <d v="1899-12-30T08:40:00"/>
    <d v="1899-12-30T10:38:00"/>
    <s v="A"/>
    <s v="08:40 AM"/>
    <s v="Delayed"/>
    <s v="1 Hours 58 Minutes"/>
    <x v="1"/>
  </r>
  <r>
    <x v="249"/>
    <x v="116"/>
    <n v="18"/>
    <x v="0"/>
    <x v="3"/>
    <x v="3"/>
    <x v="3"/>
    <n v="66"/>
    <n v="60"/>
    <x v="3"/>
    <n v="18000"/>
    <n v="20060"/>
    <n v="0"/>
    <x v="1"/>
    <x v="0"/>
    <d v="2025-12-17T00:00:00"/>
    <d v="2026-01-16T00:00:00"/>
    <d v="1899-12-30T09:23:00"/>
    <d v="1899-12-30T13:13:00"/>
    <s v="C"/>
    <s v="09:23 AM"/>
    <s v="On Time"/>
    <s v="3 Hours 50 Minutes"/>
    <x v="1"/>
  </r>
  <r>
    <x v="250"/>
    <x v="154"/>
    <n v="24"/>
    <x v="0"/>
    <x v="3"/>
    <x v="2"/>
    <x v="2"/>
    <n v="52"/>
    <n v="83"/>
    <x v="0"/>
    <n v="10000"/>
    <n v="11210"/>
    <n v="0"/>
    <x v="1"/>
    <x v="0"/>
    <d v="2025-05-29T00:00:00"/>
    <d v="2025-07-28T00:00:00"/>
    <d v="1899-12-30T08:12:00"/>
    <d v="1899-12-30T09:20:00"/>
    <s v="D"/>
    <s v="08:12 AM"/>
    <s v="On Time"/>
    <s v="1 Hours 8 Minutes"/>
    <x v="1"/>
  </r>
  <r>
    <x v="251"/>
    <x v="13"/>
    <n v="21"/>
    <x v="1"/>
    <x v="8"/>
    <x v="4"/>
    <x v="4"/>
    <n v="37"/>
    <n v="84"/>
    <x v="0"/>
    <n v="10000"/>
    <n v="8030"/>
    <n v="2000"/>
    <x v="0"/>
    <x v="0"/>
    <d v="2025-06-07T00:00:00"/>
    <d v="2025-10-05T00:00:00"/>
    <d v="1899-12-30T10:18:00"/>
    <d v="1899-12-30T11:23:00"/>
    <s v="D"/>
    <s v="10:18 AM"/>
    <s v="Delayed"/>
    <s v="1 Hours 5 Minutes"/>
    <x v="0"/>
  </r>
  <r>
    <x v="252"/>
    <x v="90"/>
    <n v="24"/>
    <x v="0"/>
    <x v="6"/>
    <x v="0"/>
    <x v="0"/>
    <n v="68"/>
    <n v="87"/>
    <x v="3"/>
    <n v="18000"/>
    <n v="19240"/>
    <n v="2000"/>
    <x v="0"/>
    <x v="0"/>
    <d v="2025-03-07T00:00:00"/>
    <d v="2025-06-05T00:00:00"/>
    <d v="1899-12-30T09:29:00"/>
    <d v="1899-12-30T12:28:00"/>
    <s v="C"/>
    <s v="09:29 AM"/>
    <s v="On Time"/>
    <s v="2 Hours 59 Minutes"/>
    <x v="1"/>
  </r>
  <r>
    <x v="253"/>
    <x v="155"/>
    <n v="25"/>
    <x v="1"/>
    <x v="7"/>
    <x v="0"/>
    <x v="0"/>
    <n v="41"/>
    <n v="85"/>
    <x v="0"/>
    <n v="15000"/>
    <n v="15930"/>
    <n v="0"/>
    <x v="1"/>
    <x v="0"/>
    <d v="2025-01-01T00:00:00"/>
    <d v="2025-03-02T00:00:00"/>
    <d v="1899-12-30T08:29:00"/>
    <d v="1899-12-30T12:55:00"/>
    <s v="D"/>
    <s v="08:29 AM"/>
    <s v="On Time"/>
    <s v="4 Hours 26 Minutes"/>
    <x v="1"/>
  </r>
  <r>
    <x v="254"/>
    <x v="156"/>
    <n v="26"/>
    <x v="1"/>
    <x v="9"/>
    <x v="5"/>
    <x v="5"/>
    <n v="91"/>
    <n v="96"/>
    <x v="2"/>
    <n v="12000"/>
    <n v="13570"/>
    <n v="0"/>
    <x v="1"/>
    <x v="0"/>
    <d v="2025-08-16T00:00:00"/>
    <d v="2026-02-12T00:00:00"/>
    <d v="1899-12-30T09:10:00"/>
    <d v="1899-12-30T13:30:00"/>
    <s v="A"/>
    <s v="09:10 AM"/>
    <s v="Delayed"/>
    <s v="4 Hours 20 Minutes"/>
    <x v="1"/>
  </r>
  <r>
    <x v="255"/>
    <x v="11"/>
    <n v="26"/>
    <x v="0"/>
    <x v="1"/>
    <x v="5"/>
    <x v="5"/>
    <n v="73"/>
    <n v="61"/>
    <x v="3"/>
    <n v="20000"/>
    <n v="18420"/>
    <n v="4000"/>
    <x v="0"/>
    <x v="0"/>
    <d v="2025-11-08T00:00:00"/>
    <d v="2026-05-07T00:00:00"/>
    <d v="1899-12-30T08:20:00"/>
    <d v="1899-12-30T10:37:00"/>
    <s v="C"/>
    <s v="08:20 AM"/>
    <s v="Delayed"/>
    <s v="2 Hours 17 Minutes"/>
    <x v="1"/>
  </r>
  <r>
    <x v="256"/>
    <x v="21"/>
    <n v="19"/>
    <x v="0"/>
    <x v="9"/>
    <x v="0"/>
    <x v="0"/>
    <n v="53"/>
    <n v="89"/>
    <x v="0"/>
    <n v="20000"/>
    <n v="23600"/>
    <n v="0"/>
    <x v="1"/>
    <x v="0"/>
    <d v="2025-01-03T00:00:00"/>
    <d v="2025-02-02T00:00:00"/>
    <d v="1899-12-30T08:45:00"/>
    <d v="1899-12-30T10:50:00"/>
    <s v="D"/>
    <s v="08:45 AM"/>
    <s v="On Time"/>
    <s v="2 Hours 5 Minutes"/>
    <x v="1"/>
  </r>
  <r>
    <x v="257"/>
    <x v="157"/>
    <n v="20"/>
    <x v="1"/>
    <x v="8"/>
    <x v="6"/>
    <x v="6"/>
    <n v="43"/>
    <n v="70"/>
    <x v="0"/>
    <n v="20000"/>
    <n v="19010"/>
    <n v="4000"/>
    <x v="0"/>
    <x v="0"/>
    <d v="2025-05-28T00:00:00"/>
    <d v="2025-06-27T00:00:00"/>
    <d v="1899-12-30T08:58:00"/>
    <d v="1899-12-30T11:30:00"/>
    <s v="D"/>
    <s v="08:58 AM"/>
    <s v="On Time"/>
    <s v="2 Hours 32 Minutes"/>
    <x v="1"/>
  </r>
  <r>
    <x v="258"/>
    <x v="95"/>
    <n v="26"/>
    <x v="1"/>
    <x v="11"/>
    <x v="5"/>
    <x v="5"/>
    <n v="62"/>
    <n v="62"/>
    <x v="3"/>
    <n v="18000"/>
    <n v="17240"/>
    <n v="4000"/>
    <x v="0"/>
    <x v="0"/>
    <d v="2025-09-06T00:00:00"/>
    <d v="2025-12-05T00:00:00"/>
    <d v="1899-12-30T09:17:00"/>
    <d v="1899-12-30T12:16:00"/>
    <s v="C"/>
    <s v="09:17 AM"/>
    <s v="On Time"/>
    <s v="2 Hours 59 Minutes"/>
    <x v="1"/>
  </r>
  <r>
    <x v="259"/>
    <x v="19"/>
    <n v="28"/>
    <x v="1"/>
    <x v="0"/>
    <x v="2"/>
    <x v="2"/>
    <n v="76"/>
    <n v="90"/>
    <x v="1"/>
    <n v="15000"/>
    <n v="13930"/>
    <n v="2000"/>
    <x v="0"/>
    <x v="0"/>
    <d v="2025-02-25T00:00:00"/>
    <d v="2025-05-26T00:00:00"/>
    <d v="1899-12-30T09:05:00"/>
    <d v="1899-12-30T11:14:00"/>
    <s v="B"/>
    <s v="09:05 AM"/>
    <s v="On Time"/>
    <s v="2 Hours 9 Minutes"/>
    <x v="1"/>
  </r>
  <r>
    <x v="260"/>
    <x v="19"/>
    <n v="27"/>
    <x v="1"/>
    <x v="1"/>
    <x v="7"/>
    <x v="7"/>
    <n v="57"/>
    <n v="67"/>
    <x v="0"/>
    <n v="10000"/>
    <n v="8620"/>
    <n v="2000"/>
    <x v="0"/>
    <x v="1"/>
    <d v="2025-04-03T00:00:00"/>
    <d v="2025-06-02T00:00:00"/>
    <d v="1899-12-30T10:56:00"/>
    <d v="1899-12-30T12:06:00"/>
    <s v="D"/>
    <s v="10:56 AM"/>
    <s v="On Time"/>
    <s v="1 Hours 10 Minutes"/>
    <x v="0"/>
  </r>
  <r>
    <x v="261"/>
    <x v="158"/>
    <n v="26"/>
    <x v="0"/>
    <x v="7"/>
    <x v="0"/>
    <x v="0"/>
    <n v="57"/>
    <n v="99"/>
    <x v="0"/>
    <n v="12000"/>
    <n v="9570"/>
    <n v="4000"/>
    <x v="0"/>
    <x v="0"/>
    <d v="2025-09-28T00:00:00"/>
    <d v="2025-12-27T00:00:00"/>
    <d v="1899-12-30T08:39:00"/>
    <d v="1899-12-30T11:09:00"/>
    <s v="D"/>
    <s v="08:39 AM"/>
    <s v="On Time"/>
    <s v="2 Hours 30 Minutes"/>
    <x v="1"/>
  </r>
  <r>
    <x v="262"/>
    <x v="20"/>
    <n v="28"/>
    <x v="1"/>
    <x v="6"/>
    <x v="7"/>
    <x v="7"/>
    <n v="93"/>
    <n v="77"/>
    <x v="2"/>
    <n v="18000"/>
    <n v="18650"/>
    <n v="2000"/>
    <x v="0"/>
    <x v="0"/>
    <d v="2025-02-18T00:00:00"/>
    <d v="2025-06-18T00:00:00"/>
    <d v="1899-12-30T10:01:00"/>
    <d v="1899-12-30T14:55:00"/>
    <s v="A"/>
    <s v="10:01 AM"/>
    <s v="Delayed"/>
    <s v="4 Hours 54 Minutes"/>
    <x v="0"/>
  </r>
  <r>
    <x v="263"/>
    <x v="25"/>
    <n v="21"/>
    <x v="1"/>
    <x v="2"/>
    <x v="1"/>
    <x v="1"/>
    <n v="68"/>
    <n v="70"/>
    <x v="3"/>
    <n v="10000"/>
    <n v="7800"/>
    <n v="4000"/>
    <x v="0"/>
    <x v="0"/>
    <d v="2025-01-21T00:00:00"/>
    <d v="2025-05-21T00:00:00"/>
    <d v="1899-12-30T08:01:00"/>
    <d v="1899-12-30T12:49:00"/>
    <s v="C"/>
    <s v="08:01 AM"/>
    <s v="Delayed"/>
    <s v="4 Hours 48 Minutes"/>
    <x v="1"/>
  </r>
  <r>
    <x v="264"/>
    <x v="113"/>
    <n v="19"/>
    <x v="0"/>
    <x v="0"/>
    <x v="2"/>
    <x v="2"/>
    <n v="53"/>
    <n v="72"/>
    <x v="0"/>
    <n v="12000"/>
    <n v="10980"/>
    <n v="2000"/>
    <x v="0"/>
    <x v="0"/>
    <d v="2025-03-11T00:00:00"/>
    <d v="2025-07-09T00:00:00"/>
    <d v="1899-12-30T10:55:00"/>
    <d v="1899-12-30T12:15:00"/>
    <s v="D"/>
    <s v="10:55 AM"/>
    <s v="Delayed"/>
    <s v="1 Hours 20 Minutes"/>
    <x v="0"/>
  </r>
  <r>
    <x v="265"/>
    <x v="159"/>
    <n v="28"/>
    <x v="1"/>
    <x v="0"/>
    <x v="3"/>
    <x v="3"/>
    <n v="89"/>
    <n v="71"/>
    <x v="1"/>
    <n v="12000"/>
    <n v="12160"/>
    <n v="2000"/>
    <x v="0"/>
    <x v="0"/>
    <d v="2025-03-05T00:00:00"/>
    <d v="2025-07-03T00:00:00"/>
    <d v="1899-12-30T08:29:00"/>
    <d v="1899-12-30T10:40:00"/>
    <s v="B"/>
    <s v="08:29 AM"/>
    <s v="Delayed"/>
    <s v="2 Hours 11 Minutes"/>
    <x v="1"/>
  </r>
  <r>
    <x v="266"/>
    <x v="160"/>
    <n v="22"/>
    <x v="0"/>
    <x v="0"/>
    <x v="7"/>
    <x v="7"/>
    <n v="67"/>
    <n v="68"/>
    <x v="3"/>
    <n v="10000"/>
    <n v="11800"/>
    <n v="0"/>
    <x v="1"/>
    <x v="0"/>
    <d v="2025-12-26T00:00:00"/>
    <d v="2026-06-24T00:00:00"/>
    <d v="1899-12-30T10:29:00"/>
    <d v="1899-12-30T11:38:00"/>
    <s v="C"/>
    <s v="10:29 AM"/>
    <s v="Delayed"/>
    <s v="1 Hours 9 Minutes"/>
    <x v="0"/>
  </r>
  <r>
    <x v="267"/>
    <x v="127"/>
    <n v="27"/>
    <x v="0"/>
    <x v="4"/>
    <x v="2"/>
    <x v="2"/>
    <n v="76"/>
    <n v="98"/>
    <x v="1"/>
    <n v="10000"/>
    <n v="7210"/>
    <n v="4000"/>
    <x v="0"/>
    <x v="0"/>
    <d v="2025-11-06T00:00:00"/>
    <d v="2026-01-05T00:00:00"/>
    <d v="1899-12-30T10:59:00"/>
    <d v="1899-12-30T15:35:00"/>
    <s v="B"/>
    <s v="10:59 AM"/>
    <s v="On Time"/>
    <s v="4 Hours 36 Minutes"/>
    <x v="0"/>
  </r>
  <r>
    <x v="268"/>
    <x v="73"/>
    <n v="20"/>
    <x v="1"/>
    <x v="4"/>
    <x v="6"/>
    <x v="6"/>
    <n v="73"/>
    <n v="72"/>
    <x v="3"/>
    <n v="12000"/>
    <n v="10980"/>
    <n v="2000"/>
    <x v="0"/>
    <x v="0"/>
    <d v="2025-11-08T00:00:00"/>
    <d v="2025-12-08T00:00:00"/>
    <d v="1899-12-30T09:50:00"/>
    <d v="1899-12-30T12:25:00"/>
    <s v="C"/>
    <s v="09:50 AM"/>
    <s v="On Time"/>
    <s v="2 Hours 35 Minutes"/>
    <x v="1"/>
  </r>
  <r>
    <x v="269"/>
    <x v="161"/>
    <n v="28"/>
    <x v="1"/>
    <x v="7"/>
    <x v="5"/>
    <x v="5"/>
    <n v="55"/>
    <n v="75"/>
    <x v="0"/>
    <n v="10000"/>
    <n v="9210"/>
    <n v="2000"/>
    <x v="0"/>
    <x v="0"/>
    <d v="2025-10-15T00:00:00"/>
    <d v="2026-02-12T00:00:00"/>
    <d v="1899-12-30T10:14:00"/>
    <d v="1899-12-30T15:05:00"/>
    <s v="D"/>
    <s v="10:14 AM"/>
    <s v="Delayed"/>
    <s v="4 Hours 51 Minutes"/>
    <x v="0"/>
  </r>
  <r>
    <x v="270"/>
    <x v="72"/>
    <n v="22"/>
    <x v="0"/>
    <x v="1"/>
    <x v="2"/>
    <x v="2"/>
    <n v="86"/>
    <n v="84"/>
    <x v="1"/>
    <n v="12000"/>
    <n v="9570"/>
    <n v="4000"/>
    <x v="0"/>
    <x v="0"/>
    <d v="2025-12-06T00:00:00"/>
    <d v="2026-06-04T00:00:00"/>
    <d v="1899-12-30T08:31:00"/>
    <d v="1899-12-30T12:15:00"/>
    <s v="B"/>
    <s v="08:31 AM"/>
    <s v="Delayed"/>
    <s v="3 Hours 44 Minutes"/>
    <x v="1"/>
  </r>
  <r>
    <x v="271"/>
    <x v="20"/>
    <n v="23"/>
    <x v="1"/>
    <x v="1"/>
    <x v="3"/>
    <x v="3"/>
    <n v="90"/>
    <n v="81"/>
    <x v="2"/>
    <n v="15000"/>
    <n v="11930"/>
    <n v="4000"/>
    <x v="0"/>
    <x v="0"/>
    <d v="2025-02-21T00:00:00"/>
    <d v="2025-04-22T00:00:00"/>
    <d v="1899-12-30T08:56:00"/>
    <d v="1899-12-30T12:02:00"/>
    <s v="A"/>
    <s v="08:56 AM"/>
    <s v="On Time"/>
    <s v="3 Hours 6 Minutes"/>
    <x v="1"/>
  </r>
  <r>
    <x v="272"/>
    <x v="16"/>
    <n v="28"/>
    <x v="1"/>
    <x v="1"/>
    <x v="7"/>
    <x v="7"/>
    <n v="57"/>
    <n v="87"/>
    <x v="0"/>
    <n v="12000"/>
    <n v="11570"/>
    <n v="2000"/>
    <x v="0"/>
    <x v="0"/>
    <d v="2025-03-13T00:00:00"/>
    <d v="2025-05-12T00:00:00"/>
    <d v="1899-12-30T09:04:00"/>
    <d v="1899-12-30T13:28:00"/>
    <s v="D"/>
    <s v="09:04 AM"/>
    <s v="On Time"/>
    <s v="4 Hours 24 Minutes"/>
    <x v="1"/>
  </r>
  <r>
    <x v="273"/>
    <x v="3"/>
    <n v="24"/>
    <x v="1"/>
    <x v="10"/>
    <x v="0"/>
    <x v="0"/>
    <n v="50"/>
    <n v="64"/>
    <x v="0"/>
    <n v="20000"/>
    <n v="21010"/>
    <n v="2000"/>
    <x v="0"/>
    <x v="0"/>
    <d v="2025-04-27T00:00:00"/>
    <d v="2025-10-24T00:00:00"/>
    <d v="1899-12-30T08:59:00"/>
    <d v="1899-12-30T12:04:00"/>
    <s v="D"/>
    <s v="08:59 AM"/>
    <s v="Delayed"/>
    <s v="3 Hours 5 Minutes"/>
    <x v="1"/>
  </r>
  <r>
    <x v="274"/>
    <x v="162"/>
    <n v="28"/>
    <x v="0"/>
    <x v="5"/>
    <x v="6"/>
    <x v="6"/>
    <n v="63"/>
    <n v="90"/>
    <x v="3"/>
    <n v="15000"/>
    <n v="13110"/>
    <n v="4000"/>
    <x v="0"/>
    <x v="0"/>
    <d v="2025-06-24T00:00:00"/>
    <d v="2025-07-24T00:00:00"/>
    <d v="1899-12-30T08:21:00"/>
    <d v="1899-12-30T13:17:00"/>
    <s v="C"/>
    <s v="08:21 AM"/>
    <s v="On Time"/>
    <s v="4 Hours 56 Minutes"/>
    <x v="1"/>
  </r>
  <r>
    <x v="275"/>
    <x v="163"/>
    <n v="20"/>
    <x v="0"/>
    <x v="10"/>
    <x v="5"/>
    <x v="5"/>
    <n v="56"/>
    <n v="99"/>
    <x v="0"/>
    <n v="12000"/>
    <n v="14160"/>
    <n v="0"/>
    <x v="1"/>
    <x v="0"/>
    <d v="2025-03-23T00:00:00"/>
    <d v="2025-09-19T00:00:00"/>
    <d v="1899-12-30T09:07:00"/>
    <d v="1899-12-30T10:57:00"/>
    <s v="D"/>
    <s v="09:07 AM"/>
    <s v="Delayed"/>
    <s v="1 Hours 50 Minutes"/>
    <x v="1"/>
  </r>
  <r>
    <x v="276"/>
    <x v="4"/>
    <n v="26"/>
    <x v="0"/>
    <x v="2"/>
    <x v="6"/>
    <x v="6"/>
    <n v="85"/>
    <n v="90"/>
    <x v="1"/>
    <n v="20000"/>
    <n v="23600"/>
    <n v="0"/>
    <x v="1"/>
    <x v="0"/>
    <d v="2025-07-29T00:00:00"/>
    <d v="2025-11-26T00:00:00"/>
    <d v="1899-12-30T10:39:00"/>
    <d v="1899-12-30T15:39:00"/>
    <s v="B"/>
    <s v="10:39 AM"/>
    <s v="Delayed"/>
    <s v="5 Hours 0 Minutes"/>
    <x v="0"/>
  </r>
  <r>
    <x v="277"/>
    <x v="156"/>
    <n v="20"/>
    <x v="1"/>
    <x v="8"/>
    <x v="6"/>
    <x v="6"/>
    <n v="92"/>
    <n v="65"/>
    <x v="2"/>
    <n v="10000"/>
    <n v="10030"/>
    <n v="0"/>
    <x v="1"/>
    <x v="0"/>
    <d v="2025-05-10T00:00:00"/>
    <d v="2025-06-09T00:00:00"/>
    <d v="1899-12-30T08:45:00"/>
    <d v="1899-12-30T12:39:00"/>
    <s v="A"/>
    <s v="08:45 AM"/>
    <s v="On Time"/>
    <s v="3 Hours 54 Minutes"/>
    <x v="1"/>
  </r>
  <r>
    <x v="278"/>
    <x v="54"/>
    <n v="22"/>
    <x v="1"/>
    <x v="11"/>
    <x v="5"/>
    <x v="5"/>
    <n v="86"/>
    <n v="83"/>
    <x v="1"/>
    <n v="12000"/>
    <n v="10160"/>
    <n v="4000"/>
    <x v="0"/>
    <x v="0"/>
    <d v="2025-03-21T00:00:00"/>
    <d v="2025-06-19T00:00:00"/>
    <d v="1899-12-30T08:21:00"/>
    <d v="1899-12-30T13:20:00"/>
    <s v="B"/>
    <s v="08:21 AM"/>
    <s v="On Time"/>
    <s v="4 Hours 59 Minutes"/>
    <x v="1"/>
  </r>
  <r>
    <x v="279"/>
    <x v="164"/>
    <n v="27"/>
    <x v="0"/>
    <x v="11"/>
    <x v="4"/>
    <x v="4"/>
    <n v="99"/>
    <n v="75"/>
    <x v="2"/>
    <n v="20000"/>
    <n v="20420"/>
    <n v="2000"/>
    <x v="0"/>
    <x v="0"/>
    <d v="2025-12-24T00:00:00"/>
    <d v="2026-01-23T00:00:00"/>
    <d v="1899-12-30T10:37:00"/>
    <d v="1899-12-30T13:01:00"/>
    <s v="A"/>
    <s v="10:37 AM"/>
    <s v="On Time"/>
    <s v="2 Hours 24 Minutes"/>
    <x v="0"/>
  </r>
  <r>
    <x v="280"/>
    <x v="151"/>
    <n v="22"/>
    <x v="0"/>
    <x v="0"/>
    <x v="3"/>
    <x v="3"/>
    <n v="52"/>
    <n v="93"/>
    <x v="0"/>
    <n v="20000"/>
    <n v="17830"/>
    <n v="4000"/>
    <x v="0"/>
    <x v="0"/>
    <d v="2025-05-07T00:00:00"/>
    <d v="2025-06-06T00:00:00"/>
    <d v="1899-12-30T09:20:00"/>
    <d v="1899-12-30T12:13:00"/>
    <s v="D"/>
    <s v="09:20 AM"/>
    <s v="On Time"/>
    <s v="2 Hours 53 Minutes"/>
    <x v="1"/>
  </r>
  <r>
    <x v="281"/>
    <x v="165"/>
    <n v="20"/>
    <x v="1"/>
    <x v="0"/>
    <x v="6"/>
    <x v="6"/>
    <n v="54"/>
    <n v="90"/>
    <x v="0"/>
    <n v="20000"/>
    <n v="20420"/>
    <n v="2000"/>
    <x v="0"/>
    <x v="0"/>
    <d v="2025-05-01T00:00:00"/>
    <d v="2025-10-28T00:00:00"/>
    <d v="1899-12-30T08:20:00"/>
    <d v="1899-12-30T13:02:00"/>
    <s v="D"/>
    <s v="08:20 AM"/>
    <s v="Delayed"/>
    <s v="4 Hours 42 Minutes"/>
    <x v="1"/>
  </r>
  <r>
    <x v="282"/>
    <x v="95"/>
    <n v="25"/>
    <x v="0"/>
    <x v="1"/>
    <x v="3"/>
    <x v="3"/>
    <n v="62"/>
    <n v="84"/>
    <x v="3"/>
    <n v="20000"/>
    <n v="19830"/>
    <n v="2000"/>
    <x v="0"/>
    <x v="0"/>
    <d v="2025-10-25T00:00:00"/>
    <d v="2026-02-22T00:00:00"/>
    <d v="1899-12-30T10:56:00"/>
    <d v="1899-12-30T12:53:00"/>
    <s v="C"/>
    <s v="10:56 AM"/>
    <s v="Delayed"/>
    <s v="1 Hours 57 Minutes"/>
    <x v="0"/>
  </r>
  <r>
    <x v="283"/>
    <x v="26"/>
    <n v="26"/>
    <x v="0"/>
    <x v="10"/>
    <x v="3"/>
    <x v="3"/>
    <n v="82"/>
    <n v="69"/>
    <x v="1"/>
    <n v="20000"/>
    <n v="19010"/>
    <n v="4000"/>
    <x v="0"/>
    <x v="1"/>
    <d v="2025-08-05T00:00:00"/>
    <d v="2025-09-04T00:00:00"/>
    <d v="1899-12-30T09:35:00"/>
    <d v="1899-12-30T10:38:00"/>
    <s v="B"/>
    <s v="09:35 AM"/>
    <s v="On Time"/>
    <s v="1 Hours 3 Minutes"/>
    <x v="1"/>
  </r>
  <r>
    <x v="284"/>
    <x v="166"/>
    <n v="22"/>
    <x v="0"/>
    <x v="2"/>
    <x v="5"/>
    <x v="5"/>
    <n v="45"/>
    <n v="92"/>
    <x v="0"/>
    <n v="12000"/>
    <n v="9570"/>
    <n v="4000"/>
    <x v="0"/>
    <x v="0"/>
    <d v="2025-02-05T00:00:00"/>
    <d v="2025-05-06T00:00:00"/>
    <d v="1899-12-30T10:26:00"/>
    <d v="1899-12-30T11:55:00"/>
    <s v="D"/>
    <s v="10:26 AM"/>
    <s v="On Time"/>
    <s v="1 Hours 29 Minutes"/>
    <x v="0"/>
  </r>
  <r>
    <x v="285"/>
    <x v="143"/>
    <n v="19"/>
    <x v="0"/>
    <x v="8"/>
    <x v="2"/>
    <x v="2"/>
    <n v="46"/>
    <n v="94"/>
    <x v="0"/>
    <n v="18000"/>
    <n v="19470"/>
    <n v="0"/>
    <x v="1"/>
    <x v="0"/>
    <d v="2025-11-08T00:00:00"/>
    <d v="2026-02-06T00:00:00"/>
    <d v="1899-12-30T10:52:00"/>
    <d v="1899-12-30T13:03:00"/>
    <s v="D"/>
    <s v="10:52 AM"/>
    <s v="On Time"/>
    <s v="2 Hours 11 Minutes"/>
    <x v="0"/>
  </r>
  <r>
    <x v="286"/>
    <x v="167"/>
    <n v="25"/>
    <x v="0"/>
    <x v="1"/>
    <x v="0"/>
    <x v="0"/>
    <n v="41"/>
    <n v="64"/>
    <x v="0"/>
    <n v="15000"/>
    <n v="14520"/>
    <n v="2000"/>
    <x v="0"/>
    <x v="0"/>
    <d v="2025-12-19T00:00:00"/>
    <d v="2026-04-18T00:00:00"/>
    <d v="1899-12-30T09:46:00"/>
    <d v="1899-12-30T13:02:00"/>
    <s v="D"/>
    <s v="09:46 AM"/>
    <s v="Delayed"/>
    <s v="3 Hours 16 Minutes"/>
    <x v="1"/>
  </r>
  <r>
    <x v="287"/>
    <x v="25"/>
    <n v="26"/>
    <x v="0"/>
    <x v="8"/>
    <x v="7"/>
    <x v="7"/>
    <n v="46"/>
    <n v="88"/>
    <x v="0"/>
    <n v="20000"/>
    <n v="17830"/>
    <n v="4000"/>
    <x v="0"/>
    <x v="0"/>
    <d v="2025-12-28T00:00:00"/>
    <d v="2026-03-28T00:00:00"/>
    <d v="1899-12-30T10:54:00"/>
    <d v="1899-12-30T13:05:00"/>
    <s v="D"/>
    <s v="10:54 AM"/>
    <s v="On Time"/>
    <s v="2 Hours 11 Minutes"/>
    <x v="0"/>
  </r>
  <r>
    <x v="288"/>
    <x v="144"/>
    <n v="22"/>
    <x v="1"/>
    <x v="8"/>
    <x v="5"/>
    <x v="5"/>
    <n v="87"/>
    <n v="72"/>
    <x v="1"/>
    <n v="10000"/>
    <n v="6030"/>
    <n v="4000"/>
    <x v="0"/>
    <x v="0"/>
    <d v="2025-01-16T00:00:00"/>
    <d v="2025-05-16T00:00:00"/>
    <d v="1899-12-30T08:31:00"/>
    <d v="1899-12-30T12:00:00"/>
    <s v="B"/>
    <s v="08:31 AM"/>
    <s v="Delayed"/>
    <s v="3 Hours 29 Minutes"/>
    <x v="1"/>
  </r>
  <r>
    <x v="289"/>
    <x v="114"/>
    <n v="28"/>
    <x v="0"/>
    <x v="8"/>
    <x v="5"/>
    <x v="5"/>
    <n v="99"/>
    <n v="86"/>
    <x v="2"/>
    <n v="15000"/>
    <n v="13110"/>
    <n v="4000"/>
    <x v="0"/>
    <x v="0"/>
    <d v="2025-02-15T00:00:00"/>
    <d v="2025-06-15T00:00:00"/>
    <d v="1899-12-30T10:18:00"/>
    <d v="1899-12-30T15:12:00"/>
    <s v="A"/>
    <s v="10:18 AM"/>
    <s v="Delayed"/>
    <s v="4 Hours 54 Minutes"/>
    <x v="0"/>
  </r>
  <r>
    <x v="290"/>
    <x v="152"/>
    <n v="27"/>
    <x v="0"/>
    <x v="6"/>
    <x v="1"/>
    <x v="1"/>
    <n v="46"/>
    <n v="70"/>
    <x v="0"/>
    <n v="12000"/>
    <n v="9570"/>
    <n v="4000"/>
    <x v="0"/>
    <x v="0"/>
    <d v="2025-02-22T00:00:00"/>
    <d v="2025-06-22T00:00:00"/>
    <d v="1899-12-30T08:28:00"/>
    <d v="1899-12-30T10:33:00"/>
    <s v="D"/>
    <s v="08:28 AM"/>
    <s v="Delayed"/>
    <s v="2 Hours 5 Minutes"/>
    <x v="1"/>
  </r>
  <r>
    <x v="291"/>
    <x v="90"/>
    <n v="23"/>
    <x v="1"/>
    <x v="3"/>
    <x v="6"/>
    <x v="6"/>
    <n v="61"/>
    <n v="76"/>
    <x v="3"/>
    <n v="18000"/>
    <n v="15470"/>
    <n v="4000"/>
    <x v="0"/>
    <x v="0"/>
    <d v="2025-02-08T00:00:00"/>
    <d v="2025-08-07T00:00:00"/>
    <d v="1899-12-30T10:19:00"/>
    <d v="1899-12-30T11:22:00"/>
    <s v="C"/>
    <s v="10:19 AM"/>
    <s v="Delayed"/>
    <s v="1 Hours 3 Minutes"/>
    <x v="0"/>
  </r>
  <r>
    <x v="292"/>
    <x v="144"/>
    <n v="26"/>
    <x v="1"/>
    <x v="6"/>
    <x v="6"/>
    <x v="6"/>
    <n v="79"/>
    <n v="61"/>
    <x v="1"/>
    <n v="18000"/>
    <n v="20060"/>
    <n v="0"/>
    <x v="1"/>
    <x v="0"/>
    <d v="2025-04-14T00:00:00"/>
    <d v="2025-08-12T00:00:00"/>
    <d v="1899-12-30T10:44:00"/>
    <d v="1899-12-30T15:07:00"/>
    <s v="B"/>
    <s v="10:44 AM"/>
    <s v="Delayed"/>
    <s v="4 Hours 23 Minutes"/>
    <x v="0"/>
  </r>
  <r>
    <x v="293"/>
    <x v="168"/>
    <n v="23"/>
    <x v="0"/>
    <x v="7"/>
    <x v="4"/>
    <x v="4"/>
    <n v="59"/>
    <n v="95"/>
    <x v="0"/>
    <n v="10000"/>
    <n v="6030"/>
    <n v="4000"/>
    <x v="0"/>
    <x v="0"/>
    <d v="2025-09-01T00:00:00"/>
    <d v="2025-12-30T00:00:00"/>
    <d v="1899-12-30T08:52:00"/>
    <d v="1899-12-30T10:06:00"/>
    <s v="D"/>
    <s v="08:52 AM"/>
    <s v="Delayed"/>
    <s v="1 Hours 14 Minutes"/>
    <x v="1"/>
  </r>
  <r>
    <x v="294"/>
    <x v="35"/>
    <n v="28"/>
    <x v="1"/>
    <x v="10"/>
    <x v="6"/>
    <x v="6"/>
    <n v="88"/>
    <n v="75"/>
    <x v="1"/>
    <n v="10000"/>
    <n v="9800"/>
    <n v="2000"/>
    <x v="0"/>
    <x v="0"/>
    <d v="2025-10-03T00:00:00"/>
    <d v="2026-01-01T00:00:00"/>
    <d v="1899-12-30T09:33:00"/>
    <d v="1899-12-30T12:12:00"/>
    <s v="B"/>
    <s v="09:33 AM"/>
    <s v="On Time"/>
    <s v="2 Hours 39 Minutes"/>
    <x v="1"/>
  </r>
  <r>
    <x v="295"/>
    <x v="136"/>
    <n v="25"/>
    <x v="0"/>
    <x v="9"/>
    <x v="4"/>
    <x v="4"/>
    <n v="74"/>
    <n v="95"/>
    <x v="3"/>
    <n v="18000"/>
    <n v="15470"/>
    <n v="4000"/>
    <x v="0"/>
    <x v="0"/>
    <d v="2025-06-17T00:00:00"/>
    <d v="2025-08-16T00:00:00"/>
    <d v="1899-12-30T08:11:00"/>
    <d v="1899-12-30T12:21:00"/>
    <s v="C"/>
    <s v="08:11 AM"/>
    <s v="On Time"/>
    <s v="4 Hours 10 Minutes"/>
    <x v="1"/>
  </r>
  <r>
    <x v="296"/>
    <x v="48"/>
    <n v="28"/>
    <x v="0"/>
    <x v="0"/>
    <x v="5"/>
    <x v="5"/>
    <n v="65"/>
    <n v="96"/>
    <x v="3"/>
    <n v="18000"/>
    <n v="17240"/>
    <n v="4000"/>
    <x v="0"/>
    <x v="0"/>
    <d v="2025-04-01T00:00:00"/>
    <d v="2025-07-30T00:00:00"/>
    <d v="1899-12-30T10:03:00"/>
    <d v="1899-12-30T14:41:00"/>
    <s v="C"/>
    <s v="10:03 AM"/>
    <s v="Delayed"/>
    <s v="4 Hours 38 Minutes"/>
    <x v="0"/>
  </r>
  <r>
    <x v="297"/>
    <x v="66"/>
    <n v="18"/>
    <x v="0"/>
    <x v="11"/>
    <x v="3"/>
    <x v="3"/>
    <n v="94"/>
    <n v="76"/>
    <x v="2"/>
    <n v="20000"/>
    <n v="19830"/>
    <n v="2000"/>
    <x v="0"/>
    <x v="0"/>
    <d v="2025-05-15T00:00:00"/>
    <d v="2025-08-13T00:00:00"/>
    <d v="1899-12-30T10:39:00"/>
    <d v="1899-12-30T12:58:00"/>
    <s v="A"/>
    <s v="10:39 AM"/>
    <s v="On Time"/>
    <s v="2 Hours 19 Minutes"/>
    <x v="0"/>
  </r>
  <r>
    <x v="298"/>
    <x v="115"/>
    <n v="24"/>
    <x v="1"/>
    <x v="0"/>
    <x v="4"/>
    <x v="4"/>
    <n v="48"/>
    <n v="93"/>
    <x v="0"/>
    <n v="12000"/>
    <n v="8390"/>
    <n v="4000"/>
    <x v="0"/>
    <x v="0"/>
    <d v="2025-01-13T00:00:00"/>
    <d v="2025-04-13T00:00:00"/>
    <d v="1899-12-30T10:20:00"/>
    <d v="1899-12-30T13:14:00"/>
    <s v="D"/>
    <s v="10:20 AM"/>
    <s v="On Time"/>
    <s v="2 Hours 54 Minutes"/>
    <x v="0"/>
  </r>
  <r>
    <x v="299"/>
    <x v="165"/>
    <n v="22"/>
    <x v="1"/>
    <x v="6"/>
    <x v="7"/>
    <x v="7"/>
    <n v="78"/>
    <n v="72"/>
    <x v="1"/>
    <n v="10000"/>
    <n v="7800"/>
    <n v="4000"/>
    <x v="0"/>
    <x v="0"/>
    <d v="2025-11-11T00:00:00"/>
    <d v="2026-02-09T00:00:00"/>
    <d v="1899-12-30T10:07:00"/>
    <d v="1899-12-30T12:26:00"/>
    <s v="B"/>
    <s v="10:07 AM"/>
    <s v="On Time"/>
    <s v="2 Hours 19 Minutes"/>
    <x v="0"/>
  </r>
  <r>
    <x v="300"/>
    <x v="169"/>
    <n v="24"/>
    <x v="1"/>
    <x v="0"/>
    <x v="3"/>
    <x v="3"/>
    <n v="49"/>
    <n v="63"/>
    <x v="0"/>
    <n v="20000"/>
    <n v="17830"/>
    <n v="4000"/>
    <x v="0"/>
    <x v="0"/>
    <d v="2025-11-04T00:00:00"/>
    <d v="2025-12-04T00:00:00"/>
    <d v="1899-12-30T08:36:00"/>
    <d v="1899-12-30T12:54:00"/>
    <s v="D"/>
    <s v="08:36 AM"/>
    <s v="On Time"/>
    <s v="4 Hours 18 Minutes"/>
    <x v="1"/>
  </r>
  <r>
    <x v="301"/>
    <x v="170"/>
    <n v="23"/>
    <x v="0"/>
    <x v="0"/>
    <x v="7"/>
    <x v="7"/>
    <n v="38"/>
    <n v="86"/>
    <x v="0"/>
    <n v="10000"/>
    <n v="10030"/>
    <n v="0"/>
    <x v="1"/>
    <x v="0"/>
    <d v="2025-01-22T00:00:00"/>
    <d v="2025-03-23T00:00:00"/>
    <d v="1899-12-30T10:48:00"/>
    <d v="1899-12-30T15:44:00"/>
    <s v="D"/>
    <s v="10:48 AM"/>
    <s v="On Time"/>
    <s v="4 Hours 56 Minutes"/>
    <x v="0"/>
  </r>
  <r>
    <x v="302"/>
    <x v="42"/>
    <n v="19"/>
    <x v="1"/>
    <x v="3"/>
    <x v="3"/>
    <x v="3"/>
    <n v="65"/>
    <n v="72"/>
    <x v="3"/>
    <n v="12000"/>
    <n v="12980"/>
    <n v="0"/>
    <x v="1"/>
    <x v="0"/>
    <d v="2025-11-08T00:00:00"/>
    <d v="2025-12-08T00:00:00"/>
    <d v="1899-12-30T09:02:00"/>
    <d v="1899-12-30T11:10:00"/>
    <s v="C"/>
    <s v="09:02 AM"/>
    <s v="On Time"/>
    <s v="2 Hours 8 Minutes"/>
    <x v="1"/>
  </r>
  <r>
    <x v="303"/>
    <x v="135"/>
    <n v="27"/>
    <x v="0"/>
    <x v="7"/>
    <x v="5"/>
    <x v="5"/>
    <n v="47"/>
    <n v="73"/>
    <x v="0"/>
    <n v="10000"/>
    <n v="9210"/>
    <n v="2000"/>
    <x v="0"/>
    <x v="0"/>
    <d v="2025-09-25T00:00:00"/>
    <d v="2025-12-24T00:00:00"/>
    <d v="1899-12-30T10:31:00"/>
    <d v="1899-12-30T12:48:00"/>
    <s v="D"/>
    <s v="10:31 AM"/>
    <s v="On Time"/>
    <s v="2 Hours 17 Minutes"/>
    <x v="0"/>
  </r>
  <r>
    <x v="304"/>
    <x v="92"/>
    <n v="25"/>
    <x v="1"/>
    <x v="10"/>
    <x v="3"/>
    <x v="3"/>
    <n v="56"/>
    <n v="89"/>
    <x v="0"/>
    <n v="18000"/>
    <n v="18650"/>
    <n v="2000"/>
    <x v="0"/>
    <x v="0"/>
    <d v="2025-01-22T00:00:00"/>
    <d v="2025-03-23T00:00:00"/>
    <d v="1899-12-30T08:07:00"/>
    <d v="1899-12-30T11:19:00"/>
    <s v="D"/>
    <s v="08:07 AM"/>
    <s v="On Time"/>
    <s v="3 Hours 12 Minutes"/>
    <x v="1"/>
  </r>
  <r>
    <x v="305"/>
    <x v="134"/>
    <n v="27"/>
    <x v="1"/>
    <x v="8"/>
    <x v="7"/>
    <x v="7"/>
    <n v="100"/>
    <n v="93"/>
    <x v="2"/>
    <n v="18000"/>
    <n v="19470"/>
    <n v="0"/>
    <x v="1"/>
    <x v="0"/>
    <d v="2025-07-08T00:00:00"/>
    <d v="2025-08-07T00:00:00"/>
    <d v="1899-12-30T08:24:00"/>
    <d v="1899-12-30T13:09:00"/>
    <s v="A"/>
    <s v="08:24 AM"/>
    <s v="On Time"/>
    <s v="4 Hours 45 Minutes"/>
    <x v="1"/>
  </r>
  <r>
    <x v="306"/>
    <x v="171"/>
    <n v="23"/>
    <x v="1"/>
    <x v="7"/>
    <x v="0"/>
    <x v="0"/>
    <n v="100"/>
    <n v="98"/>
    <x v="2"/>
    <n v="15000"/>
    <n v="17110"/>
    <n v="0"/>
    <x v="1"/>
    <x v="0"/>
    <d v="2025-01-30T00:00:00"/>
    <d v="2025-07-29T00:00:00"/>
    <d v="1899-12-30T08:37:00"/>
    <d v="1899-12-30T10:11:00"/>
    <s v="A"/>
    <s v="08:37 AM"/>
    <s v="Delayed"/>
    <s v="1 Hours 34 Minutes"/>
    <x v="1"/>
  </r>
  <r>
    <x v="307"/>
    <x v="172"/>
    <n v="18"/>
    <x v="1"/>
    <x v="2"/>
    <x v="3"/>
    <x v="3"/>
    <n v="91"/>
    <n v="93"/>
    <x v="2"/>
    <n v="20000"/>
    <n v="22420"/>
    <n v="0"/>
    <x v="1"/>
    <x v="0"/>
    <d v="2025-11-22T00:00:00"/>
    <d v="2026-02-20T00:00:00"/>
    <d v="1899-12-30T10:15:00"/>
    <d v="1899-12-30T11:56:00"/>
    <s v="A"/>
    <s v="10:15 AM"/>
    <s v="On Time"/>
    <s v="1 Hours 41 Minutes"/>
    <x v="0"/>
  </r>
  <r>
    <x v="308"/>
    <x v="102"/>
    <n v="20"/>
    <x v="0"/>
    <x v="6"/>
    <x v="7"/>
    <x v="7"/>
    <n v="47"/>
    <n v="88"/>
    <x v="0"/>
    <n v="12000"/>
    <n v="8980"/>
    <n v="4000"/>
    <x v="0"/>
    <x v="0"/>
    <d v="2025-04-12T00:00:00"/>
    <d v="2025-06-11T00:00:00"/>
    <d v="1899-12-30T10:04:00"/>
    <d v="1899-12-30T12:06:00"/>
    <s v="D"/>
    <s v="10:04 AM"/>
    <s v="On Time"/>
    <s v="2 Hours 2 Minutes"/>
    <x v="0"/>
  </r>
  <r>
    <x v="309"/>
    <x v="173"/>
    <n v="26"/>
    <x v="0"/>
    <x v="3"/>
    <x v="1"/>
    <x v="1"/>
    <n v="85"/>
    <n v="100"/>
    <x v="1"/>
    <n v="10000"/>
    <n v="10030"/>
    <n v="0"/>
    <x v="1"/>
    <x v="0"/>
    <d v="2025-04-01T00:00:00"/>
    <d v="2025-09-28T00:00:00"/>
    <d v="1899-12-30T09:08:00"/>
    <d v="1899-12-30T13:34:00"/>
    <s v="B"/>
    <s v="09:08 AM"/>
    <s v="Delayed"/>
    <s v="4 Hours 26 Minutes"/>
    <x v="1"/>
  </r>
  <r>
    <x v="310"/>
    <x v="174"/>
    <n v="22"/>
    <x v="0"/>
    <x v="4"/>
    <x v="0"/>
    <x v="0"/>
    <n v="65"/>
    <n v="73"/>
    <x v="3"/>
    <n v="12000"/>
    <n v="9570"/>
    <n v="4000"/>
    <x v="0"/>
    <x v="0"/>
    <d v="2025-02-09T00:00:00"/>
    <d v="2025-08-08T00:00:00"/>
    <d v="1899-12-30T08:47:00"/>
    <d v="1899-12-30T10:01:00"/>
    <s v="C"/>
    <s v="08:47 AM"/>
    <s v="Delayed"/>
    <s v="1 Hours 14 Minutes"/>
    <x v="1"/>
  </r>
  <r>
    <x v="311"/>
    <x v="92"/>
    <n v="24"/>
    <x v="0"/>
    <x v="6"/>
    <x v="3"/>
    <x v="3"/>
    <n v="73"/>
    <n v="88"/>
    <x v="3"/>
    <n v="12000"/>
    <n v="11570"/>
    <n v="2000"/>
    <x v="0"/>
    <x v="0"/>
    <d v="2025-04-01T00:00:00"/>
    <d v="2025-09-28T00:00:00"/>
    <d v="1899-12-30T09:38:00"/>
    <d v="1899-12-30T10:49:00"/>
    <s v="C"/>
    <s v="09:38 AM"/>
    <s v="Delayed"/>
    <s v="1 Hours 11 Minutes"/>
    <x v="1"/>
  </r>
  <r>
    <x v="312"/>
    <x v="27"/>
    <n v="18"/>
    <x v="1"/>
    <x v="1"/>
    <x v="2"/>
    <x v="2"/>
    <n v="58"/>
    <n v="65"/>
    <x v="0"/>
    <n v="20000"/>
    <n v="17830"/>
    <n v="4000"/>
    <x v="0"/>
    <x v="0"/>
    <d v="2025-02-20T00:00:00"/>
    <d v="2025-03-22T00:00:00"/>
    <d v="1899-12-30T09:52:00"/>
    <d v="1899-12-30T12:10:00"/>
    <s v="D"/>
    <s v="09:52 AM"/>
    <s v="On Time"/>
    <s v="2 Hours 18 Minutes"/>
    <x v="1"/>
  </r>
  <r>
    <x v="313"/>
    <x v="161"/>
    <n v="20"/>
    <x v="1"/>
    <x v="5"/>
    <x v="3"/>
    <x v="3"/>
    <n v="58"/>
    <n v="87"/>
    <x v="0"/>
    <n v="15000"/>
    <n v="15700"/>
    <n v="2000"/>
    <x v="0"/>
    <x v="0"/>
    <d v="2025-10-28T00:00:00"/>
    <d v="2026-04-26T00:00:00"/>
    <d v="1899-12-30T10:51:00"/>
    <d v="1899-12-30T14:03:00"/>
    <s v="D"/>
    <s v="10:51 AM"/>
    <s v="Delayed"/>
    <s v="3 Hours 12 Minutes"/>
    <x v="0"/>
  </r>
  <r>
    <x v="314"/>
    <x v="175"/>
    <n v="21"/>
    <x v="1"/>
    <x v="3"/>
    <x v="1"/>
    <x v="1"/>
    <n v="58"/>
    <n v="66"/>
    <x v="0"/>
    <n v="18000"/>
    <n v="18650"/>
    <n v="2000"/>
    <x v="0"/>
    <x v="1"/>
    <d v="2025-02-02T00:00:00"/>
    <d v="2025-08-01T00:00:00"/>
    <d v="1899-12-30T09:44:00"/>
    <d v="1899-12-30T10:49:00"/>
    <s v="D"/>
    <s v="09:44 AM"/>
    <s v="Delayed"/>
    <s v="1 Hours 5 Minutes"/>
    <x v="1"/>
  </r>
  <r>
    <x v="315"/>
    <x v="174"/>
    <n v="23"/>
    <x v="1"/>
    <x v="0"/>
    <x v="7"/>
    <x v="7"/>
    <n v="42"/>
    <n v="84"/>
    <x v="0"/>
    <n v="10000"/>
    <n v="11800"/>
    <n v="0"/>
    <x v="1"/>
    <x v="0"/>
    <d v="2025-12-30T00:00:00"/>
    <d v="2026-03-30T00:00:00"/>
    <d v="1899-12-30T08:17:00"/>
    <d v="1899-12-30T12:40:00"/>
    <s v="D"/>
    <s v="08:17 AM"/>
    <s v="On Time"/>
    <s v="4 Hours 23 Minutes"/>
    <x v="1"/>
  </r>
  <r>
    <x v="316"/>
    <x v="131"/>
    <n v="28"/>
    <x v="0"/>
    <x v="5"/>
    <x v="3"/>
    <x v="3"/>
    <n v="94"/>
    <n v="93"/>
    <x v="2"/>
    <n v="12000"/>
    <n v="10980"/>
    <n v="2000"/>
    <x v="0"/>
    <x v="0"/>
    <d v="2025-07-20T00:00:00"/>
    <d v="2025-09-18T00:00:00"/>
    <d v="1899-12-30T08:22:00"/>
    <d v="1899-12-30T12:49:00"/>
    <s v="A"/>
    <s v="08:22 AM"/>
    <s v="On Time"/>
    <s v="4 Hours 27 Minutes"/>
    <x v="1"/>
  </r>
  <r>
    <x v="317"/>
    <x v="84"/>
    <n v="22"/>
    <x v="0"/>
    <x v="5"/>
    <x v="4"/>
    <x v="4"/>
    <n v="72"/>
    <n v="64"/>
    <x v="3"/>
    <n v="12000"/>
    <n v="10390"/>
    <n v="2000"/>
    <x v="0"/>
    <x v="0"/>
    <d v="2025-08-05T00:00:00"/>
    <d v="2025-12-03T00:00:00"/>
    <d v="1899-12-30T10:43:00"/>
    <d v="1899-12-30T12:30:00"/>
    <s v="C"/>
    <s v="10:43 AM"/>
    <s v="Delayed"/>
    <s v="1 Hours 47 Minutes"/>
    <x v="0"/>
  </r>
  <r>
    <x v="318"/>
    <x v="69"/>
    <n v="25"/>
    <x v="0"/>
    <x v="7"/>
    <x v="1"/>
    <x v="1"/>
    <n v="51"/>
    <n v="67"/>
    <x v="0"/>
    <n v="20000"/>
    <n v="19600"/>
    <n v="4000"/>
    <x v="0"/>
    <x v="0"/>
    <d v="2025-10-14T00:00:00"/>
    <d v="2026-04-12T00:00:00"/>
    <d v="1899-12-30T08:09:00"/>
    <d v="1899-12-30T10:16:00"/>
    <s v="D"/>
    <s v="08:09 AM"/>
    <s v="Delayed"/>
    <s v="2 Hours 7 Minutes"/>
    <x v="1"/>
  </r>
  <r>
    <x v="319"/>
    <x v="141"/>
    <n v="23"/>
    <x v="0"/>
    <x v="3"/>
    <x v="2"/>
    <x v="2"/>
    <n v="98"/>
    <n v="70"/>
    <x v="2"/>
    <n v="20000"/>
    <n v="19830"/>
    <n v="2000"/>
    <x v="0"/>
    <x v="0"/>
    <d v="2025-09-12T00:00:00"/>
    <d v="2026-03-11T00:00:00"/>
    <d v="1899-12-30T10:29:00"/>
    <d v="1899-12-30T14:44:00"/>
    <s v="A"/>
    <s v="10:29 AM"/>
    <s v="Delayed"/>
    <s v="4 Hours 15 Minutes"/>
    <x v="0"/>
  </r>
  <r>
    <x v="320"/>
    <x v="131"/>
    <n v="19"/>
    <x v="0"/>
    <x v="0"/>
    <x v="3"/>
    <x v="3"/>
    <n v="49"/>
    <n v="92"/>
    <x v="0"/>
    <n v="12000"/>
    <n v="10980"/>
    <n v="2000"/>
    <x v="0"/>
    <x v="0"/>
    <d v="2025-01-13T00:00:00"/>
    <d v="2025-03-14T00:00:00"/>
    <d v="1899-12-30T10:04:00"/>
    <d v="1899-12-30T11:04:00"/>
    <s v="D"/>
    <s v="10:04 AM"/>
    <s v="On Time"/>
    <s v="1 Hours 0 Minutes"/>
    <x v="0"/>
  </r>
  <r>
    <x v="321"/>
    <x v="88"/>
    <n v="22"/>
    <x v="1"/>
    <x v="9"/>
    <x v="6"/>
    <x v="6"/>
    <n v="95"/>
    <n v="76"/>
    <x v="2"/>
    <n v="12000"/>
    <n v="10390"/>
    <n v="2000"/>
    <x v="0"/>
    <x v="0"/>
    <d v="2025-03-29T00:00:00"/>
    <d v="2025-05-28T00:00:00"/>
    <d v="1899-12-30T10:39:00"/>
    <d v="1899-12-30T12:29:00"/>
    <s v="A"/>
    <s v="10:39 AM"/>
    <s v="On Time"/>
    <s v="1 Hours 50 Minutes"/>
    <x v="0"/>
  </r>
  <r>
    <x v="322"/>
    <x v="106"/>
    <n v="20"/>
    <x v="1"/>
    <x v="11"/>
    <x v="5"/>
    <x v="5"/>
    <n v="92"/>
    <n v="67"/>
    <x v="2"/>
    <n v="18000"/>
    <n v="17240"/>
    <n v="4000"/>
    <x v="0"/>
    <x v="0"/>
    <d v="2025-09-22T00:00:00"/>
    <d v="2026-03-21T00:00:00"/>
    <d v="1899-12-30T09:28:00"/>
    <d v="1899-12-30T14:07:00"/>
    <s v="A"/>
    <s v="09:28 AM"/>
    <s v="Delayed"/>
    <s v="4 Hours 39 Minutes"/>
    <x v="1"/>
  </r>
  <r>
    <x v="323"/>
    <x v="146"/>
    <n v="18"/>
    <x v="0"/>
    <x v="4"/>
    <x v="3"/>
    <x v="3"/>
    <n v="100"/>
    <n v="95"/>
    <x v="2"/>
    <n v="20000"/>
    <n v="18420"/>
    <n v="4000"/>
    <x v="0"/>
    <x v="0"/>
    <d v="2025-10-14T00:00:00"/>
    <d v="2026-04-12T00:00:00"/>
    <d v="1899-12-30T08:17:00"/>
    <d v="1899-12-30T12:40:00"/>
    <s v="A"/>
    <s v="08:17 AM"/>
    <s v="Delayed"/>
    <s v="4 Hours 23 Minutes"/>
    <x v="1"/>
  </r>
  <r>
    <x v="324"/>
    <x v="36"/>
    <n v="22"/>
    <x v="0"/>
    <x v="1"/>
    <x v="5"/>
    <x v="5"/>
    <n v="72"/>
    <n v="91"/>
    <x v="3"/>
    <n v="12000"/>
    <n v="12160"/>
    <n v="2000"/>
    <x v="0"/>
    <x v="0"/>
    <d v="2025-01-13T00:00:00"/>
    <d v="2025-07-12T00:00:00"/>
    <d v="1899-12-30T08:00:00"/>
    <d v="1899-12-30T10:30:00"/>
    <s v="C"/>
    <s v="08:00 AM"/>
    <s v="Delayed"/>
    <s v="2 Hours 30 Minutes"/>
    <x v="1"/>
  </r>
  <r>
    <x v="325"/>
    <x v="176"/>
    <n v="27"/>
    <x v="0"/>
    <x v="9"/>
    <x v="2"/>
    <x v="2"/>
    <n v="37"/>
    <n v="81"/>
    <x v="0"/>
    <n v="20000"/>
    <n v="22420"/>
    <n v="0"/>
    <x v="1"/>
    <x v="1"/>
    <d v="2025-07-25T00:00:00"/>
    <d v="2026-01-21T00:00:00"/>
    <d v="1899-12-30T09:59:00"/>
    <d v="1899-12-30T14:11:00"/>
    <s v="D"/>
    <s v="09:59 AM"/>
    <s v="Delayed"/>
    <s v="4 Hours 12 Minutes"/>
    <x v="1"/>
  </r>
  <r>
    <x v="326"/>
    <x v="52"/>
    <n v="24"/>
    <x v="1"/>
    <x v="3"/>
    <x v="5"/>
    <x v="5"/>
    <n v="38"/>
    <n v="95"/>
    <x v="0"/>
    <n v="18000"/>
    <n v="19470"/>
    <n v="0"/>
    <x v="1"/>
    <x v="0"/>
    <d v="2025-04-24T00:00:00"/>
    <d v="2025-05-24T00:00:00"/>
    <d v="1899-12-30T10:29:00"/>
    <d v="1899-12-30T13:12:00"/>
    <s v="D"/>
    <s v="10:29 AM"/>
    <s v="On Time"/>
    <s v="2 Hours 43 Minutes"/>
    <x v="0"/>
  </r>
  <r>
    <x v="327"/>
    <x v="153"/>
    <n v="27"/>
    <x v="1"/>
    <x v="11"/>
    <x v="3"/>
    <x v="3"/>
    <n v="36"/>
    <n v="75"/>
    <x v="0"/>
    <n v="10000"/>
    <n v="10620"/>
    <n v="0"/>
    <x v="1"/>
    <x v="0"/>
    <d v="2025-06-10T00:00:00"/>
    <d v="2025-08-09T00:00:00"/>
    <d v="1899-12-30T10:53:00"/>
    <d v="1899-12-30T12:21:00"/>
    <s v="D"/>
    <s v="10:53 AM"/>
    <s v="On Time"/>
    <s v="1 Hours 28 Minutes"/>
    <x v="0"/>
  </r>
  <r>
    <x v="328"/>
    <x v="177"/>
    <n v="18"/>
    <x v="0"/>
    <x v="0"/>
    <x v="7"/>
    <x v="7"/>
    <n v="77"/>
    <n v="72"/>
    <x v="1"/>
    <n v="10000"/>
    <n v="10030"/>
    <n v="0"/>
    <x v="1"/>
    <x v="0"/>
    <d v="2025-01-20T00:00:00"/>
    <d v="2025-03-21T00:00:00"/>
    <d v="1899-12-30T10:07:00"/>
    <d v="1899-12-30T14:41:00"/>
    <s v="B"/>
    <s v="10:07 AM"/>
    <s v="On Time"/>
    <s v="4 Hours 34 Minutes"/>
    <x v="0"/>
  </r>
  <r>
    <x v="329"/>
    <x v="104"/>
    <n v="19"/>
    <x v="0"/>
    <x v="3"/>
    <x v="1"/>
    <x v="1"/>
    <n v="82"/>
    <n v="83"/>
    <x v="1"/>
    <n v="15000"/>
    <n v="11930"/>
    <n v="4000"/>
    <x v="0"/>
    <x v="0"/>
    <d v="2025-10-03T00:00:00"/>
    <d v="2025-11-02T00:00:00"/>
    <d v="1899-12-30T09:02:00"/>
    <d v="1899-12-30T12:33:00"/>
    <s v="B"/>
    <s v="09:02 AM"/>
    <s v="On Time"/>
    <s v="3 Hours 31 Minutes"/>
    <x v="1"/>
  </r>
  <r>
    <x v="330"/>
    <x v="131"/>
    <n v="18"/>
    <x v="1"/>
    <x v="8"/>
    <x v="7"/>
    <x v="7"/>
    <n v="43"/>
    <n v="71"/>
    <x v="0"/>
    <n v="12000"/>
    <n v="12390"/>
    <n v="0"/>
    <x v="1"/>
    <x v="0"/>
    <d v="2025-06-01T00:00:00"/>
    <d v="2025-07-31T00:00:00"/>
    <d v="1899-12-30T09:26:00"/>
    <d v="1899-12-30T13:02:00"/>
    <s v="D"/>
    <s v="09:26 AM"/>
    <s v="On Time"/>
    <s v="3 Hours 36 Minutes"/>
    <x v="1"/>
  </r>
  <r>
    <x v="331"/>
    <x v="177"/>
    <n v="23"/>
    <x v="0"/>
    <x v="3"/>
    <x v="5"/>
    <x v="5"/>
    <n v="46"/>
    <n v="90"/>
    <x v="0"/>
    <n v="15000"/>
    <n v="15930"/>
    <n v="0"/>
    <x v="1"/>
    <x v="0"/>
    <d v="2025-07-23T00:00:00"/>
    <d v="2025-09-21T00:00:00"/>
    <d v="1899-12-30T08:40:00"/>
    <d v="1899-12-30T10:35:00"/>
    <s v="D"/>
    <s v="08:40 AM"/>
    <s v="On Time"/>
    <s v="1 Hours 55 Minutes"/>
    <x v="1"/>
  </r>
  <r>
    <x v="332"/>
    <x v="43"/>
    <n v="23"/>
    <x v="1"/>
    <x v="1"/>
    <x v="1"/>
    <x v="1"/>
    <n v="74"/>
    <n v="95"/>
    <x v="3"/>
    <n v="12000"/>
    <n v="9570"/>
    <n v="4000"/>
    <x v="0"/>
    <x v="0"/>
    <d v="2025-09-12T00:00:00"/>
    <d v="2025-12-11T00:00:00"/>
    <d v="1899-12-30T10:24:00"/>
    <d v="1899-12-30T11:39:00"/>
    <s v="C"/>
    <s v="10:24 AM"/>
    <s v="On Time"/>
    <s v="1 Hours 15 Minutes"/>
    <x v="0"/>
  </r>
  <r>
    <x v="333"/>
    <x v="128"/>
    <n v="23"/>
    <x v="1"/>
    <x v="9"/>
    <x v="6"/>
    <x v="6"/>
    <n v="52"/>
    <n v="92"/>
    <x v="0"/>
    <n v="15000"/>
    <n v="11930"/>
    <n v="4000"/>
    <x v="0"/>
    <x v="0"/>
    <d v="2025-02-21T00:00:00"/>
    <d v="2025-04-22T00:00:00"/>
    <d v="1899-12-30T10:55:00"/>
    <d v="1899-12-30T15:00:00"/>
    <s v="D"/>
    <s v="10:55 AM"/>
    <s v="On Time"/>
    <s v="4 Hours 5 Minutes"/>
    <x v="0"/>
  </r>
  <r>
    <x v="334"/>
    <x v="137"/>
    <n v="18"/>
    <x v="1"/>
    <x v="9"/>
    <x v="6"/>
    <x v="6"/>
    <n v="93"/>
    <n v="95"/>
    <x v="2"/>
    <n v="10000"/>
    <n v="8030"/>
    <n v="2000"/>
    <x v="0"/>
    <x v="0"/>
    <d v="2025-07-18T00:00:00"/>
    <d v="2025-09-16T00:00:00"/>
    <d v="1899-12-30T08:57:00"/>
    <d v="1899-12-30T10:26:00"/>
    <s v="A"/>
    <s v="08:57 AM"/>
    <s v="On Time"/>
    <s v="1 Hours 29 Minutes"/>
    <x v="1"/>
  </r>
  <r>
    <x v="335"/>
    <x v="144"/>
    <n v="21"/>
    <x v="1"/>
    <x v="4"/>
    <x v="5"/>
    <x v="5"/>
    <n v="72"/>
    <n v="93"/>
    <x v="3"/>
    <n v="10000"/>
    <n v="11800"/>
    <n v="0"/>
    <x v="1"/>
    <x v="0"/>
    <d v="2025-08-20T00:00:00"/>
    <d v="2025-10-19T00:00:00"/>
    <d v="1899-12-30T10:34:00"/>
    <d v="1899-12-30T15:23:00"/>
    <s v="C"/>
    <s v="10:34 AM"/>
    <s v="On Time"/>
    <s v="4 Hours 49 Minutes"/>
    <x v="0"/>
  </r>
  <r>
    <x v="336"/>
    <x v="178"/>
    <n v="25"/>
    <x v="1"/>
    <x v="9"/>
    <x v="2"/>
    <x v="2"/>
    <n v="56"/>
    <n v="84"/>
    <x v="0"/>
    <n v="20000"/>
    <n v="23010"/>
    <n v="0"/>
    <x v="1"/>
    <x v="0"/>
    <d v="2025-03-11T00:00:00"/>
    <d v="2025-05-10T00:00:00"/>
    <d v="1899-12-30T09:40:00"/>
    <d v="1899-12-30T11:19:00"/>
    <s v="D"/>
    <s v="09:40 AM"/>
    <s v="On Time"/>
    <s v="1 Hours 39 Minutes"/>
    <x v="1"/>
  </r>
  <r>
    <x v="337"/>
    <x v="48"/>
    <n v="28"/>
    <x v="1"/>
    <x v="11"/>
    <x v="0"/>
    <x v="0"/>
    <n v="45"/>
    <n v="92"/>
    <x v="0"/>
    <n v="15000"/>
    <n v="16520"/>
    <n v="0"/>
    <x v="1"/>
    <x v="0"/>
    <d v="2025-08-23T00:00:00"/>
    <d v="2025-09-22T00:00:00"/>
    <d v="1899-12-30T10:00:00"/>
    <d v="1899-12-30T14:01:00"/>
    <s v="D"/>
    <s v="10:00 AM"/>
    <s v="On Time"/>
    <s v="4 Hours 1 Minutes"/>
    <x v="1"/>
  </r>
  <r>
    <x v="338"/>
    <x v="22"/>
    <n v="24"/>
    <x v="1"/>
    <x v="3"/>
    <x v="4"/>
    <x v="4"/>
    <n v="66"/>
    <n v="94"/>
    <x v="3"/>
    <n v="10000"/>
    <n v="8030"/>
    <n v="2000"/>
    <x v="0"/>
    <x v="0"/>
    <d v="2025-05-19T00:00:00"/>
    <d v="2025-08-17T00:00:00"/>
    <d v="1899-12-30T10:40:00"/>
    <d v="1899-12-30T14:32:00"/>
    <s v="C"/>
    <s v="10:40 AM"/>
    <s v="On Time"/>
    <s v="3 Hours 52 Minutes"/>
    <x v="0"/>
  </r>
  <r>
    <x v="339"/>
    <x v="179"/>
    <n v="23"/>
    <x v="0"/>
    <x v="11"/>
    <x v="2"/>
    <x v="2"/>
    <n v="57"/>
    <n v="66"/>
    <x v="0"/>
    <n v="18000"/>
    <n v="18650"/>
    <n v="2000"/>
    <x v="0"/>
    <x v="0"/>
    <d v="2025-08-03T00:00:00"/>
    <d v="2025-09-02T00:00:00"/>
    <d v="1899-12-30T09:42:00"/>
    <d v="1899-12-30T12:22:00"/>
    <s v="D"/>
    <s v="09:42 AM"/>
    <s v="On Time"/>
    <s v="2 Hours 40 Minutes"/>
    <x v="1"/>
  </r>
  <r>
    <x v="340"/>
    <x v="55"/>
    <n v="27"/>
    <x v="0"/>
    <x v="9"/>
    <x v="5"/>
    <x v="5"/>
    <n v="49"/>
    <n v="80"/>
    <x v="0"/>
    <n v="12000"/>
    <n v="10160"/>
    <n v="4000"/>
    <x v="0"/>
    <x v="0"/>
    <d v="2025-02-18T00:00:00"/>
    <d v="2025-04-19T00:00:00"/>
    <d v="1899-12-30T10:24:00"/>
    <d v="1899-12-30T13:53:00"/>
    <s v="D"/>
    <s v="10:24 AM"/>
    <s v="On Time"/>
    <s v="3 Hours 29 Minutes"/>
    <x v="0"/>
  </r>
  <r>
    <x v="341"/>
    <x v="121"/>
    <n v="28"/>
    <x v="0"/>
    <x v="0"/>
    <x v="2"/>
    <x v="2"/>
    <n v="37"/>
    <n v="98"/>
    <x v="0"/>
    <n v="10000"/>
    <n v="9800"/>
    <n v="2000"/>
    <x v="0"/>
    <x v="0"/>
    <d v="2025-02-25T00:00:00"/>
    <d v="2025-04-26T00:00:00"/>
    <d v="1899-12-30T09:19:00"/>
    <d v="1899-12-30T14:02:00"/>
    <s v="D"/>
    <s v="09:19 AM"/>
    <s v="On Time"/>
    <s v="4 Hours 43 Minutes"/>
    <x v="1"/>
  </r>
  <r>
    <x v="342"/>
    <x v="10"/>
    <n v="18"/>
    <x v="0"/>
    <x v="4"/>
    <x v="7"/>
    <x v="7"/>
    <n v="49"/>
    <n v="87"/>
    <x v="0"/>
    <n v="20000"/>
    <n v="19830"/>
    <n v="2000"/>
    <x v="0"/>
    <x v="0"/>
    <d v="2025-03-19T00:00:00"/>
    <d v="2025-06-17T00:00:00"/>
    <d v="1899-12-30T10:57:00"/>
    <d v="1899-12-30T12:34:00"/>
    <s v="D"/>
    <s v="10:57 AM"/>
    <s v="On Time"/>
    <s v="1 Hours 37 Minutes"/>
    <x v="0"/>
  </r>
  <r>
    <x v="343"/>
    <x v="136"/>
    <n v="26"/>
    <x v="1"/>
    <x v="7"/>
    <x v="3"/>
    <x v="3"/>
    <n v="36"/>
    <n v="89"/>
    <x v="0"/>
    <n v="18000"/>
    <n v="18650"/>
    <n v="2000"/>
    <x v="0"/>
    <x v="0"/>
    <d v="2025-12-01T00:00:00"/>
    <d v="2026-03-01T00:00:00"/>
    <d v="1899-12-30T08:41:00"/>
    <d v="1899-12-30T13:08:00"/>
    <s v="D"/>
    <s v="08:41 AM"/>
    <s v="On Time"/>
    <s v="4 Hours 27 Minutes"/>
    <x v="1"/>
  </r>
  <r>
    <x v="344"/>
    <x v="16"/>
    <n v="26"/>
    <x v="0"/>
    <x v="7"/>
    <x v="7"/>
    <x v="7"/>
    <n v="37"/>
    <n v="84"/>
    <x v="0"/>
    <n v="20000"/>
    <n v="19600"/>
    <n v="4000"/>
    <x v="0"/>
    <x v="0"/>
    <d v="2025-03-24T00:00:00"/>
    <d v="2025-05-23T00:00:00"/>
    <d v="1899-12-30T10:10:00"/>
    <d v="1899-12-30T14:16:00"/>
    <s v="D"/>
    <s v="10:10 AM"/>
    <s v="On Time"/>
    <s v="4 Hours 6 Minutes"/>
    <x v="0"/>
  </r>
  <r>
    <x v="345"/>
    <x v="43"/>
    <n v="24"/>
    <x v="1"/>
    <x v="3"/>
    <x v="7"/>
    <x v="7"/>
    <n v="92"/>
    <n v="94"/>
    <x v="2"/>
    <n v="15000"/>
    <n v="14520"/>
    <n v="2000"/>
    <x v="0"/>
    <x v="0"/>
    <d v="2025-09-14T00:00:00"/>
    <d v="2025-12-13T00:00:00"/>
    <d v="1899-12-30T10:45:00"/>
    <d v="1899-12-30T13:20:00"/>
    <s v="A"/>
    <s v="10:45 AM"/>
    <s v="On Time"/>
    <s v="2 Hours 35 Minutes"/>
    <x v="0"/>
  </r>
  <r>
    <x v="346"/>
    <x v="30"/>
    <n v="23"/>
    <x v="1"/>
    <x v="0"/>
    <x v="6"/>
    <x v="6"/>
    <n v="60"/>
    <n v="76"/>
    <x v="3"/>
    <n v="12000"/>
    <n v="12390"/>
    <n v="0"/>
    <x v="1"/>
    <x v="0"/>
    <d v="2025-09-05T00:00:00"/>
    <d v="2025-12-04T00:00:00"/>
    <d v="1899-12-30T08:42:00"/>
    <d v="1899-12-30T12:06:00"/>
    <s v="C"/>
    <s v="08:42 AM"/>
    <s v="On Time"/>
    <s v="3 Hours 24 Minutes"/>
    <x v="1"/>
  </r>
  <r>
    <x v="347"/>
    <x v="180"/>
    <n v="25"/>
    <x v="0"/>
    <x v="2"/>
    <x v="0"/>
    <x v="0"/>
    <n v="37"/>
    <n v="88"/>
    <x v="0"/>
    <n v="15000"/>
    <n v="15930"/>
    <n v="0"/>
    <x v="1"/>
    <x v="0"/>
    <d v="2025-04-22T00:00:00"/>
    <d v="2025-10-19T00:00:00"/>
    <d v="1899-12-30T10:06:00"/>
    <d v="1899-12-30T13:41:00"/>
    <s v="D"/>
    <s v="10:06 AM"/>
    <s v="Delayed"/>
    <s v="3 Hours 35 Minutes"/>
    <x v="0"/>
  </r>
  <r>
    <x v="348"/>
    <x v="181"/>
    <n v="23"/>
    <x v="1"/>
    <x v="3"/>
    <x v="1"/>
    <x v="1"/>
    <n v="77"/>
    <n v="74"/>
    <x v="1"/>
    <n v="10000"/>
    <n v="10620"/>
    <n v="0"/>
    <x v="1"/>
    <x v="0"/>
    <d v="2025-07-11T00:00:00"/>
    <d v="2026-01-07T00:00:00"/>
    <d v="1899-12-30T10:05:00"/>
    <d v="1899-12-30T14:12:00"/>
    <s v="B"/>
    <s v="10:05 AM"/>
    <s v="Delayed"/>
    <s v="4 Hours 7 Minutes"/>
    <x v="0"/>
  </r>
  <r>
    <x v="349"/>
    <x v="63"/>
    <n v="23"/>
    <x v="0"/>
    <x v="7"/>
    <x v="2"/>
    <x v="2"/>
    <n v="37"/>
    <n v="90"/>
    <x v="0"/>
    <n v="10000"/>
    <n v="7210"/>
    <n v="4000"/>
    <x v="0"/>
    <x v="0"/>
    <d v="2025-11-23T00:00:00"/>
    <d v="2026-03-23T00:00:00"/>
    <d v="1899-12-30T08:38:00"/>
    <d v="1899-12-30T13:01:00"/>
    <s v="D"/>
    <s v="08:38 AM"/>
    <s v="Delayed"/>
    <s v="4 Hours 23 Minutes"/>
    <x v="1"/>
  </r>
  <r>
    <x v="350"/>
    <x v="60"/>
    <n v="19"/>
    <x v="0"/>
    <x v="8"/>
    <x v="4"/>
    <x v="4"/>
    <n v="72"/>
    <n v="74"/>
    <x v="3"/>
    <n v="12000"/>
    <n v="10390"/>
    <n v="2000"/>
    <x v="0"/>
    <x v="0"/>
    <d v="2025-12-12T00:00:00"/>
    <d v="2026-06-10T00:00:00"/>
    <d v="1899-12-30T10:04:00"/>
    <d v="1899-12-30T11:20:00"/>
    <s v="C"/>
    <s v="10:04 AM"/>
    <s v="Delayed"/>
    <s v="1 Hours 16 Minutes"/>
    <x v="0"/>
  </r>
  <r>
    <x v="351"/>
    <x v="171"/>
    <n v="22"/>
    <x v="0"/>
    <x v="8"/>
    <x v="6"/>
    <x v="6"/>
    <n v="38"/>
    <n v="73"/>
    <x v="0"/>
    <n v="12000"/>
    <n v="10980"/>
    <n v="2000"/>
    <x v="0"/>
    <x v="0"/>
    <d v="2025-03-04T00:00:00"/>
    <d v="2025-05-03T00:00:00"/>
    <d v="1899-12-30T10:18:00"/>
    <d v="1899-12-30T12:16:00"/>
    <s v="D"/>
    <s v="10:18 AM"/>
    <s v="On Time"/>
    <s v="1 Hours 58 Minutes"/>
    <x v="0"/>
  </r>
  <r>
    <x v="352"/>
    <x v="182"/>
    <n v="21"/>
    <x v="0"/>
    <x v="3"/>
    <x v="3"/>
    <x v="3"/>
    <n v="77"/>
    <n v="67"/>
    <x v="1"/>
    <n v="20000"/>
    <n v="21830"/>
    <n v="0"/>
    <x v="1"/>
    <x v="0"/>
    <d v="2025-12-21T00:00:00"/>
    <d v="2026-02-19T00:00:00"/>
    <d v="1899-12-30T08:44:00"/>
    <d v="1899-12-30T10:04:00"/>
    <s v="B"/>
    <s v="08:44 AM"/>
    <s v="On Time"/>
    <s v="1 Hours 20 Minutes"/>
    <x v="1"/>
  </r>
  <r>
    <x v="353"/>
    <x v="78"/>
    <n v="25"/>
    <x v="0"/>
    <x v="3"/>
    <x v="3"/>
    <x v="3"/>
    <n v="96"/>
    <n v="94"/>
    <x v="2"/>
    <n v="12000"/>
    <n v="11570"/>
    <n v="2000"/>
    <x v="0"/>
    <x v="0"/>
    <d v="2025-03-04T00:00:00"/>
    <d v="2025-06-02T00:00:00"/>
    <d v="1899-12-30T10:47:00"/>
    <d v="1899-12-30T12:26:00"/>
    <s v="A"/>
    <s v="10:47 AM"/>
    <s v="On Time"/>
    <s v="1 Hours 39 Minutes"/>
    <x v="0"/>
  </r>
  <r>
    <x v="354"/>
    <x v="18"/>
    <n v="20"/>
    <x v="1"/>
    <x v="6"/>
    <x v="7"/>
    <x v="7"/>
    <n v="71"/>
    <n v="97"/>
    <x v="3"/>
    <n v="20000"/>
    <n v="19010"/>
    <n v="4000"/>
    <x v="0"/>
    <x v="0"/>
    <d v="2025-01-29T00:00:00"/>
    <d v="2025-04-29T00:00:00"/>
    <d v="1899-12-30T08:13:00"/>
    <d v="1899-12-30T10:09:00"/>
    <s v="C"/>
    <s v="08:13 AM"/>
    <s v="On Time"/>
    <s v="1 Hours 56 Minutes"/>
    <x v="1"/>
  </r>
  <r>
    <x v="355"/>
    <x v="87"/>
    <n v="24"/>
    <x v="0"/>
    <x v="1"/>
    <x v="6"/>
    <x v="6"/>
    <n v="39"/>
    <n v="85"/>
    <x v="0"/>
    <n v="12000"/>
    <n v="10160"/>
    <n v="4000"/>
    <x v="0"/>
    <x v="0"/>
    <d v="2025-11-10T00:00:00"/>
    <d v="2026-05-09T00:00:00"/>
    <d v="1899-12-30T09:46:00"/>
    <d v="1899-12-30T11:39:00"/>
    <s v="D"/>
    <s v="09:46 AM"/>
    <s v="Delayed"/>
    <s v="1 Hours 53 Minutes"/>
    <x v="1"/>
  </r>
  <r>
    <x v="356"/>
    <x v="151"/>
    <n v="19"/>
    <x v="1"/>
    <x v="0"/>
    <x v="7"/>
    <x v="7"/>
    <n v="70"/>
    <n v="71"/>
    <x v="3"/>
    <n v="18000"/>
    <n v="19470"/>
    <n v="0"/>
    <x v="1"/>
    <x v="0"/>
    <d v="2025-04-11T00:00:00"/>
    <d v="2025-05-11T00:00:00"/>
    <d v="1899-12-30T08:24:00"/>
    <d v="1899-12-30T09:29:00"/>
    <s v="C"/>
    <s v="08:24 AM"/>
    <s v="On Time"/>
    <s v="1 Hours 5 Minutes"/>
    <x v="1"/>
  </r>
  <r>
    <x v="357"/>
    <x v="156"/>
    <n v="25"/>
    <x v="1"/>
    <x v="3"/>
    <x v="5"/>
    <x v="5"/>
    <n v="92"/>
    <n v="100"/>
    <x v="2"/>
    <n v="10000"/>
    <n v="7210"/>
    <n v="4000"/>
    <x v="0"/>
    <x v="0"/>
    <d v="2025-08-31T00:00:00"/>
    <d v="2026-02-27T00:00:00"/>
    <d v="1899-12-30T10:50:00"/>
    <d v="1899-12-30T15:26:00"/>
    <s v="A"/>
    <s v="10:50 AM"/>
    <s v="Delayed"/>
    <s v="4 Hours 36 Minutes"/>
    <x v="0"/>
  </r>
  <r>
    <x v="358"/>
    <x v="49"/>
    <n v="26"/>
    <x v="0"/>
    <x v="8"/>
    <x v="3"/>
    <x v="3"/>
    <n v="82"/>
    <n v="73"/>
    <x v="1"/>
    <n v="20000"/>
    <n v="19010"/>
    <n v="4000"/>
    <x v="0"/>
    <x v="0"/>
    <d v="2025-02-14T00:00:00"/>
    <d v="2025-03-16T00:00:00"/>
    <d v="1899-12-30T10:55:00"/>
    <d v="1899-12-30T13:25:00"/>
    <s v="B"/>
    <s v="10:55 AM"/>
    <s v="On Time"/>
    <s v="2 Hours 30 Minutes"/>
    <x v="0"/>
  </r>
  <r>
    <x v="359"/>
    <x v="183"/>
    <n v="25"/>
    <x v="1"/>
    <x v="11"/>
    <x v="5"/>
    <x v="5"/>
    <n v="93"/>
    <n v="72"/>
    <x v="2"/>
    <n v="12000"/>
    <n v="10160"/>
    <n v="4000"/>
    <x v="0"/>
    <x v="0"/>
    <d v="2025-07-18T00:00:00"/>
    <d v="2025-11-15T00:00:00"/>
    <d v="1899-12-30T10:40:00"/>
    <d v="1899-12-30T12:03:00"/>
    <s v="A"/>
    <s v="10:40 AM"/>
    <s v="Delayed"/>
    <s v="1 Hours 23 Minutes"/>
    <x v="0"/>
  </r>
  <r>
    <x v="360"/>
    <x v="120"/>
    <n v="19"/>
    <x v="1"/>
    <x v="11"/>
    <x v="1"/>
    <x v="1"/>
    <n v="58"/>
    <n v="70"/>
    <x v="0"/>
    <n v="18000"/>
    <n v="21240"/>
    <n v="0"/>
    <x v="1"/>
    <x v="0"/>
    <d v="2025-11-28T00:00:00"/>
    <d v="2026-03-28T00:00:00"/>
    <d v="1899-12-30T09:37:00"/>
    <d v="1899-12-30T13:37:00"/>
    <s v="D"/>
    <s v="09:37 AM"/>
    <s v="Delayed"/>
    <s v="4 Hours 0 Minutes"/>
    <x v="1"/>
  </r>
  <r>
    <x v="361"/>
    <x v="171"/>
    <n v="19"/>
    <x v="0"/>
    <x v="7"/>
    <x v="3"/>
    <x v="3"/>
    <n v="58"/>
    <n v="77"/>
    <x v="0"/>
    <n v="18000"/>
    <n v="20650"/>
    <n v="0"/>
    <x v="1"/>
    <x v="0"/>
    <d v="2025-11-06T00:00:00"/>
    <d v="2026-02-04T00:00:00"/>
    <d v="1899-12-30T10:26:00"/>
    <d v="1899-12-30T11:58:00"/>
    <s v="D"/>
    <s v="10:26 AM"/>
    <s v="On Time"/>
    <s v="1 Hours 32 Minutes"/>
    <x v="0"/>
  </r>
  <r>
    <x v="362"/>
    <x v="57"/>
    <n v="21"/>
    <x v="1"/>
    <x v="2"/>
    <x v="5"/>
    <x v="5"/>
    <n v="91"/>
    <n v="62"/>
    <x v="2"/>
    <n v="15000"/>
    <n v="13700"/>
    <n v="4000"/>
    <x v="0"/>
    <x v="1"/>
    <d v="2025-02-02T00:00:00"/>
    <d v="2025-04-03T00:00:00"/>
    <d v="1899-12-30T10:29:00"/>
    <d v="1899-12-30T11:30:00"/>
    <s v="A"/>
    <s v="10:29 AM"/>
    <s v="On Time"/>
    <s v="1 Hours 1 Minutes"/>
    <x v="0"/>
  </r>
  <r>
    <x v="363"/>
    <x v="135"/>
    <n v="21"/>
    <x v="1"/>
    <x v="4"/>
    <x v="7"/>
    <x v="7"/>
    <n v="100"/>
    <n v="67"/>
    <x v="2"/>
    <n v="10000"/>
    <n v="11210"/>
    <n v="0"/>
    <x v="1"/>
    <x v="0"/>
    <d v="2025-01-25T00:00:00"/>
    <d v="2025-07-24T00:00:00"/>
    <d v="1899-12-30T08:40:00"/>
    <d v="1899-12-30T13:14:00"/>
    <s v="A"/>
    <s v="08:40 AM"/>
    <s v="Delayed"/>
    <s v="4 Hours 34 Minutes"/>
    <x v="1"/>
  </r>
  <r>
    <x v="364"/>
    <x v="177"/>
    <n v="25"/>
    <x v="0"/>
    <x v="10"/>
    <x v="4"/>
    <x v="4"/>
    <n v="77"/>
    <n v="67"/>
    <x v="1"/>
    <n v="15000"/>
    <n v="11930"/>
    <n v="4000"/>
    <x v="0"/>
    <x v="0"/>
    <d v="2025-12-10T00:00:00"/>
    <d v="2026-06-08T00:00:00"/>
    <d v="1899-12-30T09:56:00"/>
    <d v="1899-12-30T12:28:00"/>
    <s v="B"/>
    <s v="09:56 AM"/>
    <s v="Delayed"/>
    <s v="2 Hours 32 Minutes"/>
    <x v="1"/>
  </r>
  <r>
    <x v="365"/>
    <x v="130"/>
    <n v="26"/>
    <x v="1"/>
    <x v="8"/>
    <x v="0"/>
    <x v="0"/>
    <n v="49"/>
    <n v="97"/>
    <x v="0"/>
    <n v="12000"/>
    <n v="13570"/>
    <n v="0"/>
    <x v="1"/>
    <x v="0"/>
    <d v="2025-05-09T00:00:00"/>
    <d v="2025-08-07T00:00:00"/>
    <d v="1899-12-30T08:09:00"/>
    <d v="1899-12-30T09:37:00"/>
    <s v="D"/>
    <s v="08:09 AM"/>
    <s v="On Time"/>
    <s v="1 Hours 28 Minutes"/>
    <x v="1"/>
  </r>
  <r>
    <x v="366"/>
    <x v="9"/>
    <n v="21"/>
    <x v="1"/>
    <x v="7"/>
    <x v="5"/>
    <x v="5"/>
    <n v="89"/>
    <n v="94"/>
    <x v="1"/>
    <n v="12000"/>
    <n v="8980"/>
    <n v="4000"/>
    <x v="0"/>
    <x v="0"/>
    <d v="2025-03-17T00:00:00"/>
    <d v="2025-06-15T00:00:00"/>
    <d v="1899-12-30T08:15:00"/>
    <d v="1899-12-30T13:03:00"/>
    <s v="B"/>
    <s v="08:15 AM"/>
    <s v="On Time"/>
    <s v="4 Hours 48 Minutes"/>
    <x v="1"/>
  </r>
  <r>
    <x v="367"/>
    <x v="179"/>
    <n v="26"/>
    <x v="0"/>
    <x v="2"/>
    <x v="1"/>
    <x v="1"/>
    <n v="53"/>
    <n v="61"/>
    <x v="0"/>
    <n v="15000"/>
    <n v="13930"/>
    <n v="2000"/>
    <x v="0"/>
    <x v="1"/>
    <d v="2025-12-18T00:00:00"/>
    <d v="2026-06-16T00:00:00"/>
    <d v="1899-12-30T10:47:00"/>
    <d v="1899-12-30T13:36:00"/>
    <s v="D"/>
    <s v="10:47 AM"/>
    <s v="Delayed"/>
    <s v="2 Hours 49 Minutes"/>
    <x v="0"/>
  </r>
  <r>
    <x v="368"/>
    <x v="175"/>
    <n v="22"/>
    <x v="1"/>
    <x v="11"/>
    <x v="0"/>
    <x v="0"/>
    <n v="80"/>
    <n v="84"/>
    <x v="1"/>
    <n v="10000"/>
    <n v="9800"/>
    <n v="2000"/>
    <x v="0"/>
    <x v="0"/>
    <d v="2025-02-05T00:00:00"/>
    <d v="2025-03-07T00:00:00"/>
    <d v="1899-12-30T09:53:00"/>
    <d v="1899-12-30T12:59:00"/>
    <s v="B"/>
    <s v="09:53 AM"/>
    <s v="On Time"/>
    <s v="3 Hours 6 Minutes"/>
    <x v="1"/>
  </r>
  <r>
    <x v="369"/>
    <x v="184"/>
    <n v="19"/>
    <x v="1"/>
    <x v="11"/>
    <x v="7"/>
    <x v="7"/>
    <n v="100"/>
    <n v="94"/>
    <x v="2"/>
    <n v="15000"/>
    <n v="15110"/>
    <n v="2000"/>
    <x v="0"/>
    <x v="0"/>
    <d v="2025-07-17T00:00:00"/>
    <d v="2026-01-13T00:00:00"/>
    <d v="1899-12-30T09:15:00"/>
    <d v="1899-12-30T12:48:00"/>
    <s v="A"/>
    <s v="09:15 AM"/>
    <s v="Delayed"/>
    <s v="3 Hours 33 Minutes"/>
    <x v="1"/>
  </r>
  <r>
    <x v="370"/>
    <x v="185"/>
    <n v="24"/>
    <x v="1"/>
    <x v="1"/>
    <x v="5"/>
    <x v="5"/>
    <n v="41"/>
    <n v="94"/>
    <x v="0"/>
    <n v="18000"/>
    <n v="20060"/>
    <n v="0"/>
    <x v="1"/>
    <x v="0"/>
    <d v="2025-04-21T00:00:00"/>
    <d v="2025-05-21T00:00:00"/>
    <d v="1899-12-30T08:21:00"/>
    <d v="1899-12-30T09:32:00"/>
    <s v="D"/>
    <s v="08:21 AM"/>
    <s v="On Time"/>
    <s v="1 Hours 11 Minutes"/>
    <x v="1"/>
  </r>
  <r>
    <x v="371"/>
    <x v="45"/>
    <n v="18"/>
    <x v="0"/>
    <x v="10"/>
    <x v="6"/>
    <x v="6"/>
    <n v="72"/>
    <n v="72"/>
    <x v="3"/>
    <n v="15000"/>
    <n v="12520"/>
    <n v="4000"/>
    <x v="0"/>
    <x v="0"/>
    <d v="2025-09-11T00:00:00"/>
    <d v="2025-12-10T00:00:00"/>
    <d v="1899-12-30T08:34:00"/>
    <d v="1899-12-30T13:22:00"/>
    <s v="C"/>
    <s v="08:34 AM"/>
    <s v="On Time"/>
    <s v="4 Hours 48 Minutes"/>
    <x v="1"/>
  </r>
  <r>
    <x v="372"/>
    <x v="115"/>
    <n v="26"/>
    <x v="0"/>
    <x v="10"/>
    <x v="6"/>
    <x v="6"/>
    <n v="66"/>
    <n v="81"/>
    <x v="3"/>
    <n v="18000"/>
    <n v="21240"/>
    <n v="0"/>
    <x v="1"/>
    <x v="0"/>
    <d v="2025-10-31T00:00:00"/>
    <d v="2025-12-30T00:00:00"/>
    <d v="1899-12-30T09:03:00"/>
    <d v="1899-12-30T11:47:00"/>
    <s v="C"/>
    <s v="09:03 AM"/>
    <s v="On Time"/>
    <s v="2 Hours 44 Minutes"/>
    <x v="1"/>
  </r>
  <r>
    <x v="373"/>
    <x v="186"/>
    <n v="26"/>
    <x v="1"/>
    <x v="9"/>
    <x v="4"/>
    <x v="4"/>
    <n v="68"/>
    <n v="72"/>
    <x v="3"/>
    <n v="20000"/>
    <n v="18420"/>
    <n v="4000"/>
    <x v="0"/>
    <x v="0"/>
    <d v="2025-09-13T00:00:00"/>
    <d v="2025-11-12T00:00:00"/>
    <d v="1899-12-30T08:15:00"/>
    <d v="1899-12-30T13:08:00"/>
    <s v="C"/>
    <s v="08:15 AM"/>
    <s v="On Time"/>
    <s v="4 Hours 53 Minutes"/>
    <x v="1"/>
  </r>
  <r>
    <x v="374"/>
    <x v="187"/>
    <n v="22"/>
    <x v="0"/>
    <x v="10"/>
    <x v="2"/>
    <x v="2"/>
    <n v="42"/>
    <n v="79"/>
    <x v="0"/>
    <n v="12000"/>
    <n v="8980"/>
    <n v="4000"/>
    <x v="0"/>
    <x v="0"/>
    <d v="2025-03-11T00:00:00"/>
    <d v="2025-05-10T00:00:00"/>
    <d v="1899-12-30T08:22:00"/>
    <d v="1899-12-30T11:35:00"/>
    <s v="D"/>
    <s v="08:22 AM"/>
    <s v="On Time"/>
    <s v="3 Hours 13 Minutes"/>
    <x v="1"/>
  </r>
  <r>
    <x v="375"/>
    <x v="32"/>
    <n v="27"/>
    <x v="1"/>
    <x v="0"/>
    <x v="7"/>
    <x v="7"/>
    <n v="94"/>
    <n v="74"/>
    <x v="2"/>
    <n v="20000"/>
    <n v="19600"/>
    <n v="4000"/>
    <x v="0"/>
    <x v="0"/>
    <d v="2025-11-21T00:00:00"/>
    <d v="2025-12-21T00:00:00"/>
    <d v="1899-12-30T10:06:00"/>
    <d v="1899-12-30T12:09:00"/>
    <s v="A"/>
    <s v="10:06 AM"/>
    <s v="On Time"/>
    <s v="2 Hours 3 Minutes"/>
    <x v="0"/>
  </r>
  <r>
    <x v="376"/>
    <x v="36"/>
    <n v="27"/>
    <x v="1"/>
    <x v="9"/>
    <x v="5"/>
    <x v="5"/>
    <n v="70"/>
    <n v="98"/>
    <x v="3"/>
    <n v="20000"/>
    <n v="18420"/>
    <n v="4000"/>
    <x v="0"/>
    <x v="0"/>
    <d v="2025-02-16T00:00:00"/>
    <d v="2025-06-16T00:00:00"/>
    <d v="1899-12-30T08:52:00"/>
    <d v="1899-12-30T11:11:00"/>
    <s v="C"/>
    <s v="08:52 AM"/>
    <s v="Delayed"/>
    <s v="2 Hours 19 Minutes"/>
    <x v="1"/>
  </r>
  <r>
    <x v="377"/>
    <x v="23"/>
    <n v="22"/>
    <x v="1"/>
    <x v="5"/>
    <x v="5"/>
    <x v="5"/>
    <n v="41"/>
    <n v="72"/>
    <x v="0"/>
    <n v="15000"/>
    <n v="13930"/>
    <n v="2000"/>
    <x v="0"/>
    <x v="0"/>
    <d v="2025-10-11T00:00:00"/>
    <d v="2025-12-10T00:00:00"/>
    <d v="1899-12-30T09:23:00"/>
    <d v="1899-12-30T10:33:00"/>
    <s v="D"/>
    <s v="09:23 AM"/>
    <s v="On Time"/>
    <s v="1 Hours 10 Minutes"/>
    <x v="1"/>
  </r>
  <r>
    <x v="378"/>
    <x v="157"/>
    <n v="18"/>
    <x v="1"/>
    <x v="1"/>
    <x v="0"/>
    <x v="0"/>
    <n v="48"/>
    <n v="98"/>
    <x v="0"/>
    <n v="10000"/>
    <n v="10030"/>
    <n v="0"/>
    <x v="1"/>
    <x v="0"/>
    <d v="2025-02-27T00:00:00"/>
    <d v="2025-05-28T00:00:00"/>
    <d v="1899-12-30T09:24:00"/>
    <d v="1899-12-30T10:40:00"/>
    <s v="D"/>
    <s v="09:24 AM"/>
    <s v="On Time"/>
    <s v="1 Hours 16 Minutes"/>
    <x v="1"/>
  </r>
  <r>
    <x v="379"/>
    <x v="188"/>
    <n v="28"/>
    <x v="1"/>
    <x v="4"/>
    <x v="4"/>
    <x v="4"/>
    <n v="96"/>
    <n v="70"/>
    <x v="2"/>
    <n v="15000"/>
    <n v="13110"/>
    <n v="4000"/>
    <x v="0"/>
    <x v="0"/>
    <d v="2025-12-15T00:00:00"/>
    <d v="2026-04-14T00:00:00"/>
    <d v="1899-12-30T10:18:00"/>
    <d v="1899-12-30T12:44:00"/>
    <s v="A"/>
    <s v="10:18 AM"/>
    <s v="Delayed"/>
    <s v="2 Hours 26 Minutes"/>
    <x v="0"/>
  </r>
  <r>
    <x v="380"/>
    <x v="161"/>
    <n v="28"/>
    <x v="1"/>
    <x v="3"/>
    <x v="0"/>
    <x v="0"/>
    <n v="90"/>
    <n v="88"/>
    <x v="2"/>
    <n v="20000"/>
    <n v="23600"/>
    <n v="0"/>
    <x v="1"/>
    <x v="0"/>
    <d v="2025-04-03T00:00:00"/>
    <d v="2025-05-03T00:00:00"/>
    <d v="1899-12-30T09:38:00"/>
    <d v="1899-12-30T11:01:00"/>
    <s v="A"/>
    <s v="09:38 AM"/>
    <s v="On Time"/>
    <s v="1 Hours 23 Minutes"/>
    <x v="1"/>
  </r>
  <r>
    <x v="381"/>
    <x v="105"/>
    <n v="20"/>
    <x v="0"/>
    <x v="9"/>
    <x v="4"/>
    <x v="4"/>
    <n v="77"/>
    <n v="94"/>
    <x v="1"/>
    <n v="15000"/>
    <n v="15110"/>
    <n v="2000"/>
    <x v="0"/>
    <x v="0"/>
    <d v="2025-09-09T00:00:00"/>
    <d v="2025-12-08T00:00:00"/>
    <d v="1899-12-30T09:43:00"/>
    <d v="1899-12-30T13:39:00"/>
    <s v="B"/>
    <s v="09:43 AM"/>
    <s v="On Time"/>
    <s v="3 Hours 56 Minutes"/>
    <x v="1"/>
  </r>
  <r>
    <x v="382"/>
    <x v="189"/>
    <n v="21"/>
    <x v="0"/>
    <x v="2"/>
    <x v="0"/>
    <x v="0"/>
    <n v="36"/>
    <n v="66"/>
    <x v="0"/>
    <n v="15000"/>
    <n v="15930"/>
    <n v="0"/>
    <x v="1"/>
    <x v="0"/>
    <d v="2025-03-23T00:00:00"/>
    <d v="2025-05-22T00:00:00"/>
    <d v="1899-12-30T08:42:00"/>
    <d v="1899-12-30T12:09:00"/>
    <s v="D"/>
    <s v="08:42 AM"/>
    <s v="On Time"/>
    <s v="3 Hours 27 Minutes"/>
    <x v="1"/>
  </r>
  <r>
    <x v="383"/>
    <x v="190"/>
    <n v="26"/>
    <x v="0"/>
    <x v="7"/>
    <x v="7"/>
    <x v="7"/>
    <n v="59"/>
    <n v="94"/>
    <x v="0"/>
    <n v="20000"/>
    <n v="19830"/>
    <n v="2000"/>
    <x v="0"/>
    <x v="0"/>
    <d v="2025-09-11T00:00:00"/>
    <d v="2026-01-09T00:00:00"/>
    <d v="1899-12-30T09:44:00"/>
    <d v="1899-12-30T12:44:00"/>
    <s v="D"/>
    <s v="09:44 AM"/>
    <s v="Delayed"/>
    <s v="3 Hours 0 Minutes"/>
    <x v="1"/>
  </r>
  <r>
    <x v="384"/>
    <x v="85"/>
    <n v="26"/>
    <x v="0"/>
    <x v="7"/>
    <x v="2"/>
    <x v="2"/>
    <n v="54"/>
    <n v="91"/>
    <x v="0"/>
    <n v="10000"/>
    <n v="7800"/>
    <n v="4000"/>
    <x v="0"/>
    <x v="0"/>
    <d v="2025-06-30T00:00:00"/>
    <d v="2025-09-28T00:00:00"/>
    <d v="1899-12-30T08:48:00"/>
    <d v="1899-12-30T11:23:00"/>
    <s v="D"/>
    <s v="08:48 AM"/>
    <s v="On Time"/>
    <s v="2 Hours 35 Minutes"/>
    <x v="1"/>
  </r>
  <r>
    <x v="385"/>
    <x v="137"/>
    <n v="22"/>
    <x v="0"/>
    <x v="9"/>
    <x v="1"/>
    <x v="1"/>
    <n v="76"/>
    <n v="82"/>
    <x v="1"/>
    <n v="12000"/>
    <n v="9570"/>
    <n v="4000"/>
    <x v="0"/>
    <x v="0"/>
    <d v="2025-09-15T00:00:00"/>
    <d v="2026-01-13T00:00:00"/>
    <d v="1899-12-30T08:37:00"/>
    <d v="1899-12-30T11:16:00"/>
    <s v="B"/>
    <s v="08:37 AM"/>
    <s v="Delayed"/>
    <s v="2 Hours 39 Minutes"/>
    <x v="1"/>
  </r>
  <r>
    <x v="386"/>
    <x v="47"/>
    <n v="18"/>
    <x v="1"/>
    <x v="7"/>
    <x v="2"/>
    <x v="2"/>
    <n v="43"/>
    <n v="74"/>
    <x v="0"/>
    <n v="18000"/>
    <n v="21240"/>
    <n v="0"/>
    <x v="1"/>
    <x v="0"/>
    <d v="2025-04-30T00:00:00"/>
    <d v="2025-05-30T00:00:00"/>
    <d v="1899-12-30T08:05:00"/>
    <d v="1899-12-30T10:48:00"/>
    <s v="D"/>
    <s v="08:05 AM"/>
    <s v="On Time"/>
    <s v="2 Hours 43 Minutes"/>
    <x v="1"/>
  </r>
  <r>
    <x v="387"/>
    <x v="191"/>
    <n v="23"/>
    <x v="0"/>
    <x v="2"/>
    <x v="1"/>
    <x v="1"/>
    <n v="50"/>
    <n v="68"/>
    <x v="0"/>
    <n v="12000"/>
    <n v="8980"/>
    <n v="4000"/>
    <x v="0"/>
    <x v="0"/>
    <d v="2025-09-30T00:00:00"/>
    <d v="2025-12-29T00:00:00"/>
    <d v="1899-12-30T08:54:00"/>
    <d v="1899-12-30T12:07:00"/>
    <s v="D"/>
    <s v="08:54 AM"/>
    <s v="On Time"/>
    <s v="3 Hours 13 Minutes"/>
    <x v="1"/>
  </r>
  <r>
    <x v="388"/>
    <x v="79"/>
    <n v="25"/>
    <x v="1"/>
    <x v="11"/>
    <x v="7"/>
    <x v="7"/>
    <n v="46"/>
    <n v="66"/>
    <x v="0"/>
    <n v="20000"/>
    <n v="22420"/>
    <n v="0"/>
    <x v="1"/>
    <x v="1"/>
    <d v="2025-06-08T00:00:00"/>
    <d v="2025-10-06T00:00:00"/>
    <d v="1899-12-30T10:29:00"/>
    <d v="1899-12-30T15:13:00"/>
    <s v="D"/>
    <s v="10:29 AM"/>
    <s v="Delayed"/>
    <s v="4 Hours 44 Minutes"/>
    <x v="0"/>
  </r>
  <r>
    <x v="389"/>
    <x v="18"/>
    <n v="27"/>
    <x v="1"/>
    <x v="0"/>
    <x v="1"/>
    <x v="1"/>
    <n v="48"/>
    <n v="90"/>
    <x v="0"/>
    <n v="20000"/>
    <n v="20420"/>
    <n v="2000"/>
    <x v="0"/>
    <x v="0"/>
    <d v="2025-10-05T00:00:00"/>
    <d v="2026-04-03T00:00:00"/>
    <d v="1899-12-30T09:54:00"/>
    <d v="1899-12-30T13:17:00"/>
    <s v="D"/>
    <s v="09:54 AM"/>
    <s v="Delayed"/>
    <s v="3 Hours 23 Minutes"/>
    <x v="1"/>
  </r>
  <r>
    <x v="390"/>
    <x v="192"/>
    <n v="22"/>
    <x v="0"/>
    <x v="1"/>
    <x v="0"/>
    <x v="0"/>
    <n v="54"/>
    <n v="81"/>
    <x v="0"/>
    <n v="18000"/>
    <n v="19470"/>
    <n v="0"/>
    <x v="1"/>
    <x v="0"/>
    <d v="2025-08-12T00:00:00"/>
    <d v="2025-12-10T00:00:00"/>
    <d v="1899-12-30T10:15:00"/>
    <d v="1899-12-30T14:06:00"/>
    <s v="D"/>
    <s v="10:15 AM"/>
    <s v="Delayed"/>
    <s v="3 Hours 51 Minutes"/>
    <x v="0"/>
  </r>
  <r>
    <x v="391"/>
    <x v="51"/>
    <n v="24"/>
    <x v="0"/>
    <x v="11"/>
    <x v="0"/>
    <x v="0"/>
    <n v="68"/>
    <n v="86"/>
    <x v="3"/>
    <n v="15000"/>
    <n v="13700"/>
    <n v="4000"/>
    <x v="0"/>
    <x v="0"/>
    <d v="2025-07-13T00:00:00"/>
    <d v="2026-01-09T00:00:00"/>
    <d v="1899-12-30T09:56:00"/>
    <d v="1899-12-30T11:02:00"/>
    <s v="C"/>
    <s v="09:56 AM"/>
    <s v="Delayed"/>
    <s v="1 Hours 6 Minutes"/>
    <x v="1"/>
  </r>
  <r>
    <x v="392"/>
    <x v="193"/>
    <n v="24"/>
    <x v="1"/>
    <x v="0"/>
    <x v="1"/>
    <x v="1"/>
    <n v="37"/>
    <n v="96"/>
    <x v="0"/>
    <n v="20000"/>
    <n v="19010"/>
    <n v="4000"/>
    <x v="0"/>
    <x v="0"/>
    <d v="2025-02-04T00:00:00"/>
    <d v="2025-06-04T00:00:00"/>
    <d v="1899-12-30T09:05:00"/>
    <d v="1899-12-30T11:31:00"/>
    <s v="D"/>
    <s v="09:05 AM"/>
    <s v="Delayed"/>
    <s v="2 Hours 26 Minutes"/>
    <x v="1"/>
  </r>
  <r>
    <x v="393"/>
    <x v="27"/>
    <n v="21"/>
    <x v="0"/>
    <x v="8"/>
    <x v="6"/>
    <x v="6"/>
    <n v="63"/>
    <n v="64"/>
    <x v="3"/>
    <n v="15000"/>
    <n v="13700"/>
    <n v="4000"/>
    <x v="0"/>
    <x v="1"/>
    <d v="2025-08-15T00:00:00"/>
    <d v="2026-02-11T00:00:00"/>
    <d v="1899-12-30T09:27:00"/>
    <d v="1899-12-30T11:15:00"/>
    <s v="C"/>
    <s v="09:27 AM"/>
    <s v="Delayed"/>
    <s v="1 Hours 48 Minutes"/>
    <x v="1"/>
  </r>
  <r>
    <x v="394"/>
    <x v="118"/>
    <n v="23"/>
    <x v="1"/>
    <x v="5"/>
    <x v="3"/>
    <x v="3"/>
    <n v="83"/>
    <n v="99"/>
    <x v="1"/>
    <n v="20000"/>
    <n v="22420"/>
    <n v="0"/>
    <x v="1"/>
    <x v="0"/>
    <d v="2025-06-10T00:00:00"/>
    <d v="2025-12-07T00:00:00"/>
    <d v="1899-12-30T10:55:00"/>
    <d v="1899-12-30T15:12:00"/>
    <s v="B"/>
    <s v="10:55 AM"/>
    <s v="Delayed"/>
    <s v="4 Hours 17 Minutes"/>
    <x v="0"/>
  </r>
  <r>
    <x v="395"/>
    <x v="98"/>
    <n v="19"/>
    <x v="0"/>
    <x v="10"/>
    <x v="0"/>
    <x v="0"/>
    <n v="100"/>
    <n v="91"/>
    <x v="2"/>
    <n v="12000"/>
    <n v="11570"/>
    <n v="2000"/>
    <x v="0"/>
    <x v="0"/>
    <d v="2025-03-04T00:00:00"/>
    <d v="2025-04-03T00:00:00"/>
    <d v="1899-12-30T09:36:00"/>
    <d v="1899-12-30T14:03:00"/>
    <s v="A"/>
    <s v="09:36 AM"/>
    <s v="On Time"/>
    <s v="4 Hours 27 Minutes"/>
    <x v="1"/>
  </r>
  <r>
    <x v="396"/>
    <x v="134"/>
    <n v="27"/>
    <x v="1"/>
    <x v="3"/>
    <x v="5"/>
    <x v="5"/>
    <n v="100"/>
    <n v="77"/>
    <x v="2"/>
    <n v="15000"/>
    <n v="15930"/>
    <n v="0"/>
    <x v="1"/>
    <x v="0"/>
    <d v="2025-05-26T00:00:00"/>
    <d v="2025-11-22T00:00:00"/>
    <d v="1899-12-30T08:28:00"/>
    <d v="1899-12-30T10:50:00"/>
    <s v="A"/>
    <s v="08:28 AM"/>
    <s v="Delayed"/>
    <s v="2 Hours 22 Minutes"/>
    <x v="1"/>
  </r>
  <r>
    <x v="397"/>
    <x v="90"/>
    <n v="24"/>
    <x v="1"/>
    <x v="2"/>
    <x v="4"/>
    <x v="4"/>
    <n v="97"/>
    <n v="88"/>
    <x v="2"/>
    <n v="18000"/>
    <n v="15470"/>
    <n v="4000"/>
    <x v="0"/>
    <x v="0"/>
    <d v="2025-08-24T00:00:00"/>
    <d v="2026-02-20T00:00:00"/>
    <d v="1899-12-30T08:09:00"/>
    <d v="1899-12-30T11:18:00"/>
    <s v="A"/>
    <s v="08:09 AM"/>
    <s v="Delayed"/>
    <s v="3 Hours 9 Minutes"/>
    <x v="1"/>
  </r>
  <r>
    <x v="398"/>
    <x v="75"/>
    <n v="20"/>
    <x v="0"/>
    <x v="1"/>
    <x v="0"/>
    <x v="0"/>
    <n v="75"/>
    <n v="100"/>
    <x v="1"/>
    <n v="15000"/>
    <n v="17110"/>
    <n v="0"/>
    <x v="1"/>
    <x v="0"/>
    <d v="2025-12-18T00:00:00"/>
    <d v="2026-06-16T00:00:00"/>
    <d v="1899-12-30T08:38:00"/>
    <d v="1899-12-30T10:53:00"/>
    <s v="B"/>
    <s v="08:38 AM"/>
    <s v="Delayed"/>
    <s v="2 Hours 15 Minutes"/>
    <x v="1"/>
  </r>
  <r>
    <x v="399"/>
    <x v="194"/>
    <n v="22"/>
    <x v="1"/>
    <x v="11"/>
    <x v="4"/>
    <x v="4"/>
    <n v="87"/>
    <n v="88"/>
    <x v="1"/>
    <n v="12000"/>
    <n v="9570"/>
    <n v="4000"/>
    <x v="0"/>
    <x v="0"/>
    <d v="2025-06-24T00:00:00"/>
    <d v="2025-12-21T00:00:00"/>
    <d v="1899-12-30T09:35:00"/>
    <d v="1899-12-30T11:53:00"/>
    <s v="B"/>
    <s v="09:35 AM"/>
    <s v="Delayed"/>
    <s v="2 Hours 18 Minutes"/>
    <x v="1"/>
  </r>
  <r>
    <x v="400"/>
    <x v="119"/>
    <n v="20"/>
    <x v="0"/>
    <x v="0"/>
    <x v="6"/>
    <x v="6"/>
    <n v="46"/>
    <n v="69"/>
    <x v="0"/>
    <n v="15000"/>
    <n v="13930"/>
    <n v="2000"/>
    <x v="0"/>
    <x v="0"/>
    <d v="2025-07-22T00:00:00"/>
    <d v="2025-11-19T00:00:00"/>
    <d v="1899-12-30T09:13:00"/>
    <d v="1899-12-30T12:13:00"/>
    <s v="D"/>
    <s v="09:13 AM"/>
    <s v="Delayed"/>
    <s v="3 Hours 0 Minutes"/>
    <x v="1"/>
  </r>
  <r>
    <x v="401"/>
    <x v="162"/>
    <n v="22"/>
    <x v="1"/>
    <x v="0"/>
    <x v="6"/>
    <x v="6"/>
    <n v="36"/>
    <n v="80"/>
    <x v="0"/>
    <n v="10000"/>
    <n v="10030"/>
    <n v="0"/>
    <x v="1"/>
    <x v="0"/>
    <d v="2025-05-29T00:00:00"/>
    <d v="2025-09-26T00:00:00"/>
    <d v="1899-12-30T08:41:00"/>
    <d v="1899-12-30T09:42:00"/>
    <s v="D"/>
    <s v="08:41 AM"/>
    <s v="Delayed"/>
    <s v="1 Hours 1 Minutes"/>
    <x v="1"/>
  </r>
  <r>
    <x v="402"/>
    <x v="103"/>
    <n v="28"/>
    <x v="0"/>
    <x v="2"/>
    <x v="4"/>
    <x v="4"/>
    <n v="88"/>
    <n v="82"/>
    <x v="1"/>
    <n v="15000"/>
    <n v="12520"/>
    <n v="4000"/>
    <x v="0"/>
    <x v="0"/>
    <d v="2025-03-11T00:00:00"/>
    <d v="2025-06-09T00:00:00"/>
    <d v="1899-12-30T08:16:00"/>
    <d v="1899-12-30T12:07:00"/>
    <s v="B"/>
    <s v="08:16 AM"/>
    <s v="On Time"/>
    <s v="3 Hours 51 Minutes"/>
    <x v="1"/>
  </r>
  <r>
    <x v="403"/>
    <x v="83"/>
    <n v="27"/>
    <x v="1"/>
    <x v="7"/>
    <x v="7"/>
    <x v="7"/>
    <n v="41"/>
    <n v="68"/>
    <x v="0"/>
    <n v="18000"/>
    <n v="18060"/>
    <n v="2000"/>
    <x v="0"/>
    <x v="0"/>
    <d v="2025-11-17T00:00:00"/>
    <d v="2026-02-15T00:00:00"/>
    <d v="1899-12-30T09:20:00"/>
    <d v="1899-12-30T10:34:00"/>
    <s v="D"/>
    <s v="09:20 AM"/>
    <s v="On Time"/>
    <s v="1 Hours 14 Minutes"/>
    <x v="1"/>
  </r>
  <r>
    <x v="404"/>
    <x v="195"/>
    <n v="24"/>
    <x v="1"/>
    <x v="1"/>
    <x v="3"/>
    <x v="3"/>
    <n v="86"/>
    <n v="86"/>
    <x v="1"/>
    <n v="15000"/>
    <n v="13110"/>
    <n v="4000"/>
    <x v="0"/>
    <x v="0"/>
    <d v="2025-02-25T00:00:00"/>
    <d v="2025-08-24T00:00:00"/>
    <d v="1899-12-30T10:54:00"/>
    <d v="1899-12-30T15:17:00"/>
    <s v="B"/>
    <s v="10:54 AM"/>
    <s v="Delayed"/>
    <s v="4 Hours 23 Minutes"/>
    <x v="0"/>
  </r>
  <r>
    <x v="405"/>
    <x v="54"/>
    <n v="23"/>
    <x v="1"/>
    <x v="1"/>
    <x v="7"/>
    <x v="7"/>
    <n v="67"/>
    <n v="89"/>
    <x v="3"/>
    <n v="10000"/>
    <n v="11800"/>
    <n v="0"/>
    <x v="1"/>
    <x v="0"/>
    <d v="2025-08-20T00:00:00"/>
    <d v="2026-02-16T00:00:00"/>
    <d v="1899-12-30T10:30:00"/>
    <d v="1899-12-30T13:31:00"/>
    <s v="C"/>
    <s v="10:30 AM"/>
    <s v="Delayed"/>
    <s v="3 Hours 1 Minutes"/>
    <x v="0"/>
  </r>
  <r>
    <x v="406"/>
    <x v="175"/>
    <n v="20"/>
    <x v="1"/>
    <x v="2"/>
    <x v="0"/>
    <x v="0"/>
    <n v="47"/>
    <n v="100"/>
    <x v="0"/>
    <n v="15000"/>
    <n v="17110"/>
    <n v="0"/>
    <x v="1"/>
    <x v="0"/>
    <d v="2025-06-16T00:00:00"/>
    <d v="2025-07-16T00:00:00"/>
    <d v="1899-12-30T10:18:00"/>
    <d v="1899-12-30T12:25:00"/>
    <s v="D"/>
    <s v="10:18 AM"/>
    <s v="On Time"/>
    <s v="2 Hours 7 Minutes"/>
    <x v="0"/>
  </r>
  <r>
    <x v="407"/>
    <x v="119"/>
    <n v="21"/>
    <x v="0"/>
    <x v="6"/>
    <x v="0"/>
    <x v="0"/>
    <n v="45"/>
    <n v="65"/>
    <x v="0"/>
    <n v="12000"/>
    <n v="12390"/>
    <n v="0"/>
    <x v="1"/>
    <x v="0"/>
    <d v="2025-06-15T00:00:00"/>
    <d v="2025-12-12T00:00:00"/>
    <d v="1899-12-30T08:27:00"/>
    <d v="1899-12-30T10:41:00"/>
    <s v="D"/>
    <s v="08:27 AM"/>
    <s v="Delayed"/>
    <s v="2 Hours 14 Minutes"/>
    <x v="1"/>
  </r>
  <r>
    <x v="408"/>
    <x v="196"/>
    <n v="25"/>
    <x v="1"/>
    <x v="5"/>
    <x v="1"/>
    <x v="1"/>
    <n v="41"/>
    <n v="65"/>
    <x v="0"/>
    <n v="12000"/>
    <n v="12160"/>
    <n v="2000"/>
    <x v="0"/>
    <x v="0"/>
    <d v="2025-03-11T00:00:00"/>
    <d v="2025-04-10T00:00:00"/>
    <d v="1899-12-30T09:35:00"/>
    <d v="1899-12-30T11:36:00"/>
    <s v="D"/>
    <s v="09:35 AM"/>
    <s v="On Time"/>
    <s v="2 Hours 1 Minutes"/>
    <x v="1"/>
  </r>
  <r>
    <x v="409"/>
    <x v="30"/>
    <n v="23"/>
    <x v="1"/>
    <x v="9"/>
    <x v="6"/>
    <x v="6"/>
    <n v="93"/>
    <n v="89"/>
    <x v="2"/>
    <n v="15000"/>
    <n v="17700"/>
    <n v="0"/>
    <x v="1"/>
    <x v="0"/>
    <d v="2025-08-15T00:00:00"/>
    <d v="2025-10-14T00:00:00"/>
    <d v="1899-12-30T10:42:00"/>
    <d v="1899-12-30T15:42:00"/>
    <s v="A"/>
    <s v="10:42 AM"/>
    <s v="On Time"/>
    <s v="5 Hours 0 Minutes"/>
    <x v="0"/>
  </r>
  <r>
    <x v="410"/>
    <x v="197"/>
    <n v="21"/>
    <x v="0"/>
    <x v="5"/>
    <x v="6"/>
    <x v="6"/>
    <n v="66"/>
    <n v="84"/>
    <x v="3"/>
    <n v="12000"/>
    <n v="12160"/>
    <n v="2000"/>
    <x v="0"/>
    <x v="0"/>
    <d v="2025-12-18T00:00:00"/>
    <d v="2026-03-18T00:00:00"/>
    <d v="1899-12-30T08:28:00"/>
    <d v="1899-12-30T12:23:00"/>
    <s v="C"/>
    <s v="08:28 AM"/>
    <s v="On Time"/>
    <s v="3 Hours 55 Minutes"/>
    <x v="1"/>
  </r>
  <r>
    <x v="411"/>
    <x v="184"/>
    <n v="23"/>
    <x v="0"/>
    <x v="7"/>
    <x v="0"/>
    <x v="0"/>
    <n v="97"/>
    <n v="73"/>
    <x v="2"/>
    <n v="18000"/>
    <n v="18060"/>
    <n v="2000"/>
    <x v="0"/>
    <x v="0"/>
    <d v="2025-08-02T00:00:00"/>
    <d v="2025-09-01T00:00:00"/>
    <d v="1899-12-30T08:08:00"/>
    <d v="1899-12-30T10:05:00"/>
    <s v="A"/>
    <s v="08:08 AM"/>
    <s v="On Time"/>
    <s v="1 Hours 57 Minutes"/>
    <x v="1"/>
  </r>
  <r>
    <x v="412"/>
    <x v="198"/>
    <n v="22"/>
    <x v="1"/>
    <x v="11"/>
    <x v="0"/>
    <x v="0"/>
    <n v="40"/>
    <n v="90"/>
    <x v="0"/>
    <n v="20000"/>
    <n v="23600"/>
    <n v="0"/>
    <x v="1"/>
    <x v="0"/>
    <d v="2025-06-17T00:00:00"/>
    <d v="2025-12-14T00:00:00"/>
    <d v="1899-12-30T08:14:00"/>
    <d v="1899-12-30T09:33:00"/>
    <s v="D"/>
    <s v="08:14 AM"/>
    <s v="Delayed"/>
    <s v="1 Hours 19 Minutes"/>
    <x v="1"/>
  </r>
  <r>
    <x v="413"/>
    <x v="8"/>
    <n v="22"/>
    <x v="1"/>
    <x v="4"/>
    <x v="1"/>
    <x v="1"/>
    <n v="96"/>
    <n v="78"/>
    <x v="2"/>
    <n v="10000"/>
    <n v="6030"/>
    <n v="4000"/>
    <x v="0"/>
    <x v="0"/>
    <d v="2025-02-17T00:00:00"/>
    <d v="2025-08-16T00:00:00"/>
    <d v="1899-12-30T08:28:00"/>
    <d v="1899-12-30T10:54:00"/>
    <s v="A"/>
    <s v="08:28 AM"/>
    <s v="Delayed"/>
    <s v="2 Hours 26 Minutes"/>
    <x v="1"/>
  </r>
  <r>
    <x v="414"/>
    <x v="120"/>
    <n v="28"/>
    <x v="0"/>
    <x v="1"/>
    <x v="3"/>
    <x v="3"/>
    <n v="41"/>
    <n v="80"/>
    <x v="0"/>
    <n v="18000"/>
    <n v="16060"/>
    <n v="4000"/>
    <x v="0"/>
    <x v="0"/>
    <d v="2025-06-07T00:00:00"/>
    <d v="2025-09-05T00:00:00"/>
    <d v="1899-12-30T08:05:00"/>
    <d v="1899-12-30T12:21:00"/>
    <s v="D"/>
    <s v="08:05 AM"/>
    <s v="On Time"/>
    <s v="4 Hours 16 Minutes"/>
    <x v="1"/>
  </r>
  <r>
    <x v="415"/>
    <x v="199"/>
    <n v="19"/>
    <x v="0"/>
    <x v="9"/>
    <x v="1"/>
    <x v="1"/>
    <n v="76"/>
    <n v="75"/>
    <x v="1"/>
    <n v="15000"/>
    <n v="12520"/>
    <n v="4000"/>
    <x v="0"/>
    <x v="0"/>
    <d v="2025-12-09T00:00:00"/>
    <d v="2026-04-08T00:00:00"/>
    <d v="1899-12-30T09:54:00"/>
    <d v="1899-12-30T14:08:00"/>
    <s v="B"/>
    <s v="09:54 AM"/>
    <s v="Delayed"/>
    <s v="4 Hours 14 Minutes"/>
    <x v="1"/>
  </r>
  <r>
    <x v="416"/>
    <x v="93"/>
    <n v="22"/>
    <x v="1"/>
    <x v="1"/>
    <x v="6"/>
    <x v="6"/>
    <n v="100"/>
    <n v="80"/>
    <x v="2"/>
    <n v="12000"/>
    <n v="9570"/>
    <n v="4000"/>
    <x v="0"/>
    <x v="0"/>
    <d v="2025-11-09T00:00:00"/>
    <d v="2026-03-09T00:00:00"/>
    <d v="1899-12-30T09:22:00"/>
    <d v="1899-12-30T10:27:00"/>
    <s v="A"/>
    <s v="09:22 AM"/>
    <s v="Delayed"/>
    <s v="1 Hours 5 Minutes"/>
    <x v="1"/>
  </r>
  <r>
    <x v="417"/>
    <x v="133"/>
    <n v="27"/>
    <x v="1"/>
    <x v="11"/>
    <x v="0"/>
    <x v="0"/>
    <n v="77"/>
    <n v="98"/>
    <x v="1"/>
    <n v="18000"/>
    <n v="17240"/>
    <n v="4000"/>
    <x v="0"/>
    <x v="0"/>
    <d v="2025-08-16T00:00:00"/>
    <d v="2025-12-14T00:00:00"/>
    <d v="1899-12-30T08:19:00"/>
    <d v="1899-12-30T12:55:00"/>
    <s v="B"/>
    <s v="08:19 AM"/>
    <s v="Delayed"/>
    <s v="4 Hours 36 Minutes"/>
    <x v="1"/>
  </r>
  <r>
    <x v="418"/>
    <x v="200"/>
    <n v="20"/>
    <x v="1"/>
    <x v="6"/>
    <x v="7"/>
    <x v="7"/>
    <n v="98"/>
    <n v="96"/>
    <x v="2"/>
    <n v="18000"/>
    <n v="16650"/>
    <n v="4000"/>
    <x v="0"/>
    <x v="0"/>
    <d v="2025-04-30T00:00:00"/>
    <d v="2025-06-29T00:00:00"/>
    <d v="1899-12-30T10:52:00"/>
    <d v="1899-12-30T12:44:00"/>
    <s v="A"/>
    <s v="10:52 AM"/>
    <s v="On Time"/>
    <s v="1 Hours 52 Minutes"/>
    <x v="0"/>
  </r>
  <r>
    <x v="419"/>
    <x v="73"/>
    <n v="21"/>
    <x v="1"/>
    <x v="7"/>
    <x v="5"/>
    <x v="5"/>
    <n v="54"/>
    <n v="66"/>
    <x v="0"/>
    <n v="20000"/>
    <n v="19600"/>
    <n v="4000"/>
    <x v="0"/>
    <x v="0"/>
    <d v="2025-11-28T00:00:00"/>
    <d v="2026-05-27T00:00:00"/>
    <d v="1899-12-30T10:45:00"/>
    <d v="1899-12-30T15:35:00"/>
    <s v="D"/>
    <s v="10:45 AM"/>
    <s v="Delayed"/>
    <s v="4 Hours 50 Minutes"/>
    <x v="0"/>
  </r>
  <r>
    <x v="420"/>
    <x v="201"/>
    <n v="27"/>
    <x v="1"/>
    <x v="5"/>
    <x v="3"/>
    <x v="3"/>
    <n v="77"/>
    <n v="69"/>
    <x v="1"/>
    <n v="18000"/>
    <n v="15470"/>
    <n v="4000"/>
    <x v="0"/>
    <x v="0"/>
    <d v="2025-07-05T00:00:00"/>
    <d v="2025-09-03T00:00:00"/>
    <d v="1899-12-30T10:34:00"/>
    <d v="1899-12-30T12:03:00"/>
    <s v="B"/>
    <s v="10:34 AM"/>
    <s v="On Time"/>
    <s v="1 Hours 29 Minutes"/>
    <x v="0"/>
  </r>
  <r>
    <x v="421"/>
    <x v="17"/>
    <n v="23"/>
    <x v="1"/>
    <x v="0"/>
    <x v="4"/>
    <x v="4"/>
    <n v="84"/>
    <n v="97"/>
    <x v="1"/>
    <n v="10000"/>
    <n v="7210"/>
    <n v="4000"/>
    <x v="0"/>
    <x v="0"/>
    <d v="2025-01-09T00:00:00"/>
    <d v="2025-05-09T00:00:00"/>
    <d v="1899-12-30T10:17:00"/>
    <d v="1899-12-30T14:20:00"/>
    <s v="B"/>
    <s v="10:17 AM"/>
    <s v="Delayed"/>
    <s v="4 Hours 3 Minutes"/>
    <x v="0"/>
  </r>
  <r>
    <x v="422"/>
    <x v="202"/>
    <n v="28"/>
    <x v="1"/>
    <x v="5"/>
    <x v="6"/>
    <x v="6"/>
    <n v="53"/>
    <n v="61"/>
    <x v="0"/>
    <n v="20000"/>
    <n v="18420"/>
    <n v="4000"/>
    <x v="0"/>
    <x v="0"/>
    <d v="2025-05-19T00:00:00"/>
    <d v="2025-09-16T00:00:00"/>
    <d v="1899-12-30T08:36:00"/>
    <d v="1899-12-30T12:28:00"/>
    <s v="D"/>
    <s v="08:36 AM"/>
    <s v="Delayed"/>
    <s v="3 Hours 52 Minutes"/>
    <x v="1"/>
  </r>
  <r>
    <x v="423"/>
    <x v="203"/>
    <n v="20"/>
    <x v="0"/>
    <x v="6"/>
    <x v="2"/>
    <x v="2"/>
    <n v="65"/>
    <n v="65"/>
    <x v="3"/>
    <n v="15000"/>
    <n v="15930"/>
    <n v="0"/>
    <x v="1"/>
    <x v="0"/>
    <d v="2025-08-03T00:00:00"/>
    <d v="2026-01-30T00:00:00"/>
    <d v="1899-12-30T09:01:00"/>
    <d v="1899-12-30T12:51:00"/>
    <s v="C"/>
    <s v="09:01 AM"/>
    <s v="Delayed"/>
    <s v="3 Hours 50 Minutes"/>
    <x v="1"/>
  </r>
  <r>
    <x v="424"/>
    <x v="156"/>
    <n v="24"/>
    <x v="1"/>
    <x v="0"/>
    <x v="4"/>
    <x v="4"/>
    <n v="41"/>
    <n v="97"/>
    <x v="0"/>
    <n v="18000"/>
    <n v="19240"/>
    <n v="2000"/>
    <x v="0"/>
    <x v="0"/>
    <d v="2025-04-19T00:00:00"/>
    <d v="2025-08-17T00:00:00"/>
    <d v="1899-12-30T09:42:00"/>
    <d v="1899-12-30T14:28:00"/>
    <s v="D"/>
    <s v="09:42 AM"/>
    <s v="Delayed"/>
    <s v="4 Hours 46 Minutes"/>
    <x v="1"/>
  </r>
  <r>
    <x v="425"/>
    <x v="75"/>
    <n v="22"/>
    <x v="1"/>
    <x v="7"/>
    <x v="0"/>
    <x v="0"/>
    <n v="56"/>
    <n v="65"/>
    <x v="0"/>
    <n v="20000"/>
    <n v="19830"/>
    <n v="2000"/>
    <x v="0"/>
    <x v="0"/>
    <d v="2025-04-23T00:00:00"/>
    <d v="2025-05-23T00:00:00"/>
    <d v="1899-12-30T08:27:00"/>
    <d v="1899-12-30T11:50:00"/>
    <s v="D"/>
    <s v="08:27 AM"/>
    <s v="On Time"/>
    <s v="3 Hours 23 Minutes"/>
    <x v="1"/>
  </r>
  <r>
    <x v="426"/>
    <x v="61"/>
    <n v="25"/>
    <x v="1"/>
    <x v="1"/>
    <x v="7"/>
    <x v="7"/>
    <n v="75"/>
    <n v="64"/>
    <x v="1"/>
    <n v="10000"/>
    <n v="6030"/>
    <n v="4000"/>
    <x v="0"/>
    <x v="0"/>
    <d v="2025-05-03T00:00:00"/>
    <d v="2025-07-02T00:00:00"/>
    <d v="1899-12-30T08:01:00"/>
    <d v="1899-12-30T12:56:00"/>
    <s v="B"/>
    <s v="08:01 AM"/>
    <s v="On Time"/>
    <s v="4 Hours 55 Minutes"/>
    <x v="1"/>
  </r>
  <r>
    <x v="427"/>
    <x v="88"/>
    <n v="25"/>
    <x v="0"/>
    <x v="0"/>
    <x v="1"/>
    <x v="1"/>
    <n v="92"/>
    <n v="96"/>
    <x v="2"/>
    <n v="12000"/>
    <n v="8980"/>
    <n v="4000"/>
    <x v="0"/>
    <x v="0"/>
    <d v="2025-01-13T00:00:00"/>
    <d v="2025-05-13T00:00:00"/>
    <d v="1899-12-30T10:40:00"/>
    <d v="1899-12-30T12:10:00"/>
    <s v="A"/>
    <s v="10:40 AM"/>
    <s v="Delayed"/>
    <s v="1 Hours 30 Minutes"/>
    <x v="0"/>
  </r>
  <r>
    <x v="428"/>
    <x v="204"/>
    <n v="22"/>
    <x v="0"/>
    <x v="9"/>
    <x v="2"/>
    <x v="2"/>
    <n v="81"/>
    <n v="81"/>
    <x v="1"/>
    <n v="12000"/>
    <n v="9570"/>
    <n v="4000"/>
    <x v="0"/>
    <x v="0"/>
    <d v="2025-12-31T00:00:00"/>
    <d v="2026-04-30T00:00:00"/>
    <d v="1899-12-30T08:06:00"/>
    <d v="1899-12-30T12:35:00"/>
    <s v="B"/>
    <s v="08:06 AM"/>
    <s v="Delayed"/>
    <s v="4 Hours 29 Minutes"/>
    <x v="1"/>
  </r>
  <r>
    <x v="429"/>
    <x v="205"/>
    <n v="27"/>
    <x v="1"/>
    <x v="11"/>
    <x v="4"/>
    <x v="4"/>
    <n v="63"/>
    <n v="100"/>
    <x v="3"/>
    <n v="20000"/>
    <n v="19830"/>
    <n v="2000"/>
    <x v="0"/>
    <x v="0"/>
    <d v="2025-08-26T00:00:00"/>
    <d v="2025-11-24T00:00:00"/>
    <d v="1899-12-30T09:56:00"/>
    <d v="1899-12-30T11:27:00"/>
    <s v="C"/>
    <s v="09:56 AM"/>
    <s v="On Time"/>
    <s v="1 Hours 31 Minutes"/>
    <x v="1"/>
  </r>
  <r>
    <x v="430"/>
    <x v="206"/>
    <n v="25"/>
    <x v="1"/>
    <x v="2"/>
    <x v="2"/>
    <x v="2"/>
    <n v="46"/>
    <n v="86"/>
    <x v="0"/>
    <n v="20000"/>
    <n v="17830"/>
    <n v="4000"/>
    <x v="0"/>
    <x v="0"/>
    <d v="2025-04-16T00:00:00"/>
    <d v="2025-05-16T00:00:00"/>
    <d v="1899-12-30T09:43:00"/>
    <d v="1899-12-30T12:02:00"/>
    <s v="D"/>
    <s v="09:43 AM"/>
    <s v="On Time"/>
    <s v="2 Hours 19 Minutes"/>
    <x v="1"/>
  </r>
  <r>
    <x v="431"/>
    <x v="18"/>
    <n v="24"/>
    <x v="0"/>
    <x v="2"/>
    <x v="6"/>
    <x v="6"/>
    <n v="83"/>
    <n v="75"/>
    <x v="1"/>
    <n v="18000"/>
    <n v="18650"/>
    <n v="2000"/>
    <x v="0"/>
    <x v="0"/>
    <d v="2025-12-28T00:00:00"/>
    <d v="2026-04-27T00:00:00"/>
    <d v="1899-12-30T10:54:00"/>
    <d v="1899-12-30T15:40:00"/>
    <s v="B"/>
    <s v="10:54 AM"/>
    <s v="Delayed"/>
    <s v="4 Hours 46 Minutes"/>
    <x v="0"/>
  </r>
  <r>
    <x v="432"/>
    <x v="207"/>
    <n v="21"/>
    <x v="1"/>
    <x v="8"/>
    <x v="4"/>
    <x v="4"/>
    <n v="97"/>
    <n v="99"/>
    <x v="2"/>
    <n v="10000"/>
    <n v="11800"/>
    <n v="0"/>
    <x v="1"/>
    <x v="0"/>
    <d v="2025-02-13T00:00:00"/>
    <d v="2025-05-14T00:00:00"/>
    <d v="1899-12-30T08:47:00"/>
    <d v="1899-12-30T12:17:00"/>
    <s v="A"/>
    <s v="08:47 AM"/>
    <s v="On Time"/>
    <s v="3 Hours 30 Minutes"/>
    <x v="1"/>
  </r>
  <r>
    <x v="433"/>
    <x v="179"/>
    <n v="28"/>
    <x v="1"/>
    <x v="0"/>
    <x v="4"/>
    <x v="4"/>
    <n v="54"/>
    <n v="71"/>
    <x v="0"/>
    <n v="10000"/>
    <n v="8030"/>
    <n v="2000"/>
    <x v="0"/>
    <x v="0"/>
    <d v="2025-02-28T00:00:00"/>
    <d v="2025-05-29T00:00:00"/>
    <d v="1899-12-30T08:03:00"/>
    <d v="1899-12-30T10:23:00"/>
    <s v="D"/>
    <s v="08:03 AM"/>
    <s v="On Time"/>
    <s v="2 Hours 20 Minutes"/>
    <x v="1"/>
  </r>
  <r>
    <x v="434"/>
    <x v="91"/>
    <n v="18"/>
    <x v="0"/>
    <x v="5"/>
    <x v="5"/>
    <x v="5"/>
    <n v="50"/>
    <n v="94"/>
    <x v="0"/>
    <n v="15000"/>
    <n v="14520"/>
    <n v="2000"/>
    <x v="0"/>
    <x v="0"/>
    <d v="2025-11-26T00:00:00"/>
    <d v="2026-03-26T00:00:00"/>
    <d v="1899-12-30T08:46:00"/>
    <d v="1899-12-30T12:31:00"/>
    <s v="D"/>
    <s v="08:46 AM"/>
    <s v="Delayed"/>
    <s v="3 Hours 45 Minutes"/>
    <x v="1"/>
  </r>
  <r>
    <x v="435"/>
    <x v="26"/>
    <n v="26"/>
    <x v="0"/>
    <x v="4"/>
    <x v="4"/>
    <x v="4"/>
    <n v="61"/>
    <n v="60"/>
    <x v="3"/>
    <n v="20000"/>
    <n v="23010"/>
    <n v="0"/>
    <x v="1"/>
    <x v="0"/>
    <d v="2025-02-06T00:00:00"/>
    <d v="2025-06-06T00:00:00"/>
    <d v="1899-12-30T09:12:00"/>
    <d v="1899-12-30T12:47:00"/>
    <s v="C"/>
    <s v="09:12 AM"/>
    <s v="Delayed"/>
    <s v="3 Hours 35 Minutes"/>
    <x v="1"/>
  </r>
  <r>
    <x v="436"/>
    <x v="125"/>
    <n v="19"/>
    <x v="1"/>
    <x v="2"/>
    <x v="6"/>
    <x v="6"/>
    <n v="59"/>
    <n v="90"/>
    <x v="0"/>
    <n v="15000"/>
    <n v="17700"/>
    <n v="0"/>
    <x v="1"/>
    <x v="0"/>
    <d v="2025-02-25T00:00:00"/>
    <d v="2025-03-27T00:00:00"/>
    <d v="1899-12-30T10:32:00"/>
    <d v="1899-12-30T13:57:00"/>
    <s v="D"/>
    <s v="10:32 AM"/>
    <s v="On Time"/>
    <s v="3 Hours 25 Minutes"/>
    <x v="0"/>
  </r>
  <r>
    <x v="437"/>
    <x v="165"/>
    <n v="20"/>
    <x v="0"/>
    <x v="2"/>
    <x v="1"/>
    <x v="1"/>
    <n v="66"/>
    <n v="95"/>
    <x v="3"/>
    <n v="12000"/>
    <n v="10390"/>
    <n v="2000"/>
    <x v="0"/>
    <x v="0"/>
    <d v="2025-05-03T00:00:00"/>
    <d v="2025-10-30T00:00:00"/>
    <d v="1899-12-30T08:52:00"/>
    <d v="1899-12-30T12:11:00"/>
    <s v="C"/>
    <s v="08:52 AM"/>
    <s v="Delayed"/>
    <s v="3 Hours 19 Minutes"/>
    <x v="1"/>
  </r>
  <r>
    <x v="438"/>
    <x v="105"/>
    <n v="21"/>
    <x v="0"/>
    <x v="11"/>
    <x v="2"/>
    <x v="2"/>
    <n v="81"/>
    <n v="63"/>
    <x v="1"/>
    <n v="20000"/>
    <n v="23600"/>
    <n v="0"/>
    <x v="1"/>
    <x v="1"/>
    <d v="2025-04-06T00:00:00"/>
    <d v="2025-08-04T00:00:00"/>
    <d v="1899-12-30T09:48:00"/>
    <d v="1899-12-30T14:08:00"/>
    <s v="B"/>
    <s v="09:48 AM"/>
    <s v="Delayed"/>
    <s v="4 Hours 20 Minutes"/>
    <x v="1"/>
  </r>
  <r>
    <x v="439"/>
    <x v="36"/>
    <n v="18"/>
    <x v="0"/>
    <x v="3"/>
    <x v="4"/>
    <x v="4"/>
    <n v="100"/>
    <n v="75"/>
    <x v="2"/>
    <n v="12000"/>
    <n v="10980"/>
    <n v="2000"/>
    <x v="0"/>
    <x v="0"/>
    <d v="2025-06-10T00:00:00"/>
    <d v="2025-10-08T00:00:00"/>
    <d v="1899-12-30T08:24:00"/>
    <d v="1899-12-30T11:05:00"/>
    <s v="A"/>
    <s v="08:24 AM"/>
    <s v="Delayed"/>
    <s v="2 Hours 41 Minutes"/>
    <x v="1"/>
  </r>
  <r>
    <x v="440"/>
    <x v="85"/>
    <n v="26"/>
    <x v="0"/>
    <x v="4"/>
    <x v="7"/>
    <x v="7"/>
    <n v="54"/>
    <n v="99"/>
    <x v="0"/>
    <n v="20000"/>
    <n v="23600"/>
    <n v="0"/>
    <x v="1"/>
    <x v="0"/>
    <d v="2025-09-29T00:00:00"/>
    <d v="2025-10-29T00:00:00"/>
    <d v="1899-12-30T09:17:00"/>
    <d v="1899-12-30T11:58:00"/>
    <s v="D"/>
    <s v="09:17 AM"/>
    <s v="On Time"/>
    <s v="2 Hours 41 Minutes"/>
    <x v="1"/>
  </r>
  <r>
    <x v="441"/>
    <x v="101"/>
    <n v="23"/>
    <x v="0"/>
    <x v="0"/>
    <x v="5"/>
    <x v="5"/>
    <n v="43"/>
    <n v="98"/>
    <x v="0"/>
    <n v="12000"/>
    <n v="12390"/>
    <n v="0"/>
    <x v="1"/>
    <x v="0"/>
    <d v="2025-11-25T00:00:00"/>
    <d v="2026-03-25T00:00:00"/>
    <d v="1899-12-30T08:43:00"/>
    <d v="1899-12-30T13:08:00"/>
    <s v="D"/>
    <s v="08:43 AM"/>
    <s v="Delayed"/>
    <s v="4 Hours 25 Minutes"/>
    <x v="1"/>
  </r>
  <r>
    <x v="442"/>
    <x v="78"/>
    <n v="22"/>
    <x v="1"/>
    <x v="4"/>
    <x v="4"/>
    <x v="4"/>
    <n v="56"/>
    <n v="91"/>
    <x v="0"/>
    <n v="12000"/>
    <n v="12980"/>
    <n v="0"/>
    <x v="1"/>
    <x v="0"/>
    <d v="2025-11-30T00:00:00"/>
    <d v="2026-03-30T00:00:00"/>
    <d v="1899-12-30T08:26:00"/>
    <d v="1899-12-30T12:54:00"/>
    <s v="D"/>
    <s v="08:26 AM"/>
    <s v="Delayed"/>
    <s v="4 Hours 28 Minutes"/>
    <x v="1"/>
  </r>
  <r>
    <x v="443"/>
    <x v="33"/>
    <n v="25"/>
    <x v="0"/>
    <x v="5"/>
    <x v="1"/>
    <x v="1"/>
    <n v="42"/>
    <n v="63"/>
    <x v="0"/>
    <n v="10000"/>
    <n v="9800"/>
    <n v="2000"/>
    <x v="0"/>
    <x v="0"/>
    <d v="2025-04-20T00:00:00"/>
    <d v="2025-06-19T00:00:00"/>
    <d v="1899-12-30T08:25:00"/>
    <d v="1899-12-30T10:26:00"/>
    <s v="D"/>
    <s v="08:25 AM"/>
    <s v="On Time"/>
    <s v="2 Hours 1 Minutes"/>
    <x v="1"/>
  </r>
  <r>
    <x v="444"/>
    <x v="130"/>
    <n v="21"/>
    <x v="0"/>
    <x v="11"/>
    <x v="4"/>
    <x v="4"/>
    <n v="100"/>
    <n v="99"/>
    <x v="2"/>
    <n v="10000"/>
    <n v="11800"/>
    <n v="0"/>
    <x v="1"/>
    <x v="0"/>
    <d v="2025-03-20T00:00:00"/>
    <d v="2025-04-19T00:00:00"/>
    <d v="1899-12-30T09:07:00"/>
    <d v="1899-12-30T11:23:00"/>
    <s v="A"/>
    <s v="09:07 AM"/>
    <s v="On Time"/>
    <s v="2 Hours 16 Minutes"/>
    <x v="1"/>
  </r>
  <r>
    <x v="445"/>
    <x v="80"/>
    <n v="28"/>
    <x v="1"/>
    <x v="4"/>
    <x v="1"/>
    <x v="1"/>
    <n v="71"/>
    <n v="60"/>
    <x v="3"/>
    <n v="15000"/>
    <n v="13930"/>
    <n v="2000"/>
    <x v="0"/>
    <x v="1"/>
    <d v="2025-05-10T00:00:00"/>
    <d v="2025-09-07T00:00:00"/>
    <d v="1899-12-30T09:25:00"/>
    <d v="1899-12-30T12:12:00"/>
    <s v="C"/>
    <s v="09:25 AM"/>
    <s v="Delayed"/>
    <s v="2 Hours 47 Minutes"/>
    <x v="1"/>
  </r>
  <r>
    <x v="446"/>
    <x v="181"/>
    <n v="26"/>
    <x v="0"/>
    <x v="9"/>
    <x v="3"/>
    <x v="3"/>
    <n v="85"/>
    <n v="85"/>
    <x v="1"/>
    <n v="20000"/>
    <n v="20420"/>
    <n v="2000"/>
    <x v="0"/>
    <x v="0"/>
    <d v="2025-04-22T00:00:00"/>
    <d v="2025-07-21T00:00:00"/>
    <d v="1899-12-30T10:36:00"/>
    <d v="1899-12-30T15:28:00"/>
    <s v="B"/>
    <s v="10:36 AM"/>
    <s v="On Time"/>
    <s v="4 Hours 52 Minutes"/>
    <x v="0"/>
  </r>
  <r>
    <x v="447"/>
    <x v="51"/>
    <n v="28"/>
    <x v="1"/>
    <x v="6"/>
    <x v="5"/>
    <x v="5"/>
    <n v="82"/>
    <n v="85"/>
    <x v="1"/>
    <n v="18000"/>
    <n v="21240"/>
    <n v="0"/>
    <x v="1"/>
    <x v="0"/>
    <d v="2025-04-30T00:00:00"/>
    <d v="2025-06-29T00:00:00"/>
    <d v="1899-12-30T08:30:00"/>
    <d v="1899-12-30T09:34:00"/>
    <s v="B"/>
    <s v="08:30 AM"/>
    <s v="On Time"/>
    <s v="1 Hours 4 Minutes"/>
    <x v="1"/>
  </r>
  <r>
    <x v="448"/>
    <x v="200"/>
    <n v="25"/>
    <x v="0"/>
    <x v="1"/>
    <x v="5"/>
    <x v="5"/>
    <n v="77"/>
    <n v="67"/>
    <x v="1"/>
    <n v="18000"/>
    <n v="17470"/>
    <n v="2000"/>
    <x v="0"/>
    <x v="0"/>
    <d v="2025-01-09T00:00:00"/>
    <d v="2025-03-10T00:00:00"/>
    <d v="1899-12-30T10:10:00"/>
    <d v="1899-12-30T12:52:00"/>
    <s v="B"/>
    <s v="10:10 AM"/>
    <s v="On Time"/>
    <s v="2 Hours 42 Minutes"/>
    <x v="0"/>
  </r>
  <r>
    <x v="449"/>
    <x v="18"/>
    <n v="19"/>
    <x v="0"/>
    <x v="6"/>
    <x v="2"/>
    <x v="2"/>
    <n v="68"/>
    <n v="61"/>
    <x v="3"/>
    <n v="20000"/>
    <n v="19600"/>
    <n v="4000"/>
    <x v="0"/>
    <x v="0"/>
    <d v="2025-06-25T00:00:00"/>
    <d v="2025-12-22T00:00:00"/>
    <d v="1899-12-30T09:18:00"/>
    <d v="1899-12-30T10:25:00"/>
    <s v="C"/>
    <s v="09:18 AM"/>
    <s v="Delayed"/>
    <s v="1 Hours 7 Minutes"/>
    <x v="1"/>
  </r>
  <r>
    <x v="450"/>
    <x v="109"/>
    <n v="21"/>
    <x v="0"/>
    <x v="10"/>
    <x v="5"/>
    <x v="5"/>
    <n v="46"/>
    <n v="93"/>
    <x v="0"/>
    <n v="10000"/>
    <n v="8030"/>
    <n v="2000"/>
    <x v="0"/>
    <x v="0"/>
    <d v="2025-01-22T00:00:00"/>
    <d v="2025-07-21T00:00:00"/>
    <d v="1899-12-30T08:20:00"/>
    <d v="1899-12-30T10:21:00"/>
    <s v="D"/>
    <s v="08:20 AM"/>
    <s v="Delayed"/>
    <s v="2 Hours 1 Minutes"/>
    <x v="1"/>
  </r>
  <r>
    <x v="451"/>
    <x v="208"/>
    <n v="19"/>
    <x v="1"/>
    <x v="1"/>
    <x v="0"/>
    <x v="0"/>
    <n v="68"/>
    <n v="75"/>
    <x v="3"/>
    <n v="20000"/>
    <n v="19010"/>
    <n v="4000"/>
    <x v="0"/>
    <x v="0"/>
    <d v="2025-03-19T00:00:00"/>
    <d v="2025-05-18T00:00:00"/>
    <d v="1899-12-30T09:12:00"/>
    <d v="1899-12-30T10:23:00"/>
    <s v="C"/>
    <s v="09:12 AM"/>
    <s v="On Time"/>
    <s v="1 Hours 11 Minutes"/>
    <x v="1"/>
  </r>
  <r>
    <x v="452"/>
    <x v="92"/>
    <n v="18"/>
    <x v="0"/>
    <x v="9"/>
    <x v="1"/>
    <x v="1"/>
    <n v="47"/>
    <n v="95"/>
    <x v="0"/>
    <n v="12000"/>
    <n v="8980"/>
    <n v="4000"/>
    <x v="0"/>
    <x v="0"/>
    <d v="2025-07-07T00:00:00"/>
    <d v="2025-08-06T00:00:00"/>
    <d v="1899-12-30T10:50:00"/>
    <d v="1899-12-30T12:30:00"/>
    <s v="D"/>
    <s v="10:50 AM"/>
    <s v="On Time"/>
    <s v="1 Hours 40 Minutes"/>
    <x v="0"/>
  </r>
  <r>
    <x v="453"/>
    <x v="49"/>
    <n v="23"/>
    <x v="0"/>
    <x v="9"/>
    <x v="0"/>
    <x v="0"/>
    <n v="91"/>
    <n v="63"/>
    <x v="2"/>
    <n v="10000"/>
    <n v="9800"/>
    <n v="2000"/>
    <x v="0"/>
    <x v="0"/>
    <d v="2025-12-07T00:00:00"/>
    <d v="2026-03-07T00:00:00"/>
    <d v="1899-12-30T08:34:00"/>
    <d v="1899-12-30T11:25:00"/>
    <s v="A"/>
    <s v="08:34 AM"/>
    <s v="On Time"/>
    <s v="2 Hours 51 Minutes"/>
    <x v="1"/>
  </r>
  <r>
    <x v="454"/>
    <x v="209"/>
    <n v="27"/>
    <x v="0"/>
    <x v="11"/>
    <x v="1"/>
    <x v="1"/>
    <n v="65"/>
    <n v="72"/>
    <x v="3"/>
    <n v="18000"/>
    <n v="19240"/>
    <n v="2000"/>
    <x v="0"/>
    <x v="0"/>
    <d v="2025-01-21T00:00:00"/>
    <d v="2025-07-20T00:00:00"/>
    <d v="1899-12-30T10:47:00"/>
    <d v="1899-12-30T14:20:00"/>
    <s v="C"/>
    <s v="10:47 AM"/>
    <s v="Delayed"/>
    <s v="3 Hours 33 Minutes"/>
    <x v="0"/>
  </r>
  <r>
    <x v="455"/>
    <x v="96"/>
    <n v="18"/>
    <x v="1"/>
    <x v="9"/>
    <x v="0"/>
    <x v="0"/>
    <n v="100"/>
    <n v="97"/>
    <x v="2"/>
    <n v="10000"/>
    <n v="6620"/>
    <n v="4000"/>
    <x v="0"/>
    <x v="0"/>
    <d v="2025-03-13T00:00:00"/>
    <d v="2025-04-12T00:00:00"/>
    <d v="1899-12-30T09:46:00"/>
    <d v="1899-12-30T14:40:00"/>
    <s v="A"/>
    <s v="09:46 AM"/>
    <s v="On Time"/>
    <s v="4 Hours 54 Minutes"/>
    <x v="1"/>
  </r>
  <r>
    <x v="456"/>
    <x v="159"/>
    <n v="24"/>
    <x v="1"/>
    <x v="10"/>
    <x v="0"/>
    <x v="0"/>
    <n v="38"/>
    <n v="94"/>
    <x v="0"/>
    <n v="12000"/>
    <n v="12160"/>
    <n v="2000"/>
    <x v="0"/>
    <x v="0"/>
    <d v="2025-06-07T00:00:00"/>
    <d v="2025-10-05T00:00:00"/>
    <d v="1899-12-30T10:29:00"/>
    <d v="1899-12-30T12:08:00"/>
    <s v="D"/>
    <s v="10:29 AM"/>
    <s v="Delayed"/>
    <s v="1 Hours 39 Minutes"/>
    <x v="0"/>
  </r>
  <r>
    <x v="457"/>
    <x v="168"/>
    <n v="26"/>
    <x v="0"/>
    <x v="0"/>
    <x v="2"/>
    <x v="2"/>
    <n v="64"/>
    <n v="74"/>
    <x v="3"/>
    <n v="18000"/>
    <n v="19240"/>
    <n v="2000"/>
    <x v="0"/>
    <x v="0"/>
    <d v="2025-08-07T00:00:00"/>
    <d v="2025-10-06T00:00:00"/>
    <d v="1899-12-30T09:52:00"/>
    <d v="1899-12-30T11:41:00"/>
    <s v="C"/>
    <s v="09:52 AM"/>
    <s v="On Time"/>
    <s v="1 Hours 49 Minutes"/>
    <x v="1"/>
  </r>
  <r>
    <x v="458"/>
    <x v="31"/>
    <n v="25"/>
    <x v="0"/>
    <x v="6"/>
    <x v="5"/>
    <x v="5"/>
    <n v="47"/>
    <n v="79"/>
    <x v="0"/>
    <n v="15000"/>
    <n v="16520"/>
    <n v="0"/>
    <x v="1"/>
    <x v="0"/>
    <d v="2025-06-19T00:00:00"/>
    <d v="2025-10-17T00:00:00"/>
    <d v="1899-12-30T09:47:00"/>
    <d v="1899-12-30T13:29:00"/>
    <s v="D"/>
    <s v="09:47 AM"/>
    <s v="Delayed"/>
    <s v="3 Hours 42 Minutes"/>
    <x v="1"/>
  </r>
  <r>
    <x v="459"/>
    <x v="83"/>
    <n v="23"/>
    <x v="1"/>
    <x v="7"/>
    <x v="0"/>
    <x v="0"/>
    <n v="36"/>
    <n v="78"/>
    <x v="0"/>
    <n v="10000"/>
    <n v="9800"/>
    <n v="2000"/>
    <x v="0"/>
    <x v="0"/>
    <d v="2025-08-25T00:00:00"/>
    <d v="2025-11-23T00:00:00"/>
    <d v="1899-12-30T09:20:00"/>
    <d v="1899-12-30T12:17:00"/>
    <s v="D"/>
    <s v="09:20 AM"/>
    <s v="On Time"/>
    <s v="2 Hours 57 Minutes"/>
    <x v="1"/>
  </r>
  <r>
    <x v="460"/>
    <x v="69"/>
    <n v="24"/>
    <x v="0"/>
    <x v="5"/>
    <x v="7"/>
    <x v="7"/>
    <n v="35"/>
    <n v="72"/>
    <x v="0"/>
    <n v="12000"/>
    <n v="12980"/>
    <n v="0"/>
    <x v="1"/>
    <x v="1"/>
    <d v="2025-08-30T00:00:00"/>
    <d v="2025-11-28T00:00:00"/>
    <d v="1899-12-30T08:21:00"/>
    <d v="1899-12-30T11:25:00"/>
    <s v="D"/>
    <s v="08:21 AM"/>
    <s v="On Time"/>
    <s v="3 Hours 4 Minutes"/>
    <x v="1"/>
  </r>
  <r>
    <x v="461"/>
    <x v="13"/>
    <n v="28"/>
    <x v="0"/>
    <x v="5"/>
    <x v="3"/>
    <x v="3"/>
    <n v="71"/>
    <n v="89"/>
    <x v="3"/>
    <n v="10000"/>
    <n v="7210"/>
    <n v="4000"/>
    <x v="0"/>
    <x v="0"/>
    <d v="2025-06-10T00:00:00"/>
    <d v="2025-09-08T00:00:00"/>
    <d v="1899-12-30T10:46:00"/>
    <d v="1899-12-30T14:08:00"/>
    <s v="C"/>
    <s v="10:46 AM"/>
    <s v="On Time"/>
    <s v="3 Hours 22 Minutes"/>
    <x v="0"/>
  </r>
  <r>
    <x v="462"/>
    <x v="112"/>
    <n v="21"/>
    <x v="1"/>
    <x v="2"/>
    <x v="7"/>
    <x v="7"/>
    <n v="46"/>
    <n v="83"/>
    <x v="0"/>
    <n v="18000"/>
    <n v="19240"/>
    <n v="2000"/>
    <x v="0"/>
    <x v="0"/>
    <d v="2025-08-17T00:00:00"/>
    <d v="2025-11-15T00:00:00"/>
    <d v="1899-12-30T08:25:00"/>
    <d v="1899-12-30T12:26:00"/>
    <s v="D"/>
    <s v="08:25 AM"/>
    <s v="On Time"/>
    <s v="4 Hours 1 Minutes"/>
    <x v="1"/>
  </r>
  <r>
    <x v="463"/>
    <x v="0"/>
    <n v="22"/>
    <x v="1"/>
    <x v="11"/>
    <x v="1"/>
    <x v="1"/>
    <n v="93"/>
    <n v="98"/>
    <x v="2"/>
    <n v="10000"/>
    <n v="11210"/>
    <n v="0"/>
    <x v="1"/>
    <x v="0"/>
    <d v="2025-08-18T00:00:00"/>
    <d v="2025-12-16T00:00:00"/>
    <d v="1899-12-30T08:47:00"/>
    <d v="1899-12-30T13:14:00"/>
    <s v="A"/>
    <s v="08:47 AM"/>
    <s v="Delayed"/>
    <s v="4 Hours 27 Minutes"/>
    <x v="1"/>
  </r>
  <r>
    <x v="464"/>
    <x v="196"/>
    <n v="21"/>
    <x v="1"/>
    <x v="7"/>
    <x v="5"/>
    <x v="5"/>
    <n v="52"/>
    <n v="98"/>
    <x v="0"/>
    <n v="18000"/>
    <n v="19470"/>
    <n v="0"/>
    <x v="1"/>
    <x v="0"/>
    <d v="2025-08-24T00:00:00"/>
    <d v="2026-02-20T00:00:00"/>
    <d v="1899-12-30T09:52:00"/>
    <d v="1899-12-30T11:27:00"/>
    <s v="D"/>
    <s v="09:52 AM"/>
    <s v="Delayed"/>
    <s v="1 Hours 35 Minutes"/>
    <x v="1"/>
  </r>
  <r>
    <x v="465"/>
    <x v="178"/>
    <n v="27"/>
    <x v="1"/>
    <x v="6"/>
    <x v="7"/>
    <x v="7"/>
    <n v="82"/>
    <n v="83"/>
    <x v="1"/>
    <n v="10000"/>
    <n v="8030"/>
    <n v="2000"/>
    <x v="0"/>
    <x v="0"/>
    <d v="2025-09-16T00:00:00"/>
    <d v="2025-11-15T00:00:00"/>
    <d v="1899-12-30T10:27:00"/>
    <d v="1899-12-30T12:33:00"/>
    <s v="B"/>
    <s v="10:27 AM"/>
    <s v="On Time"/>
    <s v="2 Hours 6 Minutes"/>
    <x v="0"/>
  </r>
  <r>
    <x v="466"/>
    <x v="132"/>
    <n v="22"/>
    <x v="1"/>
    <x v="11"/>
    <x v="1"/>
    <x v="1"/>
    <n v="53"/>
    <n v="77"/>
    <x v="0"/>
    <n v="12000"/>
    <n v="10160"/>
    <n v="4000"/>
    <x v="0"/>
    <x v="0"/>
    <d v="2025-04-28T00:00:00"/>
    <d v="2025-05-28T00:00:00"/>
    <d v="1899-12-30T09:07:00"/>
    <d v="1899-12-30T13:21:00"/>
    <s v="D"/>
    <s v="09:07 AM"/>
    <s v="On Time"/>
    <s v="4 Hours 14 Minutes"/>
    <x v="1"/>
  </r>
  <r>
    <x v="467"/>
    <x v="183"/>
    <n v="27"/>
    <x v="1"/>
    <x v="1"/>
    <x v="2"/>
    <x v="2"/>
    <n v="49"/>
    <n v="95"/>
    <x v="0"/>
    <n v="20000"/>
    <n v="17830"/>
    <n v="4000"/>
    <x v="0"/>
    <x v="0"/>
    <d v="2025-03-30T00:00:00"/>
    <d v="2025-04-29T00:00:00"/>
    <d v="1899-12-30T08:33:00"/>
    <d v="1899-12-30T13:32:00"/>
    <s v="D"/>
    <s v="08:33 AM"/>
    <s v="On Time"/>
    <s v="4 Hours 59 Minutes"/>
    <x v="1"/>
  </r>
  <r>
    <x v="468"/>
    <x v="191"/>
    <n v="24"/>
    <x v="1"/>
    <x v="6"/>
    <x v="3"/>
    <x v="3"/>
    <n v="90"/>
    <n v="79"/>
    <x v="2"/>
    <n v="20000"/>
    <n v="17830"/>
    <n v="4000"/>
    <x v="0"/>
    <x v="0"/>
    <d v="2025-04-10T00:00:00"/>
    <d v="2025-08-08T00:00:00"/>
    <d v="1899-12-30T10:20:00"/>
    <d v="1899-12-30T13:47:00"/>
    <s v="A"/>
    <s v="10:20 AM"/>
    <s v="Delayed"/>
    <s v="3 Hours 27 Minutes"/>
    <x v="0"/>
  </r>
  <r>
    <x v="469"/>
    <x v="136"/>
    <n v="18"/>
    <x v="0"/>
    <x v="4"/>
    <x v="5"/>
    <x v="5"/>
    <n v="35"/>
    <n v="78"/>
    <x v="0"/>
    <n v="12000"/>
    <n v="12390"/>
    <n v="0"/>
    <x v="1"/>
    <x v="0"/>
    <d v="2025-01-09T00:00:00"/>
    <d v="2025-04-09T00:00:00"/>
    <d v="1899-12-30T10:13:00"/>
    <d v="1899-12-30T11:36:00"/>
    <s v="D"/>
    <s v="10:13 AM"/>
    <s v="On Time"/>
    <s v="1 Hours 23 Minutes"/>
    <x v="0"/>
  </r>
  <r>
    <x v="470"/>
    <x v="138"/>
    <n v="26"/>
    <x v="0"/>
    <x v="1"/>
    <x v="4"/>
    <x v="4"/>
    <n v="95"/>
    <n v="63"/>
    <x v="2"/>
    <n v="10000"/>
    <n v="7210"/>
    <n v="4000"/>
    <x v="0"/>
    <x v="0"/>
    <d v="2025-09-02T00:00:00"/>
    <d v="2025-12-31T00:00:00"/>
    <d v="1899-12-30T09:01:00"/>
    <d v="1899-12-30T13:59:00"/>
    <s v="A"/>
    <s v="09:01 AM"/>
    <s v="Delayed"/>
    <s v="4 Hours 58 Minutes"/>
    <x v="1"/>
  </r>
  <r>
    <x v="471"/>
    <x v="210"/>
    <n v="26"/>
    <x v="0"/>
    <x v="9"/>
    <x v="6"/>
    <x v="6"/>
    <n v="59"/>
    <n v="73"/>
    <x v="0"/>
    <n v="15000"/>
    <n v="17110"/>
    <n v="0"/>
    <x v="1"/>
    <x v="0"/>
    <d v="2025-07-19T00:00:00"/>
    <d v="2025-10-17T00:00:00"/>
    <d v="1899-12-30T09:28:00"/>
    <d v="1899-12-30T12:28:00"/>
    <s v="D"/>
    <s v="09:28 AM"/>
    <s v="On Time"/>
    <s v="3 Hours 0 Minutes"/>
    <x v="1"/>
  </r>
  <r>
    <x v="472"/>
    <x v="36"/>
    <n v="26"/>
    <x v="0"/>
    <x v="10"/>
    <x v="7"/>
    <x v="7"/>
    <n v="73"/>
    <n v="71"/>
    <x v="3"/>
    <n v="10000"/>
    <n v="10620"/>
    <n v="0"/>
    <x v="1"/>
    <x v="0"/>
    <d v="2025-10-17T00:00:00"/>
    <d v="2025-11-16T00:00:00"/>
    <d v="1899-12-30T08:21:00"/>
    <d v="1899-12-30T13:19:00"/>
    <s v="C"/>
    <s v="08:21 AM"/>
    <s v="On Time"/>
    <s v="4 Hours 58 Minutes"/>
    <x v="1"/>
  </r>
  <r>
    <x v="473"/>
    <x v="128"/>
    <n v="24"/>
    <x v="0"/>
    <x v="7"/>
    <x v="7"/>
    <x v="7"/>
    <n v="89"/>
    <n v="66"/>
    <x v="1"/>
    <n v="10000"/>
    <n v="7210"/>
    <n v="4000"/>
    <x v="0"/>
    <x v="1"/>
    <d v="2025-09-20T00:00:00"/>
    <d v="2025-12-19T00:00:00"/>
    <d v="1899-12-30T10:58:00"/>
    <d v="1899-12-30T15:49:00"/>
    <s v="B"/>
    <s v="10:58 AM"/>
    <s v="On Time"/>
    <s v="4 Hours 51 Minutes"/>
    <x v="0"/>
  </r>
  <r>
    <x v="474"/>
    <x v="143"/>
    <n v="20"/>
    <x v="1"/>
    <x v="5"/>
    <x v="2"/>
    <x v="2"/>
    <n v="76"/>
    <n v="98"/>
    <x v="1"/>
    <n v="20000"/>
    <n v="23010"/>
    <n v="0"/>
    <x v="1"/>
    <x v="0"/>
    <d v="2025-02-28T00:00:00"/>
    <d v="2025-06-28T00:00:00"/>
    <d v="1899-12-30T08:21:00"/>
    <d v="1899-12-30T10:58:00"/>
    <s v="B"/>
    <s v="08:21 AM"/>
    <s v="Delayed"/>
    <s v="2 Hours 37 Minutes"/>
    <x v="1"/>
  </r>
  <r>
    <x v="475"/>
    <x v="128"/>
    <n v="23"/>
    <x v="1"/>
    <x v="7"/>
    <x v="3"/>
    <x v="3"/>
    <n v="79"/>
    <n v="65"/>
    <x v="1"/>
    <n v="12000"/>
    <n v="12980"/>
    <n v="0"/>
    <x v="1"/>
    <x v="0"/>
    <d v="2025-04-10T00:00:00"/>
    <d v="2025-08-08T00:00:00"/>
    <d v="1899-12-30T09:46:00"/>
    <d v="1899-12-30T13:53:00"/>
    <s v="B"/>
    <s v="09:46 AM"/>
    <s v="Delayed"/>
    <s v="4 Hours 7 Minutes"/>
    <x v="1"/>
  </r>
  <r>
    <x v="476"/>
    <x v="167"/>
    <n v="27"/>
    <x v="0"/>
    <x v="3"/>
    <x v="2"/>
    <x v="2"/>
    <n v="94"/>
    <n v="72"/>
    <x v="2"/>
    <n v="15000"/>
    <n v="12520"/>
    <n v="4000"/>
    <x v="0"/>
    <x v="0"/>
    <d v="2025-07-16T00:00:00"/>
    <d v="2025-09-14T00:00:00"/>
    <d v="1899-12-30T09:17:00"/>
    <d v="1899-12-30T13:41:00"/>
    <s v="A"/>
    <s v="09:17 AM"/>
    <s v="On Time"/>
    <s v="4 Hours 24 Minutes"/>
    <x v="1"/>
  </r>
  <r>
    <x v="477"/>
    <x v="41"/>
    <n v="28"/>
    <x v="0"/>
    <x v="0"/>
    <x v="5"/>
    <x v="5"/>
    <n v="95"/>
    <n v="75"/>
    <x v="2"/>
    <n v="15000"/>
    <n v="15110"/>
    <n v="2000"/>
    <x v="0"/>
    <x v="0"/>
    <d v="2025-01-10T00:00:00"/>
    <d v="2025-04-10T00:00:00"/>
    <d v="1899-12-30T09:03:00"/>
    <d v="1899-12-30T13:56:00"/>
    <s v="A"/>
    <s v="09:03 AM"/>
    <s v="On Time"/>
    <s v="4 Hours 53 Minutes"/>
    <x v="1"/>
  </r>
  <r>
    <x v="478"/>
    <x v="73"/>
    <n v="25"/>
    <x v="1"/>
    <x v="0"/>
    <x v="6"/>
    <x v="6"/>
    <n v="100"/>
    <n v="78"/>
    <x v="2"/>
    <n v="15000"/>
    <n v="17700"/>
    <n v="0"/>
    <x v="1"/>
    <x v="0"/>
    <d v="2025-09-18T00:00:00"/>
    <d v="2025-10-18T00:00:00"/>
    <d v="1899-12-30T09:34:00"/>
    <d v="1899-12-30T12:19:00"/>
    <s v="A"/>
    <s v="09:34 AM"/>
    <s v="On Time"/>
    <s v="2 Hours 45 Minutes"/>
    <x v="1"/>
  </r>
  <r>
    <x v="479"/>
    <x v="5"/>
    <n v="21"/>
    <x v="1"/>
    <x v="11"/>
    <x v="5"/>
    <x v="5"/>
    <n v="54"/>
    <n v="68"/>
    <x v="0"/>
    <n v="10000"/>
    <n v="6030"/>
    <n v="4000"/>
    <x v="0"/>
    <x v="1"/>
    <d v="2025-07-13T00:00:00"/>
    <d v="2025-10-11T00:00:00"/>
    <d v="1899-12-30T09:21:00"/>
    <d v="1899-12-30T11:20:00"/>
    <s v="D"/>
    <s v="09:21 AM"/>
    <s v="On Time"/>
    <s v="1 Hours 59 Minutes"/>
    <x v="1"/>
  </r>
  <r>
    <x v="480"/>
    <x v="190"/>
    <n v="26"/>
    <x v="0"/>
    <x v="0"/>
    <x v="6"/>
    <x v="6"/>
    <n v="89"/>
    <n v="63"/>
    <x v="1"/>
    <n v="20000"/>
    <n v="19830"/>
    <n v="2000"/>
    <x v="0"/>
    <x v="0"/>
    <d v="2025-07-15T00:00:00"/>
    <d v="2025-08-14T00:00:00"/>
    <d v="1899-12-30T09:22:00"/>
    <d v="1899-12-30T13:16:00"/>
    <s v="B"/>
    <s v="09:22 AM"/>
    <s v="On Time"/>
    <s v="3 Hours 54 Minutes"/>
    <x v="1"/>
  </r>
  <r>
    <x v="481"/>
    <x v="211"/>
    <n v="28"/>
    <x v="0"/>
    <x v="7"/>
    <x v="2"/>
    <x v="2"/>
    <n v="62"/>
    <n v="62"/>
    <x v="3"/>
    <n v="18000"/>
    <n v="19240"/>
    <n v="2000"/>
    <x v="0"/>
    <x v="0"/>
    <d v="2025-07-30T00:00:00"/>
    <d v="2025-11-27T00:00:00"/>
    <d v="1899-12-30T09:04:00"/>
    <d v="1899-12-30T12:26:00"/>
    <s v="C"/>
    <s v="09:04 AM"/>
    <s v="Delayed"/>
    <s v="3 Hours 22 Minutes"/>
    <x v="1"/>
  </r>
  <r>
    <x v="482"/>
    <x v="172"/>
    <n v="22"/>
    <x v="0"/>
    <x v="5"/>
    <x v="4"/>
    <x v="4"/>
    <n v="61"/>
    <n v="79"/>
    <x v="3"/>
    <n v="10000"/>
    <n v="6620"/>
    <n v="4000"/>
    <x v="0"/>
    <x v="0"/>
    <d v="2025-11-11T00:00:00"/>
    <d v="2026-01-10T00:00:00"/>
    <d v="1899-12-30T10:03:00"/>
    <d v="1899-12-30T14:58:00"/>
    <s v="C"/>
    <s v="10:03 AM"/>
    <s v="On Time"/>
    <s v="4 Hours 55 Minutes"/>
    <x v="0"/>
  </r>
  <r>
    <x v="483"/>
    <x v="10"/>
    <n v="24"/>
    <x v="1"/>
    <x v="6"/>
    <x v="4"/>
    <x v="4"/>
    <n v="82"/>
    <n v="82"/>
    <x v="1"/>
    <n v="20000"/>
    <n v="21830"/>
    <n v="0"/>
    <x v="1"/>
    <x v="0"/>
    <d v="2025-06-01T00:00:00"/>
    <d v="2025-11-28T00:00:00"/>
    <d v="1899-12-30T09:10:00"/>
    <d v="1899-12-30T10:24:00"/>
    <s v="B"/>
    <s v="09:10 AM"/>
    <s v="Delayed"/>
    <s v="1 Hours 14 Minutes"/>
    <x v="1"/>
  </r>
  <r>
    <x v="484"/>
    <x v="45"/>
    <n v="22"/>
    <x v="0"/>
    <x v="6"/>
    <x v="0"/>
    <x v="0"/>
    <n v="51"/>
    <n v="93"/>
    <x v="0"/>
    <n v="18000"/>
    <n v="21240"/>
    <n v="0"/>
    <x v="1"/>
    <x v="0"/>
    <d v="2025-09-30T00:00:00"/>
    <d v="2026-03-29T00:00:00"/>
    <d v="1899-12-30T08:26:00"/>
    <d v="1899-12-30T12:46:00"/>
    <s v="D"/>
    <s v="08:26 AM"/>
    <s v="Delayed"/>
    <s v="4 Hours 20 Minutes"/>
    <x v="1"/>
  </r>
  <r>
    <x v="485"/>
    <x v="197"/>
    <n v="22"/>
    <x v="1"/>
    <x v="1"/>
    <x v="7"/>
    <x v="7"/>
    <n v="73"/>
    <n v="95"/>
    <x v="3"/>
    <n v="18000"/>
    <n v="18060"/>
    <n v="2000"/>
    <x v="0"/>
    <x v="0"/>
    <d v="2025-01-16T00:00:00"/>
    <d v="2025-02-15T00:00:00"/>
    <d v="1899-12-30T08:17:00"/>
    <d v="1899-12-30T11:41:00"/>
    <s v="C"/>
    <s v="08:17 AM"/>
    <s v="On Time"/>
    <s v="3 Hours 24 Minutes"/>
    <x v="1"/>
  </r>
  <r>
    <x v="486"/>
    <x v="115"/>
    <n v="24"/>
    <x v="1"/>
    <x v="2"/>
    <x v="6"/>
    <x v="6"/>
    <n v="68"/>
    <n v="73"/>
    <x v="3"/>
    <n v="18000"/>
    <n v="19240"/>
    <n v="2000"/>
    <x v="0"/>
    <x v="0"/>
    <d v="2025-11-03T00:00:00"/>
    <d v="2026-01-02T00:00:00"/>
    <d v="1899-12-30T10:48:00"/>
    <d v="1899-12-30T15:10:00"/>
    <s v="C"/>
    <s v="10:48 AM"/>
    <s v="On Time"/>
    <s v="4 Hours 22 Minutes"/>
    <x v="0"/>
  </r>
  <r>
    <x v="487"/>
    <x v="77"/>
    <n v="20"/>
    <x v="0"/>
    <x v="4"/>
    <x v="5"/>
    <x v="5"/>
    <n v="79"/>
    <n v="74"/>
    <x v="1"/>
    <n v="20000"/>
    <n v="19600"/>
    <n v="4000"/>
    <x v="0"/>
    <x v="0"/>
    <d v="2025-01-25T00:00:00"/>
    <d v="2025-02-24T00:00:00"/>
    <d v="1899-12-30T08:00:00"/>
    <d v="1899-12-30T12:26:00"/>
    <s v="B"/>
    <s v="08:00 AM"/>
    <s v="On Time"/>
    <s v="4 Hours 26 Minutes"/>
    <x v="1"/>
  </r>
  <r>
    <x v="488"/>
    <x v="212"/>
    <n v="25"/>
    <x v="1"/>
    <x v="2"/>
    <x v="4"/>
    <x v="4"/>
    <n v="91"/>
    <n v="74"/>
    <x v="2"/>
    <n v="15000"/>
    <n v="16520"/>
    <n v="0"/>
    <x v="1"/>
    <x v="0"/>
    <d v="2025-03-18T00:00:00"/>
    <d v="2025-06-16T00:00:00"/>
    <d v="1899-12-30T08:05:00"/>
    <d v="1899-12-30T12:47:00"/>
    <s v="A"/>
    <s v="08:05 AM"/>
    <s v="On Time"/>
    <s v="4 Hours 42 Minutes"/>
    <x v="1"/>
  </r>
  <r>
    <x v="489"/>
    <x v="213"/>
    <n v="22"/>
    <x v="1"/>
    <x v="3"/>
    <x v="3"/>
    <x v="3"/>
    <n v="80"/>
    <n v="89"/>
    <x v="1"/>
    <n v="12000"/>
    <n v="8980"/>
    <n v="4000"/>
    <x v="0"/>
    <x v="0"/>
    <d v="2025-05-30T00:00:00"/>
    <d v="2025-09-27T00:00:00"/>
    <d v="1899-12-30T09:11:00"/>
    <d v="1899-12-30T14:08:00"/>
    <s v="B"/>
    <s v="09:11 AM"/>
    <s v="Delayed"/>
    <s v="4 Hours 57 Minutes"/>
    <x v="1"/>
  </r>
  <r>
    <x v="490"/>
    <x v="43"/>
    <n v="18"/>
    <x v="0"/>
    <x v="3"/>
    <x v="1"/>
    <x v="1"/>
    <n v="51"/>
    <n v="71"/>
    <x v="0"/>
    <n v="20000"/>
    <n v="23600"/>
    <n v="0"/>
    <x v="1"/>
    <x v="0"/>
    <d v="2025-07-28T00:00:00"/>
    <d v="2025-10-26T00:00:00"/>
    <d v="1899-12-30T08:20:00"/>
    <d v="1899-12-30T10:55:00"/>
    <s v="D"/>
    <s v="08:20 AM"/>
    <s v="On Time"/>
    <s v="2 Hours 35 Minutes"/>
    <x v="1"/>
  </r>
  <r>
    <x v="491"/>
    <x v="121"/>
    <n v="20"/>
    <x v="1"/>
    <x v="4"/>
    <x v="0"/>
    <x v="0"/>
    <n v="41"/>
    <n v="92"/>
    <x v="0"/>
    <n v="15000"/>
    <n v="17700"/>
    <n v="0"/>
    <x v="1"/>
    <x v="0"/>
    <d v="2025-02-27T00:00:00"/>
    <d v="2025-08-26T00:00:00"/>
    <d v="1899-12-30T09:33:00"/>
    <d v="1899-12-30T12:51:00"/>
    <s v="D"/>
    <s v="09:33 AM"/>
    <s v="Delayed"/>
    <s v="3 Hours 18 Minutes"/>
    <x v="1"/>
  </r>
  <r>
    <x v="492"/>
    <x v="12"/>
    <n v="24"/>
    <x v="1"/>
    <x v="7"/>
    <x v="5"/>
    <x v="5"/>
    <n v="51"/>
    <n v="91"/>
    <x v="0"/>
    <n v="20000"/>
    <n v="23010"/>
    <n v="0"/>
    <x v="1"/>
    <x v="0"/>
    <d v="2025-02-21T00:00:00"/>
    <d v="2025-05-22T00:00:00"/>
    <d v="1899-12-30T09:37:00"/>
    <d v="1899-12-30T12:46:00"/>
    <s v="D"/>
    <s v="09:37 AM"/>
    <s v="On Time"/>
    <s v="3 Hours 9 Minutes"/>
    <x v="1"/>
  </r>
  <r>
    <x v="493"/>
    <x v="100"/>
    <n v="26"/>
    <x v="0"/>
    <x v="7"/>
    <x v="4"/>
    <x v="4"/>
    <n v="63"/>
    <n v="89"/>
    <x v="3"/>
    <n v="18000"/>
    <n v="18060"/>
    <n v="2000"/>
    <x v="0"/>
    <x v="0"/>
    <d v="2025-08-01T00:00:00"/>
    <d v="2025-09-30T00:00:00"/>
    <d v="1899-12-30T08:52:00"/>
    <d v="1899-12-30T11:28:00"/>
    <s v="C"/>
    <s v="08:52 AM"/>
    <s v="On Time"/>
    <s v="2 Hours 36 Minutes"/>
    <x v="1"/>
  </r>
  <r>
    <x v="494"/>
    <x v="125"/>
    <n v="19"/>
    <x v="1"/>
    <x v="2"/>
    <x v="1"/>
    <x v="1"/>
    <n v="74"/>
    <n v="97"/>
    <x v="3"/>
    <n v="15000"/>
    <n v="15110"/>
    <n v="2000"/>
    <x v="0"/>
    <x v="0"/>
    <d v="2025-10-17T00:00:00"/>
    <d v="2025-11-16T00:00:00"/>
    <d v="1899-12-30T09:34:00"/>
    <d v="1899-12-30T12:48:00"/>
    <s v="C"/>
    <s v="09:34 AM"/>
    <s v="On Time"/>
    <s v="3 Hours 14 Minutes"/>
    <x v="1"/>
  </r>
  <r>
    <x v="495"/>
    <x v="214"/>
    <n v="22"/>
    <x v="1"/>
    <x v="3"/>
    <x v="2"/>
    <x v="2"/>
    <n v="96"/>
    <n v="91"/>
    <x v="2"/>
    <n v="15000"/>
    <n v="15930"/>
    <n v="0"/>
    <x v="1"/>
    <x v="0"/>
    <d v="2025-05-11T00:00:00"/>
    <d v="2025-06-10T00:00:00"/>
    <d v="1899-12-30T08:39:00"/>
    <d v="1899-12-30T09:58:00"/>
    <s v="A"/>
    <s v="08:39 AM"/>
    <s v="On Time"/>
    <s v="1 Hours 19 Minutes"/>
    <x v="1"/>
  </r>
  <r>
    <x v="496"/>
    <x v="140"/>
    <n v="20"/>
    <x v="0"/>
    <x v="11"/>
    <x v="4"/>
    <x v="4"/>
    <n v="99"/>
    <n v="99"/>
    <x v="2"/>
    <n v="15000"/>
    <n v="11930"/>
    <n v="4000"/>
    <x v="0"/>
    <x v="0"/>
    <d v="2025-08-08T00:00:00"/>
    <d v="2025-09-07T00:00:00"/>
    <d v="1899-12-30T10:14:00"/>
    <d v="1899-12-30T11:56:00"/>
    <s v="A"/>
    <s v="10:14 AM"/>
    <s v="On Time"/>
    <s v="1 Hours 42 Minutes"/>
    <x v="0"/>
  </r>
  <r>
    <x v="497"/>
    <x v="133"/>
    <n v="27"/>
    <x v="0"/>
    <x v="10"/>
    <x v="1"/>
    <x v="1"/>
    <n v="90"/>
    <n v="74"/>
    <x v="2"/>
    <n v="15000"/>
    <n v="12520"/>
    <n v="4000"/>
    <x v="0"/>
    <x v="0"/>
    <d v="2025-07-13T00:00:00"/>
    <d v="2025-09-11T00:00:00"/>
    <d v="1899-12-30T10:39:00"/>
    <d v="1899-12-30T15:06:00"/>
    <s v="A"/>
    <s v="10:39 AM"/>
    <s v="On Time"/>
    <s v="4 Hours 27 Minutes"/>
    <x v="0"/>
  </r>
  <r>
    <x v="498"/>
    <x v="215"/>
    <n v="18"/>
    <x v="1"/>
    <x v="0"/>
    <x v="3"/>
    <x v="3"/>
    <n v="46"/>
    <n v="95"/>
    <x v="0"/>
    <n v="20000"/>
    <n v="21600"/>
    <n v="2000"/>
    <x v="0"/>
    <x v="0"/>
    <d v="2025-11-27T00:00:00"/>
    <d v="2026-01-26T00:00:00"/>
    <d v="1899-12-30T09:27:00"/>
    <d v="1899-12-30T10:55:00"/>
    <s v="D"/>
    <s v="09:27 AM"/>
    <s v="On Time"/>
    <s v="1 Hours 28 Minutes"/>
    <x v="1"/>
  </r>
  <r>
    <x v="499"/>
    <x v="153"/>
    <n v="24"/>
    <x v="0"/>
    <x v="2"/>
    <x v="0"/>
    <x v="0"/>
    <n v="85"/>
    <n v="93"/>
    <x v="1"/>
    <n v="20000"/>
    <n v="22420"/>
    <n v="0"/>
    <x v="1"/>
    <x v="0"/>
    <d v="2025-03-04T00:00:00"/>
    <d v="2025-06-02T00:00:00"/>
    <d v="1899-12-30T10:32:00"/>
    <d v="1899-12-30T14:59:00"/>
    <s v="B"/>
    <s v="10:32 AM"/>
    <s v="On Time"/>
    <s v="4 Hours 27 Minutes"/>
    <x v="0"/>
  </r>
  <r>
    <x v="500"/>
    <x v="129"/>
    <n v="26"/>
    <x v="0"/>
    <x v="9"/>
    <x v="1"/>
    <x v="1"/>
    <n v="56"/>
    <n v="78"/>
    <x v="0"/>
    <n v="12000"/>
    <n v="8980"/>
    <n v="4000"/>
    <x v="0"/>
    <x v="0"/>
    <d v="2025-12-11T00:00:00"/>
    <d v="2026-03-11T00:00:00"/>
    <d v="1899-12-30T08:57:00"/>
    <d v="1899-12-30T11:17:00"/>
    <s v="D"/>
    <s v="08:57 AM"/>
    <s v="On Time"/>
    <s v="2 Hours 20 Minutes"/>
    <x v="1"/>
  </r>
  <r>
    <x v="501"/>
    <x v="89"/>
    <n v="27"/>
    <x v="1"/>
    <x v="0"/>
    <x v="2"/>
    <x v="2"/>
    <n v="75"/>
    <n v="62"/>
    <x v="1"/>
    <n v="15000"/>
    <n v="14520"/>
    <n v="2000"/>
    <x v="0"/>
    <x v="0"/>
    <d v="2025-03-16T00:00:00"/>
    <d v="2025-06-14T00:00:00"/>
    <d v="1899-12-30T08:43:00"/>
    <d v="1899-12-30T13:41:00"/>
    <s v="B"/>
    <s v="08:43 AM"/>
    <s v="On Time"/>
    <s v="4 Hours 58 Minutes"/>
    <x v="1"/>
  </r>
  <r>
    <x v="502"/>
    <x v="133"/>
    <n v="28"/>
    <x v="1"/>
    <x v="10"/>
    <x v="5"/>
    <x v="5"/>
    <n v="62"/>
    <n v="74"/>
    <x v="3"/>
    <n v="10000"/>
    <n v="11800"/>
    <n v="0"/>
    <x v="1"/>
    <x v="0"/>
    <d v="2025-03-07T00:00:00"/>
    <d v="2025-09-03T00:00:00"/>
    <d v="1899-12-30T09:23:00"/>
    <d v="1899-12-30T12:48:00"/>
    <s v="C"/>
    <s v="09:23 AM"/>
    <s v="Delayed"/>
    <s v="3 Hours 25 Minutes"/>
    <x v="1"/>
  </r>
  <r>
    <x v="503"/>
    <x v="0"/>
    <n v="25"/>
    <x v="1"/>
    <x v="2"/>
    <x v="4"/>
    <x v="4"/>
    <n v="36"/>
    <n v="71"/>
    <x v="0"/>
    <n v="18000"/>
    <n v="18650"/>
    <n v="2000"/>
    <x v="0"/>
    <x v="0"/>
    <d v="2025-08-19T00:00:00"/>
    <d v="2025-10-18T00:00:00"/>
    <d v="1899-12-30T09:39:00"/>
    <d v="1899-12-30T14:19:00"/>
    <s v="D"/>
    <s v="09:39 AM"/>
    <s v="On Time"/>
    <s v="4 Hours 40 Minutes"/>
    <x v="1"/>
  </r>
  <r>
    <x v="504"/>
    <x v="178"/>
    <n v="23"/>
    <x v="1"/>
    <x v="5"/>
    <x v="7"/>
    <x v="7"/>
    <n v="56"/>
    <n v="91"/>
    <x v="0"/>
    <n v="12000"/>
    <n v="9570"/>
    <n v="4000"/>
    <x v="0"/>
    <x v="0"/>
    <d v="2025-08-22T00:00:00"/>
    <d v="2025-09-21T00:00:00"/>
    <d v="1899-12-30T10:30:00"/>
    <d v="1899-12-30T14:47:00"/>
    <s v="D"/>
    <s v="10:30 AM"/>
    <s v="On Time"/>
    <s v="4 Hours 17 Minutes"/>
    <x v="0"/>
  </r>
  <r>
    <x v="505"/>
    <x v="123"/>
    <n v="18"/>
    <x v="0"/>
    <x v="3"/>
    <x v="0"/>
    <x v="0"/>
    <n v="70"/>
    <n v="75"/>
    <x v="3"/>
    <n v="20000"/>
    <n v="23600"/>
    <n v="0"/>
    <x v="1"/>
    <x v="0"/>
    <d v="2025-07-11T00:00:00"/>
    <d v="2025-11-08T00:00:00"/>
    <d v="1899-12-30T09:16:00"/>
    <d v="1899-12-30T12:21:00"/>
    <s v="C"/>
    <s v="09:16 AM"/>
    <s v="Delayed"/>
    <s v="3 Hours 5 Minutes"/>
    <x v="1"/>
  </r>
  <r>
    <x v="506"/>
    <x v="112"/>
    <n v="20"/>
    <x v="1"/>
    <x v="8"/>
    <x v="6"/>
    <x v="6"/>
    <n v="46"/>
    <n v="75"/>
    <x v="0"/>
    <n v="20000"/>
    <n v="22420"/>
    <n v="0"/>
    <x v="1"/>
    <x v="0"/>
    <d v="2025-07-29T00:00:00"/>
    <d v="2025-09-27T00:00:00"/>
    <d v="1899-12-30T10:47:00"/>
    <d v="1899-12-30T14:24:00"/>
    <s v="D"/>
    <s v="10:47 AM"/>
    <s v="On Time"/>
    <s v="3 Hours 37 Minutes"/>
    <x v="0"/>
  </r>
  <r>
    <x v="507"/>
    <x v="122"/>
    <n v="22"/>
    <x v="0"/>
    <x v="3"/>
    <x v="3"/>
    <x v="3"/>
    <n v="47"/>
    <n v="92"/>
    <x v="0"/>
    <n v="20000"/>
    <n v="21600"/>
    <n v="2000"/>
    <x v="0"/>
    <x v="0"/>
    <d v="2025-02-27T00:00:00"/>
    <d v="2025-05-28T00:00:00"/>
    <d v="1899-12-30T09:04:00"/>
    <d v="1899-12-30T12:24:00"/>
    <s v="D"/>
    <s v="09:04 AM"/>
    <s v="On Time"/>
    <s v="3 Hours 20 Minutes"/>
    <x v="1"/>
  </r>
  <r>
    <x v="508"/>
    <x v="83"/>
    <n v="21"/>
    <x v="1"/>
    <x v="0"/>
    <x v="7"/>
    <x v="7"/>
    <n v="68"/>
    <n v="85"/>
    <x v="3"/>
    <n v="12000"/>
    <n v="10390"/>
    <n v="2000"/>
    <x v="0"/>
    <x v="0"/>
    <d v="2025-10-22T00:00:00"/>
    <d v="2026-04-20T00:00:00"/>
    <d v="1899-12-30T08:50:00"/>
    <d v="1899-12-30T10:04:00"/>
    <s v="C"/>
    <s v="08:50 AM"/>
    <s v="Delayed"/>
    <s v="1 Hours 14 Minutes"/>
    <x v="1"/>
  </r>
  <r>
    <x v="509"/>
    <x v="57"/>
    <n v="18"/>
    <x v="1"/>
    <x v="0"/>
    <x v="6"/>
    <x v="6"/>
    <n v="35"/>
    <n v="88"/>
    <x v="0"/>
    <n v="18000"/>
    <n v="18650"/>
    <n v="2000"/>
    <x v="0"/>
    <x v="0"/>
    <d v="2025-01-22T00:00:00"/>
    <d v="2025-07-21T00:00:00"/>
    <d v="1899-12-30T08:13:00"/>
    <d v="1899-12-30T10:23:00"/>
    <s v="D"/>
    <s v="08:13 AM"/>
    <s v="Delayed"/>
    <s v="2 Hours 10 Minutes"/>
    <x v="1"/>
  </r>
  <r>
    <x v="510"/>
    <x v="81"/>
    <n v="25"/>
    <x v="1"/>
    <x v="1"/>
    <x v="6"/>
    <x v="6"/>
    <n v="66"/>
    <n v="96"/>
    <x v="3"/>
    <n v="20000"/>
    <n v="21600"/>
    <n v="2000"/>
    <x v="0"/>
    <x v="0"/>
    <d v="2025-01-02T00:00:00"/>
    <d v="2025-04-02T00:00:00"/>
    <d v="1899-12-30T10:08:00"/>
    <d v="1899-12-30T15:02:00"/>
    <s v="C"/>
    <s v="10:08 AM"/>
    <s v="On Time"/>
    <s v="4 Hours 54 Minutes"/>
    <x v="0"/>
  </r>
  <r>
    <x v="511"/>
    <x v="216"/>
    <n v="27"/>
    <x v="0"/>
    <x v="2"/>
    <x v="5"/>
    <x v="5"/>
    <n v="84"/>
    <n v="86"/>
    <x v="1"/>
    <n v="12000"/>
    <n v="10390"/>
    <n v="2000"/>
    <x v="0"/>
    <x v="0"/>
    <d v="2025-09-07T00:00:00"/>
    <d v="2025-12-06T00:00:00"/>
    <d v="1899-12-30T08:29:00"/>
    <d v="1899-12-30T10:14:00"/>
    <s v="B"/>
    <s v="08:29 AM"/>
    <s v="On Time"/>
    <s v="1 Hours 45 Minutes"/>
    <x v="1"/>
  </r>
  <r>
    <x v="512"/>
    <x v="138"/>
    <n v="21"/>
    <x v="1"/>
    <x v="3"/>
    <x v="4"/>
    <x v="4"/>
    <n v="68"/>
    <n v="71"/>
    <x v="3"/>
    <n v="15000"/>
    <n v="17110"/>
    <n v="0"/>
    <x v="1"/>
    <x v="0"/>
    <d v="2025-07-25T00:00:00"/>
    <d v="2026-01-21T00:00:00"/>
    <d v="1899-12-30T08:12:00"/>
    <d v="1899-12-30T10:12:00"/>
    <s v="C"/>
    <s v="08:12 AM"/>
    <s v="Delayed"/>
    <s v="2 Hours 0 Minutes"/>
    <x v="1"/>
  </r>
  <r>
    <x v="513"/>
    <x v="184"/>
    <n v="21"/>
    <x v="1"/>
    <x v="6"/>
    <x v="5"/>
    <x v="5"/>
    <n v="64"/>
    <n v="75"/>
    <x v="3"/>
    <n v="12000"/>
    <n v="10160"/>
    <n v="4000"/>
    <x v="0"/>
    <x v="0"/>
    <d v="2025-07-24T00:00:00"/>
    <d v="2025-09-22T00:00:00"/>
    <d v="1899-12-30T10:55:00"/>
    <d v="1899-12-30T13:35:00"/>
    <s v="C"/>
    <s v="10:55 AM"/>
    <s v="On Time"/>
    <s v="2 Hours 40 Minutes"/>
    <x v="0"/>
  </r>
  <r>
    <x v="514"/>
    <x v="99"/>
    <n v="22"/>
    <x v="0"/>
    <x v="0"/>
    <x v="1"/>
    <x v="1"/>
    <n v="97"/>
    <n v="67"/>
    <x v="2"/>
    <n v="12000"/>
    <n v="11570"/>
    <n v="2000"/>
    <x v="0"/>
    <x v="0"/>
    <d v="2025-08-25T00:00:00"/>
    <d v="2025-10-24T00:00:00"/>
    <d v="1899-12-30T10:20:00"/>
    <d v="1899-12-30T14:18:00"/>
    <s v="A"/>
    <s v="10:20 AM"/>
    <s v="On Time"/>
    <s v="3 Hours 58 Minutes"/>
    <x v="0"/>
  </r>
  <r>
    <x v="515"/>
    <x v="109"/>
    <n v="24"/>
    <x v="1"/>
    <x v="1"/>
    <x v="3"/>
    <x v="3"/>
    <n v="93"/>
    <n v="83"/>
    <x v="2"/>
    <n v="20000"/>
    <n v="17830"/>
    <n v="4000"/>
    <x v="0"/>
    <x v="0"/>
    <d v="2025-03-21T00:00:00"/>
    <d v="2025-06-19T00:00:00"/>
    <d v="1899-12-30T10:45:00"/>
    <d v="1899-12-30T12:20:00"/>
    <s v="A"/>
    <s v="10:45 AM"/>
    <s v="On Time"/>
    <s v="1 Hours 35 Minutes"/>
    <x v="0"/>
  </r>
  <r>
    <x v="516"/>
    <x v="102"/>
    <n v="18"/>
    <x v="1"/>
    <x v="11"/>
    <x v="6"/>
    <x v="6"/>
    <n v="75"/>
    <n v="78"/>
    <x v="1"/>
    <n v="20000"/>
    <n v="23010"/>
    <n v="0"/>
    <x v="1"/>
    <x v="0"/>
    <d v="2025-04-08T00:00:00"/>
    <d v="2025-10-05T00:00:00"/>
    <d v="1899-12-30T08:22:00"/>
    <d v="1899-12-30T11:05:00"/>
    <s v="B"/>
    <s v="08:22 AM"/>
    <s v="Delayed"/>
    <s v="2 Hours 43 Minutes"/>
    <x v="1"/>
  </r>
  <r>
    <x v="517"/>
    <x v="62"/>
    <n v="23"/>
    <x v="1"/>
    <x v="5"/>
    <x v="2"/>
    <x v="2"/>
    <n v="75"/>
    <n v="78"/>
    <x v="1"/>
    <n v="12000"/>
    <n v="9570"/>
    <n v="4000"/>
    <x v="0"/>
    <x v="0"/>
    <d v="2025-08-24T00:00:00"/>
    <d v="2025-10-23T00:00:00"/>
    <d v="1899-12-30T08:12:00"/>
    <d v="1899-12-30T12:17:00"/>
    <s v="B"/>
    <s v="08:12 AM"/>
    <s v="On Time"/>
    <s v="4 Hours 5 Minutes"/>
    <x v="1"/>
  </r>
  <r>
    <x v="518"/>
    <x v="68"/>
    <n v="26"/>
    <x v="1"/>
    <x v="6"/>
    <x v="5"/>
    <x v="5"/>
    <n v="95"/>
    <n v="71"/>
    <x v="2"/>
    <n v="18000"/>
    <n v="18060"/>
    <n v="2000"/>
    <x v="0"/>
    <x v="0"/>
    <d v="2025-01-04T00:00:00"/>
    <d v="2025-07-03T00:00:00"/>
    <d v="1899-12-30T10:35:00"/>
    <d v="1899-12-30T11:44:00"/>
    <s v="A"/>
    <s v="10:35 AM"/>
    <s v="Delayed"/>
    <s v="1 Hours 9 Minutes"/>
    <x v="0"/>
  </r>
  <r>
    <x v="519"/>
    <x v="67"/>
    <n v="20"/>
    <x v="0"/>
    <x v="5"/>
    <x v="1"/>
    <x v="1"/>
    <n v="62"/>
    <n v="90"/>
    <x v="3"/>
    <n v="18000"/>
    <n v="20060"/>
    <n v="0"/>
    <x v="1"/>
    <x v="0"/>
    <d v="2025-02-11T00:00:00"/>
    <d v="2025-06-11T00:00:00"/>
    <d v="1899-12-30T10:20:00"/>
    <d v="1899-12-30T12:07:00"/>
    <s v="C"/>
    <s v="10:20 AM"/>
    <s v="Delayed"/>
    <s v="1 Hours 47 Minutes"/>
    <x v="0"/>
  </r>
  <r>
    <x v="520"/>
    <x v="217"/>
    <n v="24"/>
    <x v="0"/>
    <x v="4"/>
    <x v="0"/>
    <x v="0"/>
    <n v="79"/>
    <n v="74"/>
    <x v="1"/>
    <n v="10000"/>
    <n v="6620"/>
    <n v="4000"/>
    <x v="0"/>
    <x v="0"/>
    <d v="2025-09-14T00:00:00"/>
    <d v="2025-10-14T00:00:00"/>
    <d v="1899-12-30T09:27:00"/>
    <d v="1899-12-30T11:54:00"/>
    <s v="B"/>
    <s v="09:27 AM"/>
    <s v="On Time"/>
    <s v="2 Hours 27 Minutes"/>
    <x v="1"/>
  </r>
  <r>
    <x v="521"/>
    <x v="218"/>
    <n v="20"/>
    <x v="1"/>
    <x v="3"/>
    <x v="7"/>
    <x v="7"/>
    <n v="54"/>
    <n v="97"/>
    <x v="0"/>
    <n v="15000"/>
    <n v="13700"/>
    <n v="4000"/>
    <x v="0"/>
    <x v="0"/>
    <d v="2025-04-25T00:00:00"/>
    <d v="2025-06-24T00:00:00"/>
    <d v="1899-12-30T08:25:00"/>
    <d v="1899-12-30T12:54:00"/>
    <s v="D"/>
    <s v="08:25 AM"/>
    <s v="On Time"/>
    <s v="4 Hours 29 Minutes"/>
    <x v="1"/>
  </r>
  <r>
    <x v="522"/>
    <x v="205"/>
    <n v="28"/>
    <x v="0"/>
    <x v="5"/>
    <x v="1"/>
    <x v="1"/>
    <n v="96"/>
    <n v="90"/>
    <x v="2"/>
    <n v="15000"/>
    <n v="15700"/>
    <n v="2000"/>
    <x v="0"/>
    <x v="0"/>
    <d v="2025-06-12T00:00:00"/>
    <d v="2025-10-10T00:00:00"/>
    <d v="1899-12-30T10:32:00"/>
    <d v="1899-12-30T14:18:00"/>
    <s v="A"/>
    <s v="10:32 AM"/>
    <s v="Delayed"/>
    <s v="3 Hours 46 Minutes"/>
    <x v="0"/>
  </r>
  <r>
    <x v="523"/>
    <x v="58"/>
    <n v="25"/>
    <x v="0"/>
    <x v="3"/>
    <x v="4"/>
    <x v="4"/>
    <n v="84"/>
    <n v="86"/>
    <x v="1"/>
    <n v="15000"/>
    <n v="11930"/>
    <n v="4000"/>
    <x v="0"/>
    <x v="0"/>
    <d v="2025-05-30T00:00:00"/>
    <d v="2025-06-29T00:00:00"/>
    <d v="1899-12-30T10:11:00"/>
    <d v="1899-12-30T13:50:00"/>
    <s v="B"/>
    <s v="10:11 AM"/>
    <s v="On Time"/>
    <s v="3 Hours 39 Minutes"/>
    <x v="0"/>
  </r>
  <r>
    <x v="524"/>
    <x v="162"/>
    <n v="20"/>
    <x v="0"/>
    <x v="9"/>
    <x v="0"/>
    <x v="0"/>
    <n v="82"/>
    <n v="65"/>
    <x v="1"/>
    <n v="10000"/>
    <n v="7210"/>
    <n v="4000"/>
    <x v="0"/>
    <x v="0"/>
    <d v="2025-07-06T00:00:00"/>
    <d v="2026-01-02T00:00:00"/>
    <d v="1899-12-30T10:33:00"/>
    <d v="1899-12-30T15:28:00"/>
    <s v="B"/>
    <s v="10:33 AM"/>
    <s v="Delayed"/>
    <s v="4 Hours 55 Minutes"/>
    <x v="0"/>
  </r>
  <r>
    <x v="525"/>
    <x v="60"/>
    <n v="18"/>
    <x v="0"/>
    <x v="0"/>
    <x v="1"/>
    <x v="1"/>
    <n v="47"/>
    <n v="66"/>
    <x v="0"/>
    <n v="10000"/>
    <n v="10620"/>
    <n v="0"/>
    <x v="1"/>
    <x v="0"/>
    <d v="2025-11-04T00:00:00"/>
    <d v="2026-02-02T00:00:00"/>
    <d v="1899-12-30T10:22:00"/>
    <d v="1899-12-30T14:19:00"/>
    <s v="D"/>
    <s v="10:22 AM"/>
    <s v="On Time"/>
    <s v="3 Hours 57 Minutes"/>
    <x v="0"/>
  </r>
  <r>
    <x v="526"/>
    <x v="77"/>
    <n v="24"/>
    <x v="1"/>
    <x v="5"/>
    <x v="1"/>
    <x v="1"/>
    <n v="88"/>
    <n v="83"/>
    <x v="1"/>
    <n v="10000"/>
    <n v="10030"/>
    <n v="0"/>
    <x v="1"/>
    <x v="0"/>
    <d v="2025-01-29T00:00:00"/>
    <d v="2025-07-28T00:00:00"/>
    <d v="1899-12-30T09:10:00"/>
    <d v="1899-12-30T10:19:00"/>
    <s v="B"/>
    <s v="09:10 AM"/>
    <s v="Delayed"/>
    <s v="1 Hours 9 Minutes"/>
    <x v="1"/>
  </r>
  <r>
    <x v="527"/>
    <x v="61"/>
    <n v="25"/>
    <x v="0"/>
    <x v="11"/>
    <x v="5"/>
    <x v="5"/>
    <n v="98"/>
    <n v="77"/>
    <x v="2"/>
    <n v="12000"/>
    <n v="8390"/>
    <n v="4000"/>
    <x v="0"/>
    <x v="0"/>
    <d v="2025-08-23T00:00:00"/>
    <d v="2025-10-22T00:00:00"/>
    <d v="1899-12-30T10:52:00"/>
    <d v="1899-12-30T12:44:00"/>
    <s v="A"/>
    <s v="10:52 AM"/>
    <s v="On Time"/>
    <s v="1 Hours 52 Minutes"/>
    <x v="0"/>
  </r>
  <r>
    <x v="528"/>
    <x v="26"/>
    <n v="28"/>
    <x v="0"/>
    <x v="8"/>
    <x v="5"/>
    <x v="5"/>
    <n v="62"/>
    <n v="98"/>
    <x v="3"/>
    <n v="18000"/>
    <n v="18650"/>
    <n v="2000"/>
    <x v="0"/>
    <x v="0"/>
    <d v="2025-07-24T00:00:00"/>
    <d v="2026-01-20T00:00:00"/>
    <d v="1899-12-30T08:25:00"/>
    <d v="1899-12-30T12:59:00"/>
    <s v="C"/>
    <s v="08:25 AM"/>
    <s v="Delayed"/>
    <s v="4 Hours 34 Minutes"/>
    <x v="1"/>
  </r>
  <r>
    <x v="529"/>
    <x v="165"/>
    <n v="23"/>
    <x v="0"/>
    <x v="6"/>
    <x v="0"/>
    <x v="0"/>
    <n v="51"/>
    <n v="73"/>
    <x v="0"/>
    <n v="10000"/>
    <n v="11210"/>
    <n v="0"/>
    <x v="1"/>
    <x v="0"/>
    <d v="2025-04-19T00:00:00"/>
    <d v="2025-10-16T00:00:00"/>
    <d v="1899-12-30T10:17:00"/>
    <d v="1899-12-30T14:13:00"/>
    <s v="D"/>
    <s v="10:17 AM"/>
    <s v="Delayed"/>
    <s v="3 Hours 56 Minutes"/>
    <x v="0"/>
  </r>
  <r>
    <x v="530"/>
    <x v="120"/>
    <n v="18"/>
    <x v="1"/>
    <x v="8"/>
    <x v="0"/>
    <x v="0"/>
    <n v="36"/>
    <n v="84"/>
    <x v="0"/>
    <n v="18000"/>
    <n v="15470"/>
    <n v="4000"/>
    <x v="0"/>
    <x v="0"/>
    <d v="2025-10-30T00:00:00"/>
    <d v="2025-12-29T00:00:00"/>
    <d v="1899-12-30T09:02:00"/>
    <d v="1899-12-30T13:16:00"/>
    <s v="D"/>
    <s v="09:02 AM"/>
    <s v="On Time"/>
    <s v="4 Hours 14 Minutes"/>
    <x v="1"/>
  </r>
  <r>
    <x v="531"/>
    <x v="148"/>
    <n v="26"/>
    <x v="1"/>
    <x v="7"/>
    <x v="1"/>
    <x v="1"/>
    <n v="38"/>
    <n v="61"/>
    <x v="0"/>
    <n v="12000"/>
    <n v="10980"/>
    <n v="2000"/>
    <x v="0"/>
    <x v="0"/>
    <d v="2025-04-10T00:00:00"/>
    <d v="2025-08-08T00:00:00"/>
    <d v="1899-12-30T09:23:00"/>
    <d v="1899-12-30T12:56:00"/>
    <s v="D"/>
    <s v="09:23 AM"/>
    <s v="Delayed"/>
    <s v="3 Hours 33 Minutes"/>
    <x v="1"/>
  </r>
  <r>
    <x v="532"/>
    <x v="125"/>
    <n v="28"/>
    <x v="1"/>
    <x v="8"/>
    <x v="7"/>
    <x v="7"/>
    <n v="92"/>
    <n v="68"/>
    <x v="2"/>
    <n v="20000"/>
    <n v="18420"/>
    <n v="4000"/>
    <x v="0"/>
    <x v="0"/>
    <d v="2025-09-27T00:00:00"/>
    <d v="2025-11-26T00:00:00"/>
    <d v="1899-12-30T08:04:00"/>
    <d v="1899-12-30T10:33:00"/>
    <s v="A"/>
    <s v="08:04 AM"/>
    <s v="On Time"/>
    <s v="2 Hours 29 Minutes"/>
    <x v="1"/>
  </r>
  <r>
    <x v="533"/>
    <x v="74"/>
    <n v="18"/>
    <x v="0"/>
    <x v="1"/>
    <x v="6"/>
    <x v="6"/>
    <n v="70"/>
    <n v="79"/>
    <x v="3"/>
    <n v="18000"/>
    <n v="17240"/>
    <n v="4000"/>
    <x v="0"/>
    <x v="0"/>
    <d v="2025-04-28T00:00:00"/>
    <d v="2025-08-26T00:00:00"/>
    <d v="1899-12-30T10:02:00"/>
    <d v="1899-12-30T13:27:00"/>
    <s v="C"/>
    <s v="10:02 AM"/>
    <s v="Delayed"/>
    <s v="3 Hours 25 Minutes"/>
    <x v="0"/>
  </r>
  <r>
    <x v="534"/>
    <x v="216"/>
    <n v="18"/>
    <x v="1"/>
    <x v="9"/>
    <x v="7"/>
    <x v="7"/>
    <n v="77"/>
    <n v="94"/>
    <x v="1"/>
    <n v="15000"/>
    <n v="13110"/>
    <n v="4000"/>
    <x v="0"/>
    <x v="0"/>
    <d v="2025-01-12T00:00:00"/>
    <d v="2025-05-12T00:00:00"/>
    <d v="1899-12-30T10:51:00"/>
    <d v="1899-12-30T13:22:00"/>
    <s v="B"/>
    <s v="10:51 AM"/>
    <s v="Delayed"/>
    <s v="2 Hours 31 Minutes"/>
    <x v="0"/>
  </r>
  <r>
    <x v="535"/>
    <x v="91"/>
    <n v="24"/>
    <x v="0"/>
    <x v="4"/>
    <x v="7"/>
    <x v="7"/>
    <n v="55"/>
    <n v="62"/>
    <x v="0"/>
    <n v="15000"/>
    <n v="13700"/>
    <n v="4000"/>
    <x v="0"/>
    <x v="1"/>
    <d v="2025-12-25T00:00:00"/>
    <d v="2026-06-23T00:00:00"/>
    <d v="1899-12-30T08:14:00"/>
    <d v="1899-12-30T10:15:00"/>
    <s v="D"/>
    <s v="08:14 AM"/>
    <s v="Delayed"/>
    <s v="2 Hours 1 Minutes"/>
    <x v="1"/>
  </r>
  <r>
    <x v="536"/>
    <x v="218"/>
    <n v="18"/>
    <x v="1"/>
    <x v="4"/>
    <x v="2"/>
    <x v="2"/>
    <n v="76"/>
    <n v="62"/>
    <x v="1"/>
    <n v="10000"/>
    <n v="7210"/>
    <n v="4000"/>
    <x v="0"/>
    <x v="0"/>
    <d v="2025-11-20T00:00:00"/>
    <d v="2026-05-19T00:00:00"/>
    <d v="1899-12-30T08:34:00"/>
    <d v="1899-12-30T09:34:00"/>
    <s v="B"/>
    <s v="08:34 AM"/>
    <s v="Delayed"/>
    <s v="1 Hours 0 Minutes"/>
    <x v="1"/>
  </r>
  <r>
    <x v="537"/>
    <x v="180"/>
    <n v="21"/>
    <x v="1"/>
    <x v="2"/>
    <x v="6"/>
    <x v="6"/>
    <n v="74"/>
    <n v="85"/>
    <x v="3"/>
    <n v="18000"/>
    <n v="19240"/>
    <n v="2000"/>
    <x v="0"/>
    <x v="0"/>
    <d v="2025-05-18T00:00:00"/>
    <d v="2025-06-17T00:00:00"/>
    <d v="1899-12-30T10:19:00"/>
    <d v="1899-12-30T11:52:00"/>
    <s v="C"/>
    <s v="10:19 AM"/>
    <s v="On Time"/>
    <s v="1 Hours 33 Minutes"/>
    <x v="0"/>
  </r>
  <r>
    <x v="538"/>
    <x v="12"/>
    <n v="20"/>
    <x v="0"/>
    <x v="9"/>
    <x v="1"/>
    <x v="1"/>
    <n v="54"/>
    <n v="88"/>
    <x v="0"/>
    <n v="12000"/>
    <n v="11570"/>
    <n v="2000"/>
    <x v="0"/>
    <x v="0"/>
    <d v="2025-01-09T00:00:00"/>
    <d v="2025-02-08T00:00:00"/>
    <d v="1899-12-30T09:58:00"/>
    <d v="1899-12-30T11:50:00"/>
    <s v="D"/>
    <s v="09:58 AM"/>
    <s v="On Time"/>
    <s v="1 Hours 52 Minutes"/>
    <x v="1"/>
  </r>
  <r>
    <x v="539"/>
    <x v="176"/>
    <n v="25"/>
    <x v="0"/>
    <x v="8"/>
    <x v="5"/>
    <x v="5"/>
    <n v="50"/>
    <n v="87"/>
    <x v="0"/>
    <n v="15000"/>
    <n v="11930"/>
    <n v="4000"/>
    <x v="0"/>
    <x v="0"/>
    <d v="2025-09-15T00:00:00"/>
    <d v="2026-01-13T00:00:00"/>
    <d v="1899-12-30T08:52:00"/>
    <d v="1899-12-30T10:20:00"/>
    <s v="D"/>
    <s v="08:52 AM"/>
    <s v="Delayed"/>
    <s v="1 Hours 28 Minutes"/>
    <x v="1"/>
  </r>
  <r>
    <x v="540"/>
    <x v="136"/>
    <n v="28"/>
    <x v="0"/>
    <x v="5"/>
    <x v="1"/>
    <x v="1"/>
    <n v="85"/>
    <n v="67"/>
    <x v="1"/>
    <n v="15000"/>
    <n v="13700"/>
    <n v="4000"/>
    <x v="0"/>
    <x v="0"/>
    <d v="2025-09-22T00:00:00"/>
    <d v="2025-10-22T00:00:00"/>
    <d v="1899-12-30T09:36:00"/>
    <d v="1899-12-30T12:12:00"/>
    <s v="B"/>
    <s v="09:36 AM"/>
    <s v="On Time"/>
    <s v="2 Hours 36 Minutes"/>
    <x v="1"/>
  </r>
  <r>
    <x v="541"/>
    <x v="45"/>
    <n v="23"/>
    <x v="0"/>
    <x v="1"/>
    <x v="6"/>
    <x v="6"/>
    <n v="75"/>
    <n v="64"/>
    <x v="1"/>
    <n v="10000"/>
    <n v="8620"/>
    <n v="2000"/>
    <x v="0"/>
    <x v="1"/>
    <d v="2025-05-22T00:00:00"/>
    <d v="2025-11-18T00:00:00"/>
    <d v="1899-12-30T08:16:00"/>
    <d v="1899-12-30T09:46:00"/>
    <s v="B"/>
    <s v="08:16 AM"/>
    <s v="Delayed"/>
    <s v="1 Hours 30 Minutes"/>
    <x v="1"/>
  </r>
  <r>
    <x v="542"/>
    <x v="205"/>
    <n v="24"/>
    <x v="1"/>
    <x v="7"/>
    <x v="0"/>
    <x v="0"/>
    <n v="46"/>
    <n v="100"/>
    <x v="0"/>
    <n v="15000"/>
    <n v="14520"/>
    <n v="2000"/>
    <x v="0"/>
    <x v="0"/>
    <d v="2025-02-16T00:00:00"/>
    <d v="2025-08-15T00:00:00"/>
    <d v="1899-12-30T09:35:00"/>
    <d v="1899-12-30T13:55:00"/>
    <s v="D"/>
    <s v="09:35 AM"/>
    <s v="Delayed"/>
    <s v="4 Hours 20 Minutes"/>
    <x v="1"/>
  </r>
  <r>
    <x v="543"/>
    <x v="38"/>
    <n v="22"/>
    <x v="0"/>
    <x v="8"/>
    <x v="4"/>
    <x v="4"/>
    <n v="44"/>
    <n v="83"/>
    <x v="0"/>
    <n v="10000"/>
    <n v="11210"/>
    <n v="0"/>
    <x v="1"/>
    <x v="0"/>
    <d v="2025-09-13T00:00:00"/>
    <d v="2026-03-12T00:00:00"/>
    <d v="1899-12-30T11:00:00"/>
    <d v="1899-12-30T12:15:00"/>
    <s v="D"/>
    <s v="11:00 AM"/>
    <s v="Delayed"/>
    <s v="1 Hours 15 Minutes"/>
    <x v="0"/>
  </r>
  <r>
    <x v="544"/>
    <x v="141"/>
    <n v="23"/>
    <x v="0"/>
    <x v="0"/>
    <x v="6"/>
    <x v="6"/>
    <n v="89"/>
    <n v="89"/>
    <x v="1"/>
    <n v="12000"/>
    <n v="14160"/>
    <n v="0"/>
    <x v="1"/>
    <x v="0"/>
    <d v="2025-05-08T00:00:00"/>
    <d v="2025-08-06T00:00:00"/>
    <d v="1899-12-30T09:53:00"/>
    <d v="1899-12-30T12:06:00"/>
    <s v="B"/>
    <s v="09:53 AM"/>
    <s v="On Time"/>
    <s v="2 Hours 13 Minutes"/>
    <x v="1"/>
  </r>
  <r>
    <x v="545"/>
    <x v="205"/>
    <n v="24"/>
    <x v="1"/>
    <x v="5"/>
    <x v="0"/>
    <x v="0"/>
    <n v="38"/>
    <n v="93"/>
    <x v="0"/>
    <n v="20000"/>
    <n v="21600"/>
    <n v="2000"/>
    <x v="0"/>
    <x v="0"/>
    <d v="2025-06-24T00:00:00"/>
    <d v="2025-10-22T00:00:00"/>
    <d v="1899-12-30T08:00:00"/>
    <d v="1899-12-30T12:54:00"/>
    <s v="D"/>
    <s v="08:00 AM"/>
    <s v="Delayed"/>
    <s v="4 Hours 54 Minutes"/>
    <x v="1"/>
  </r>
  <r>
    <x v="546"/>
    <x v="153"/>
    <n v="19"/>
    <x v="0"/>
    <x v="2"/>
    <x v="2"/>
    <x v="2"/>
    <n v="92"/>
    <n v="89"/>
    <x v="2"/>
    <n v="10000"/>
    <n v="9800"/>
    <n v="2000"/>
    <x v="0"/>
    <x v="0"/>
    <d v="2025-12-09T00:00:00"/>
    <d v="2026-03-09T00:00:00"/>
    <d v="1899-12-30T10:47:00"/>
    <d v="1899-12-30T13:06:00"/>
    <s v="A"/>
    <s v="10:47 AM"/>
    <s v="On Time"/>
    <s v="2 Hours 19 Minutes"/>
    <x v="0"/>
  </r>
  <r>
    <x v="547"/>
    <x v="164"/>
    <n v="25"/>
    <x v="1"/>
    <x v="1"/>
    <x v="2"/>
    <x v="2"/>
    <n v="92"/>
    <n v="87"/>
    <x v="2"/>
    <n v="15000"/>
    <n v="15110"/>
    <n v="2000"/>
    <x v="0"/>
    <x v="0"/>
    <d v="2025-12-10T00:00:00"/>
    <d v="2026-01-09T00:00:00"/>
    <d v="1899-12-30T09:02:00"/>
    <d v="1899-12-30T11:45:00"/>
    <s v="A"/>
    <s v="09:02 AM"/>
    <s v="On Time"/>
    <s v="2 Hours 43 Minutes"/>
    <x v="1"/>
  </r>
  <r>
    <x v="548"/>
    <x v="82"/>
    <n v="19"/>
    <x v="1"/>
    <x v="4"/>
    <x v="5"/>
    <x v="5"/>
    <n v="80"/>
    <n v="64"/>
    <x v="1"/>
    <n v="15000"/>
    <n v="13110"/>
    <n v="4000"/>
    <x v="0"/>
    <x v="0"/>
    <d v="2025-07-23T00:00:00"/>
    <d v="2025-08-22T00:00:00"/>
    <d v="1899-12-30T10:23:00"/>
    <d v="1899-12-30T11:54:00"/>
    <s v="B"/>
    <s v="10:23 AM"/>
    <s v="On Time"/>
    <s v="1 Hours 31 Minutes"/>
    <x v="0"/>
  </r>
  <r>
    <x v="549"/>
    <x v="118"/>
    <n v="28"/>
    <x v="0"/>
    <x v="3"/>
    <x v="7"/>
    <x v="7"/>
    <n v="90"/>
    <n v="97"/>
    <x v="2"/>
    <n v="10000"/>
    <n v="6620"/>
    <n v="4000"/>
    <x v="0"/>
    <x v="0"/>
    <d v="2025-11-18T00:00:00"/>
    <d v="2026-02-16T00:00:00"/>
    <d v="1899-12-30T09:41:00"/>
    <d v="1899-12-30T13:05:00"/>
    <s v="A"/>
    <s v="09:41 AM"/>
    <s v="On Time"/>
    <s v="3 Hours 24 Minutes"/>
    <x v="1"/>
  </r>
  <r>
    <x v="550"/>
    <x v="219"/>
    <n v="24"/>
    <x v="0"/>
    <x v="7"/>
    <x v="0"/>
    <x v="0"/>
    <n v="91"/>
    <n v="92"/>
    <x v="2"/>
    <n v="10000"/>
    <n v="8030"/>
    <n v="2000"/>
    <x v="0"/>
    <x v="0"/>
    <d v="2025-02-20T00:00:00"/>
    <d v="2025-08-19T00:00:00"/>
    <d v="1899-12-30T10:20:00"/>
    <d v="1899-12-30T14:02:00"/>
    <s v="A"/>
    <s v="10:20 AM"/>
    <s v="Delayed"/>
    <s v="3 Hours 42 Minutes"/>
    <x v="0"/>
  </r>
  <r>
    <x v="551"/>
    <x v="110"/>
    <n v="23"/>
    <x v="0"/>
    <x v="9"/>
    <x v="5"/>
    <x v="5"/>
    <n v="87"/>
    <n v="73"/>
    <x v="1"/>
    <n v="10000"/>
    <n v="7800"/>
    <n v="4000"/>
    <x v="0"/>
    <x v="0"/>
    <d v="2025-12-11T00:00:00"/>
    <d v="2026-06-09T00:00:00"/>
    <d v="1899-12-30T10:03:00"/>
    <d v="1899-12-30T14:33:00"/>
    <s v="B"/>
    <s v="10:03 AM"/>
    <s v="Delayed"/>
    <s v="4 Hours 30 Minutes"/>
    <x v="0"/>
  </r>
  <r>
    <x v="552"/>
    <x v="78"/>
    <n v="27"/>
    <x v="0"/>
    <x v="5"/>
    <x v="7"/>
    <x v="7"/>
    <n v="75"/>
    <n v="75"/>
    <x v="1"/>
    <n v="12000"/>
    <n v="10980"/>
    <n v="2000"/>
    <x v="0"/>
    <x v="0"/>
    <d v="2025-01-17T00:00:00"/>
    <d v="2025-04-17T00:00:00"/>
    <d v="1899-12-30T09:40:00"/>
    <d v="1899-12-30T11:06:00"/>
    <s v="B"/>
    <s v="09:40 AM"/>
    <s v="On Time"/>
    <s v="1 Hours 26 Minutes"/>
    <x v="1"/>
  </r>
  <r>
    <x v="553"/>
    <x v="39"/>
    <n v="20"/>
    <x v="1"/>
    <x v="2"/>
    <x v="5"/>
    <x v="5"/>
    <n v="76"/>
    <n v="74"/>
    <x v="1"/>
    <n v="15000"/>
    <n v="15700"/>
    <n v="2000"/>
    <x v="0"/>
    <x v="0"/>
    <d v="2025-08-28T00:00:00"/>
    <d v="2025-09-27T00:00:00"/>
    <d v="1899-12-30T10:32:00"/>
    <d v="1899-12-30T12:10:00"/>
    <s v="B"/>
    <s v="10:32 AM"/>
    <s v="On Time"/>
    <s v="1 Hours 38 Minutes"/>
    <x v="0"/>
  </r>
  <r>
    <x v="554"/>
    <x v="102"/>
    <n v="20"/>
    <x v="0"/>
    <x v="7"/>
    <x v="2"/>
    <x v="2"/>
    <n v="79"/>
    <n v="96"/>
    <x v="1"/>
    <n v="12000"/>
    <n v="11570"/>
    <n v="2000"/>
    <x v="0"/>
    <x v="0"/>
    <d v="2025-08-27T00:00:00"/>
    <d v="2025-10-26T00:00:00"/>
    <d v="1899-12-30T09:22:00"/>
    <d v="1899-12-30T12:53:00"/>
    <s v="B"/>
    <s v="09:22 AM"/>
    <s v="On Time"/>
    <s v="3 Hours 31 Minutes"/>
    <x v="1"/>
  </r>
  <r>
    <x v="555"/>
    <x v="13"/>
    <n v="22"/>
    <x v="0"/>
    <x v="2"/>
    <x v="4"/>
    <x v="4"/>
    <n v="64"/>
    <n v="82"/>
    <x v="3"/>
    <n v="12000"/>
    <n v="11570"/>
    <n v="2000"/>
    <x v="0"/>
    <x v="0"/>
    <d v="2025-12-31T00:00:00"/>
    <d v="2026-03-01T00:00:00"/>
    <d v="1899-12-30T09:56:00"/>
    <d v="1899-12-30T11:29:00"/>
    <s v="C"/>
    <s v="09:56 AM"/>
    <s v="On Time"/>
    <s v="1 Hours 33 Minutes"/>
    <x v="1"/>
  </r>
  <r>
    <x v="556"/>
    <x v="41"/>
    <n v="23"/>
    <x v="1"/>
    <x v="10"/>
    <x v="1"/>
    <x v="1"/>
    <n v="65"/>
    <n v="76"/>
    <x v="3"/>
    <n v="20000"/>
    <n v="22420"/>
    <n v="0"/>
    <x v="1"/>
    <x v="0"/>
    <d v="2025-10-03T00:00:00"/>
    <d v="2025-12-02T00:00:00"/>
    <d v="1899-12-30T10:30:00"/>
    <d v="1899-12-30T14:11:00"/>
    <s v="C"/>
    <s v="10:30 AM"/>
    <s v="On Time"/>
    <s v="3 Hours 41 Minutes"/>
    <x v="0"/>
  </r>
  <r>
    <x v="557"/>
    <x v="126"/>
    <n v="25"/>
    <x v="1"/>
    <x v="3"/>
    <x v="0"/>
    <x v="0"/>
    <n v="85"/>
    <n v="78"/>
    <x v="1"/>
    <n v="20000"/>
    <n v="21600"/>
    <n v="2000"/>
    <x v="0"/>
    <x v="0"/>
    <d v="2025-05-13T00:00:00"/>
    <d v="2025-06-12T00:00:00"/>
    <d v="1899-12-30T09:52:00"/>
    <d v="1899-12-30T11:30:00"/>
    <s v="B"/>
    <s v="09:52 AM"/>
    <s v="On Time"/>
    <s v="1 Hours 38 Minutes"/>
    <x v="1"/>
  </r>
  <r>
    <x v="558"/>
    <x v="180"/>
    <n v="23"/>
    <x v="1"/>
    <x v="0"/>
    <x v="2"/>
    <x v="2"/>
    <n v="49"/>
    <n v="89"/>
    <x v="0"/>
    <n v="10000"/>
    <n v="6030"/>
    <n v="4000"/>
    <x v="0"/>
    <x v="0"/>
    <d v="2025-03-15T00:00:00"/>
    <d v="2025-05-14T00:00:00"/>
    <d v="1899-12-30T10:16:00"/>
    <d v="1899-12-30T13:01:00"/>
    <s v="D"/>
    <s v="10:16 AM"/>
    <s v="On Time"/>
    <s v="2 Hours 45 Minutes"/>
    <x v="0"/>
  </r>
  <r>
    <x v="559"/>
    <x v="2"/>
    <n v="26"/>
    <x v="0"/>
    <x v="3"/>
    <x v="5"/>
    <x v="5"/>
    <n v="86"/>
    <n v="94"/>
    <x v="1"/>
    <n v="12000"/>
    <n v="9570"/>
    <n v="4000"/>
    <x v="0"/>
    <x v="0"/>
    <d v="2025-07-19T00:00:00"/>
    <d v="2025-10-17T00:00:00"/>
    <d v="1899-12-30T08:30:00"/>
    <d v="1899-12-30T11:01:00"/>
    <s v="B"/>
    <s v="08:30 AM"/>
    <s v="On Time"/>
    <s v="2 Hours 31 Minutes"/>
    <x v="1"/>
  </r>
  <r>
    <x v="560"/>
    <x v="19"/>
    <n v="26"/>
    <x v="0"/>
    <x v="4"/>
    <x v="5"/>
    <x v="5"/>
    <n v="76"/>
    <n v="98"/>
    <x v="1"/>
    <n v="20000"/>
    <n v="21010"/>
    <n v="2000"/>
    <x v="0"/>
    <x v="0"/>
    <d v="2025-07-04T00:00:00"/>
    <d v="2025-11-01T00:00:00"/>
    <d v="1899-12-30T08:48:00"/>
    <d v="1899-12-30T10:05:00"/>
    <s v="B"/>
    <s v="08:48 AM"/>
    <s v="Delayed"/>
    <s v="1 Hours 17 Minutes"/>
    <x v="1"/>
  </r>
  <r>
    <x v="561"/>
    <x v="113"/>
    <n v="23"/>
    <x v="0"/>
    <x v="8"/>
    <x v="3"/>
    <x v="3"/>
    <n v="87"/>
    <n v="78"/>
    <x v="1"/>
    <n v="10000"/>
    <n v="7800"/>
    <n v="4000"/>
    <x v="0"/>
    <x v="0"/>
    <d v="2025-09-20T00:00:00"/>
    <d v="2026-03-19T00:00:00"/>
    <d v="1899-12-30T10:10:00"/>
    <d v="1899-12-30T12:06:00"/>
    <s v="B"/>
    <s v="10:10 AM"/>
    <s v="Delayed"/>
    <s v="1 Hours 56 Minutes"/>
    <x v="0"/>
  </r>
  <r>
    <x v="562"/>
    <x v="28"/>
    <n v="18"/>
    <x v="1"/>
    <x v="8"/>
    <x v="1"/>
    <x v="1"/>
    <n v="39"/>
    <n v="73"/>
    <x v="0"/>
    <n v="12000"/>
    <n v="12980"/>
    <n v="0"/>
    <x v="1"/>
    <x v="1"/>
    <d v="2025-06-20T00:00:00"/>
    <d v="2025-12-17T00:00:00"/>
    <d v="1899-12-30T10:10:00"/>
    <d v="1899-12-30T13:36:00"/>
    <s v="D"/>
    <s v="10:10 AM"/>
    <s v="Delayed"/>
    <s v="3 Hours 26 Minutes"/>
    <x v="0"/>
  </r>
  <r>
    <x v="563"/>
    <x v="74"/>
    <n v="27"/>
    <x v="0"/>
    <x v="10"/>
    <x v="5"/>
    <x v="5"/>
    <n v="56"/>
    <n v="85"/>
    <x v="0"/>
    <n v="18000"/>
    <n v="18650"/>
    <n v="2000"/>
    <x v="0"/>
    <x v="0"/>
    <d v="2025-09-28T00:00:00"/>
    <d v="2026-01-26T00:00:00"/>
    <d v="1899-12-30T09:23:00"/>
    <d v="1899-12-30T12:32:00"/>
    <s v="D"/>
    <s v="09:23 AM"/>
    <s v="Delayed"/>
    <s v="3 Hours 9 Minutes"/>
    <x v="1"/>
  </r>
  <r>
    <x v="564"/>
    <x v="55"/>
    <n v="26"/>
    <x v="1"/>
    <x v="6"/>
    <x v="7"/>
    <x v="7"/>
    <n v="68"/>
    <n v="96"/>
    <x v="3"/>
    <n v="10000"/>
    <n v="6030"/>
    <n v="4000"/>
    <x v="0"/>
    <x v="0"/>
    <d v="2025-10-23T00:00:00"/>
    <d v="2026-02-20T00:00:00"/>
    <d v="1899-12-30T08:12:00"/>
    <d v="1899-12-30T09:41:00"/>
    <s v="C"/>
    <s v="08:12 AM"/>
    <s v="Delayed"/>
    <s v="1 Hours 29 Minutes"/>
    <x v="1"/>
  </r>
  <r>
    <x v="565"/>
    <x v="18"/>
    <n v="18"/>
    <x v="1"/>
    <x v="4"/>
    <x v="7"/>
    <x v="7"/>
    <n v="50"/>
    <n v="69"/>
    <x v="0"/>
    <n v="15000"/>
    <n v="11930"/>
    <n v="4000"/>
    <x v="0"/>
    <x v="0"/>
    <d v="2025-03-18T00:00:00"/>
    <d v="2025-07-16T00:00:00"/>
    <d v="1899-12-30T08:54:00"/>
    <d v="1899-12-30T10:19:00"/>
    <s v="D"/>
    <s v="08:54 AM"/>
    <s v="Delayed"/>
    <s v="1 Hours 25 Minutes"/>
    <x v="1"/>
  </r>
  <r>
    <x v="566"/>
    <x v="173"/>
    <n v="21"/>
    <x v="1"/>
    <x v="0"/>
    <x v="7"/>
    <x v="7"/>
    <n v="80"/>
    <n v="73"/>
    <x v="1"/>
    <n v="10000"/>
    <n v="8620"/>
    <n v="2000"/>
    <x v="0"/>
    <x v="0"/>
    <d v="2025-01-13T00:00:00"/>
    <d v="2025-07-12T00:00:00"/>
    <d v="1899-12-30T08:07:00"/>
    <d v="1899-12-30T11:28:00"/>
    <s v="B"/>
    <s v="08:07 AM"/>
    <s v="Delayed"/>
    <s v="3 Hours 21 Minutes"/>
    <x v="1"/>
  </r>
  <r>
    <x v="567"/>
    <x v="190"/>
    <n v="25"/>
    <x v="0"/>
    <x v="6"/>
    <x v="0"/>
    <x v="0"/>
    <n v="87"/>
    <n v="92"/>
    <x v="1"/>
    <n v="18000"/>
    <n v="16060"/>
    <n v="4000"/>
    <x v="0"/>
    <x v="0"/>
    <d v="2025-06-09T00:00:00"/>
    <d v="2025-08-08T00:00:00"/>
    <d v="1899-12-30T10:04:00"/>
    <d v="1899-12-30T13:13:00"/>
    <s v="B"/>
    <s v="10:04 AM"/>
    <s v="On Time"/>
    <s v="3 Hours 9 Minutes"/>
    <x v="0"/>
  </r>
  <r>
    <x v="568"/>
    <x v="164"/>
    <n v="25"/>
    <x v="1"/>
    <x v="6"/>
    <x v="1"/>
    <x v="1"/>
    <n v="74"/>
    <n v="63"/>
    <x v="3"/>
    <n v="15000"/>
    <n v="16520"/>
    <n v="0"/>
    <x v="1"/>
    <x v="0"/>
    <d v="2025-10-18T00:00:00"/>
    <d v="2026-04-16T00:00:00"/>
    <d v="1899-12-30T08:50:00"/>
    <d v="1899-12-30T11:45:00"/>
    <s v="C"/>
    <s v="08:50 AM"/>
    <s v="Delayed"/>
    <s v="2 Hours 55 Minutes"/>
    <x v="1"/>
  </r>
  <r>
    <x v="569"/>
    <x v="63"/>
    <n v="21"/>
    <x v="0"/>
    <x v="10"/>
    <x v="1"/>
    <x v="1"/>
    <n v="99"/>
    <n v="77"/>
    <x v="2"/>
    <n v="20000"/>
    <n v="18420"/>
    <n v="4000"/>
    <x v="0"/>
    <x v="0"/>
    <d v="2025-12-13T00:00:00"/>
    <d v="2026-03-13T00:00:00"/>
    <d v="1899-12-30T10:43:00"/>
    <d v="1899-12-30T15:17:00"/>
    <s v="A"/>
    <s v="10:43 AM"/>
    <s v="On Time"/>
    <s v="4 Hours 34 Minutes"/>
    <x v="0"/>
  </r>
  <r>
    <x v="570"/>
    <x v="220"/>
    <n v="26"/>
    <x v="0"/>
    <x v="7"/>
    <x v="4"/>
    <x v="4"/>
    <n v="57"/>
    <n v="66"/>
    <x v="0"/>
    <n v="10000"/>
    <n v="11210"/>
    <n v="0"/>
    <x v="1"/>
    <x v="0"/>
    <d v="2025-09-26T00:00:00"/>
    <d v="2025-11-25T00:00:00"/>
    <d v="1899-12-30T08:13:00"/>
    <d v="1899-12-30T11:06:00"/>
    <s v="D"/>
    <s v="08:13 AM"/>
    <s v="On Time"/>
    <s v="2 Hours 53 Minutes"/>
    <x v="1"/>
  </r>
  <r>
    <x v="571"/>
    <x v="165"/>
    <n v="25"/>
    <x v="0"/>
    <x v="2"/>
    <x v="5"/>
    <x v="5"/>
    <n v="53"/>
    <n v="91"/>
    <x v="0"/>
    <n v="18000"/>
    <n v="19470"/>
    <n v="0"/>
    <x v="1"/>
    <x v="0"/>
    <d v="2025-11-09T00:00:00"/>
    <d v="2026-02-07T00:00:00"/>
    <d v="1899-12-30T10:20:00"/>
    <d v="1899-12-30T13:27:00"/>
    <s v="D"/>
    <s v="10:20 AM"/>
    <s v="On Time"/>
    <s v="3 Hours 7 Minutes"/>
    <x v="0"/>
  </r>
  <r>
    <x v="572"/>
    <x v="221"/>
    <n v="23"/>
    <x v="1"/>
    <x v="5"/>
    <x v="4"/>
    <x v="4"/>
    <n v="57"/>
    <n v="69"/>
    <x v="0"/>
    <n v="10000"/>
    <n v="6030"/>
    <n v="4000"/>
    <x v="0"/>
    <x v="0"/>
    <d v="2025-05-10T00:00:00"/>
    <d v="2025-06-09T00:00:00"/>
    <d v="1899-12-30T09:15:00"/>
    <d v="1899-12-30T13:32:00"/>
    <s v="D"/>
    <s v="09:15 AM"/>
    <s v="On Time"/>
    <s v="4 Hours 17 Minutes"/>
    <x v="1"/>
  </r>
  <r>
    <x v="573"/>
    <x v="222"/>
    <n v="25"/>
    <x v="1"/>
    <x v="5"/>
    <x v="6"/>
    <x v="6"/>
    <n v="82"/>
    <n v="77"/>
    <x v="1"/>
    <n v="20000"/>
    <n v="19830"/>
    <n v="2000"/>
    <x v="0"/>
    <x v="0"/>
    <d v="2025-06-22T00:00:00"/>
    <d v="2025-09-20T00:00:00"/>
    <d v="1899-12-30T10:57:00"/>
    <d v="1899-12-30T12:17:00"/>
    <s v="B"/>
    <s v="10:57 AM"/>
    <s v="On Time"/>
    <s v="1 Hours 20 Minutes"/>
    <x v="0"/>
  </r>
  <r>
    <x v="574"/>
    <x v="16"/>
    <n v="18"/>
    <x v="1"/>
    <x v="9"/>
    <x v="2"/>
    <x v="2"/>
    <n v="71"/>
    <n v="75"/>
    <x v="3"/>
    <n v="10000"/>
    <n v="11210"/>
    <n v="0"/>
    <x v="1"/>
    <x v="0"/>
    <d v="2025-03-07T00:00:00"/>
    <d v="2025-04-06T00:00:00"/>
    <d v="1899-12-30T09:02:00"/>
    <d v="1899-12-30T13:24:00"/>
    <s v="C"/>
    <s v="09:02 AM"/>
    <s v="On Time"/>
    <s v="4 Hours 22 Minutes"/>
    <x v="1"/>
  </r>
  <r>
    <x v="575"/>
    <x v="16"/>
    <n v="20"/>
    <x v="1"/>
    <x v="1"/>
    <x v="3"/>
    <x v="3"/>
    <n v="78"/>
    <n v="93"/>
    <x v="1"/>
    <n v="12000"/>
    <n v="8980"/>
    <n v="4000"/>
    <x v="0"/>
    <x v="0"/>
    <d v="2025-10-06T00:00:00"/>
    <d v="2026-01-04T00:00:00"/>
    <d v="1899-12-30T08:30:00"/>
    <d v="1899-12-30T09:33:00"/>
    <s v="B"/>
    <s v="08:30 AM"/>
    <s v="On Time"/>
    <s v="1 Hours 3 Minutes"/>
    <x v="1"/>
  </r>
  <r>
    <x v="576"/>
    <x v="71"/>
    <n v="25"/>
    <x v="0"/>
    <x v="10"/>
    <x v="5"/>
    <x v="5"/>
    <n v="60"/>
    <n v="70"/>
    <x v="3"/>
    <n v="20000"/>
    <n v="18420"/>
    <n v="4000"/>
    <x v="0"/>
    <x v="0"/>
    <d v="2025-08-07T00:00:00"/>
    <d v="2025-09-06T00:00:00"/>
    <d v="1899-12-30T08:38:00"/>
    <d v="1899-12-30T10:48:00"/>
    <s v="C"/>
    <s v="08:38 AM"/>
    <s v="On Time"/>
    <s v="2 Hours 10 Minutes"/>
    <x v="1"/>
  </r>
  <r>
    <x v="577"/>
    <x v="0"/>
    <n v="27"/>
    <x v="1"/>
    <x v="4"/>
    <x v="0"/>
    <x v="0"/>
    <n v="36"/>
    <n v="87"/>
    <x v="0"/>
    <n v="20000"/>
    <n v="22420"/>
    <n v="0"/>
    <x v="1"/>
    <x v="0"/>
    <d v="2025-02-27T00:00:00"/>
    <d v="2025-04-28T00:00:00"/>
    <d v="1899-12-30T08:36:00"/>
    <d v="1899-12-30T10:43:00"/>
    <s v="D"/>
    <s v="08:36 AM"/>
    <s v="On Time"/>
    <s v="2 Hours 7 Minutes"/>
    <x v="1"/>
  </r>
  <r>
    <x v="578"/>
    <x v="117"/>
    <n v="25"/>
    <x v="0"/>
    <x v="0"/>
    <x v="4"/>
    <x v="4"/>
    <n v="84"/>
    <n v="67"/>
    <x v="1"/>
    <n v="10000"/>
    <n v="10030"/>
    <n v="0"/>
    <x v="1"/>
    <x v="0"/>
    <d v="2025-10-10T00:00:00"/>
    <d v="2025-12-09T00:00:00"/>
    <d v="1899-12-30T08:40:00"/>
    <d v="1899-12-30T09:58:00"/>
    <s v="B"/>
    <s v="08:40 AM"/>
    <s v="On Time"/>
    <s v="1 Hours 18 Minutes"/>
    <x v="1"/>
  </r>
  <r>
    <x v="579"/>
    <x v="45"/>
    <n v="23"/>
    <x v="1"/>
    <x v="3"/>
    <x v="1"/>
    <x v="1"/>
    <n v="86"/>
    <n v="60"/>
    <x v="1"/>
    <n v="10000"/>
    <n v="8030"/>
    <n v="2000"/>
    <x v="0"/>
    <x v="0"/>
    <d v="2025-12-15T00:00:00"/>
    <d v="2026-01-14T00:00:00"/>
    <d v="1899-12-30T08:23:00"/>
    <d v="1899-12-30T10:03:00"/>
    <s v="B"/>
    <s v="08:23 AM"/>
    <s v="On Time"/>
    <s v="1 Hours 40 Minutes"/>
    <x v="1"/>
  </r>
  <r>
    <x v="580"/>
    <x v="31"/>
    <n v="28"/>
    <x v="0"/>
    <x v="0"/>
    <x v="0"/>
    <x v="0"/>
    <n v="44"/>
    <n v="80"/>
    <x v="0"/>
    <n v="15000"/>
    <n v="17700"/>
    <n v="0"/>
    <x v="1"/>
    <x v="0"/>
    <d v="2025-11-04T00:00:00"/>
    <d v="2026-05-03T00:00:00"/>
    <d v="1899-12-30T10:17:00"/>
    <d v="1899-12-30T14:19:00"/>
    <s v="D"/>
    <s v="10:17 AM"/>
    <s v="Delayed"/>
    <s v="4 Hours 2 Minutes"/>
    <x v="0"/>
  </r>
  <r>
    <x v="581"/>
    <x v="214"/>
    <n v="23"/>
    <x v="0"/>
    <x v="0"/>
    <x v="6"/>
    <x v="6"/>
    <n v="55"/>
    <n v="75"/>
    <x v="0"/>
    <n v="12000"/>
    <n v="13570"/>
    <n v="0"/>
    <x v="1"/>
    <x v="0"/>
    <d v="2025-01-12T00:00:00"/>
    <d v="2025-07-11T00:00:00"/>
    <d v="1899-12-30T10:43:00"/>
    <d v="1899-12-30T14:29:00"/>
    <s v="D"/>
    <s v="10:43 AM"/>
    <s v="Delayed"/>
    <s v="3 Hours 46 Minutes"/>
    <x v="0"/>
  </r>
  <r>
    <x v="582"/>
    <x v="59"/>
    <n v="23"/>
    <x v="1"/>
    <x v="2"/>
    <x v="5"/>
    <x v="5"/>
    <n v="46"/>
    <n v="68"/>
    <x v="0"/>
    <n v="18000"/>
    <n v="17470"/>
    <n v="2000"/>
    <x v="0"/>
    <x v="0"/>
    <d v="2025-11-18T00:00:00"/>
    <d v="2026-01-17T00:00:00"/>
    <d v="1899-12-30T09:28:00"/>
    <d v="1899-12-30T12:02:00"/>
    <s v="D"/>
    <s v="09:28 AM"/>
    <s v="On Time"/>
    <s v="2 Hours 34 Minutes"/>
    <x v="1"/>
  </r>
  <r>
    <x v="583"/>
    <x v="117"/>
    <n v="22"/>
    <x v="1"/>
    <x v="8"/>
    <x v="1"/>
    <x v="1"/>
    <n v="57"/>
    <n v="68"/>
    <x v="0"/>
    <n v="12000"/>
    <n v="9570"/>
    <n v="4000"/>
    <x v="0"/>
    <x v="0"/>
    <d v="2025-10-30T00:00:00"/>
    <d v="2026-04-28T00:00:00"/>
    <d v="1899-12-30T08:24:00"/>
    <d v="1899-12-30T11:48:00"/>
    <s v="D"/>
    <s v="08:24 AM"/>
    <s v="Delayed"/>
    <s v="3 Hours 24 Minutes"/>
    <x v="1"/>
  </r>
  <r>
    <x v="584"/>
    <x v="37"/>
    <n v="25"/>
    <x v="0"/>
    <x v="7"/>
    <x v="1"/>
    <x v="1"/>
    <n v="66"/>
    <n v="98"/>
    <x v="3"/>
    <n v="10000"/>
    <n v="8620"/>
    <n v="2000"/>
    <x v="0"/>
    <x v="0"/>
    <d v="2025-06-17T00:00:00"/>
    <d v="2025-12-14T00:00:00"/>
    <d v="1899-12-30T10:44:00"/>
    <d v="1899-12-30T15:11:00"/>
    <s v="C"/>
    <s v="10:44 AM"/>
    <s v="Delayed"/>
    <s v="4 Hours 27 Minutes"/>
    <x v="0"/>
  </r>
  <r>
    <x v="585"/>
    <x v="162"/>
    <n v="23"/>
    <x v="0"/>
    <x v="6"/>
    <x v="2"/>
    <x v="2"/>
    <n v="85"/>
    <n v="68"/>
    <x v="1"/>
    <n v="12000"/>
    <n v="12980"/>
    <n v="0"/>
    <x v="1"/>
    <x v="1"/>
    <d v="2025-09-21T00:00:00"/>
    <d v="2026-01-19T00:00:00"/>
    <d v="1899-12-30T10:32:00"/>
    <d v="1899-12-30T14:21:00"/>
    <s v="B"/>
    <s v="10:32 AM"/>
    <s v="Delayed"/>
    <s v="3 Hours 49 Minutes"/>
    <x v="0"/>
  </r>
  <r>
    <x v="586"/>
    <x v="189"/>
    <n v="25"/>
    <x v="1"/>
    <x v="1"/>
    <x v="0"/>
    <x v="0"/>
    <n v="65"/>
    <n v="73"/>
    <x v="3"/>
    <n v="10000"/>
    <n v="8620"/>
    <n v="2000"/>
    <x v="0"/>
    <x v="0"/>
    <d v="2025-12-15T00:00:00"/>
    <d v="2026-01-14T00:00:00"/>
    <d v="1899-12-30T08:20:00"/>
    <d v="1899-12-30T09:29:00"/>
    <s v="C"/>
    <s v="08:20 AM"/>
    <s v="On Time"/>
    <s v="1 Hours 9 Minutes"/>
    <x v="1"/>
  </r>
  <r>
    <x v="587"/>
    <x v="36"/>
    <n v="19"/>
    <x v="1"/>
    <x v="6"/>
    <x v="4"/>
    <x v="4"/>
    <n v="76"/>
    <n v="71"/>
    <x v="1"/>
    <n v="12000"/>
    <n v="10390"/>
    <n v="2000"/>
    <x v="0"/>
    <x v="0"/>
    <d v="2025-06-21T00:00:00"/>
    <d v="2025-09-19T00:00:00"/>
    <d v="1899-12-30T10:52:00"/>
    <d v="1899-12-30T12:41:00"/>
    <s v="B"/>
    <s v="10:52 AM"/>
    <s v="On Time"/>
    <s v="1 Hours 49 Minutes"/>
    <x v="0"/>
  </r>
  <r>
    <x v="588"/>
    <x v="193"/>
    <n v="19"/>
    <x v="0"/>
    <x v="0"/>
    <x v="6"/>
    <x v="6"/>
    <n v="73"/>
    <n v="73"/>
    <x v="3"/>
    <n v="20000"/>
    <n v="19600"/>
    <n v="4000"/>
    <x v="0"/>
    <x v="0"/>
    <d v="2025-12-09T00:00:00"/>
    <d v="2026-02-07T00:00:00"/>
    <d v="1899-12-30T10:32:00"/>
    <d v="1899-12-30T13:18:00"/>
    <s v="C"/>
    <s v="10:32 AM"/>
    <s v="On Time"/>
    <s v="2 Hours 46 Minutes"/>
    <x v="0"/>
  </r>
  <r>
    <x v="589"/>
    <x v="137"/>
    <n v="21"/>
    <x v="1"/>
    <x v="3"/>
    <x v="5"/>
    <x v="5"/>
    <n v="82"/>
    <n v="67"/>
    <x v="1"/>
    <n v="18000"/>
    <n v="18650"/>
    <n v="2000"/>
    <x v="0"/>
    <x v="1"/>
    <d v="2025-01-19T00:00:00"/>
    <d v="2025-04-19T00:00:00"/>
    <d v="1899-12-30T09:35:00"/>
    <d v="1899-12-30T14:31:00"/>
    <s v="B"/>
    <s v="09:35 AM"/>
    <s v="On Time"/>
    <s v="4 Hours 56 Minutes"/>
    <x v="1"/>
  </r>
  <r>
    <x v="590"/>
    <x v="66"/>
    <n v="25"/>
    <x v="0"/>
    <x v="0"/>
    <x v="6"/>
    <x v="6"/>
    <n v="90"/>
    <n v="72"/>
    <x v="2"/>
    <n v="10000"/>
    <n v="9800"/>
    <n v="2000"/>
    <x v="0"/>
    <x v="0"/>
    <d v="2025-03-18T00:00:00"/>
    <d v="2025-07-16T00:00:00"/>
    <d v="1899-12-30T09:58:00"/>
    <d v="1899-12-30T13:19:00"/>
    <s v="A"/>
    <s v="09:58 AM"/>
    <s v="Delayed"/>
    <s v="3 Hours 21 Minutes"/>
    <x v="1"/>
  </r>
  <r>
    <x v="591"/>
    <x v="32"/>
    <n v="22"/>
    <x v="1"/>
    <x v="5"/>
    <x v="7"/>
    <x v="7"/>
    <n v="40"/>
    <n v="75"/>
    <x v="0"/>
    <n v="12000"/>
    <n v="12160"/>
    <n v="2000"/>
    <x v="0"/>
    <x v="0"/>
    <d v="2025-03-17T00:00:00"/>
    <d v="2025-05-16T00:00:00"/>
    <d v="1899-12-30T09:10:00"/>
    <d v="1899-12-30T10:25:00"/>
    <s v="D"/>
    <s v="09:10 AM"/>
    <s v="On Time"/>
    <s v="1 Hours 15 Minutes"/>
    <x v="1"/>
  </r>
  <r>
    <x v="592"/>
    <x v="160"/>
    <n v="24"/>
    <x v="1"/>
    <x v="6"/>
    <x v="1"/>
    <x v="1"/>
    <n v="41"/>
    <n v="92"/>
    <x v="0"/>
    <n v="18000"/>
    <n v="17470"/>
    <n v="2000"/>
    <x v="0"/>
    <x v="0"/>
    <d v="2025-08-23T00:00:00"/>
    <d v="2025-09-22T00:00:00"/>
    <d v="1899-12-30T08:26:00"/>
    <d v="1899-12-30T12:28:00"/>
    <s v="D"/>
    <s v="08:26 AM"/>
    <s v="On Time"/>
    <s v="4 Hours 2 Minutes"/>
    <x v="1"/>
  </r>
  <r>
    <x v="593"/>
    <x v="4"/>
    <n v="23"/>
    <x v="1"/>
    <x v="9"/>
    <x v="5"/>
    <x v="5"/>
    <n v="73"/>
    <n v="87"/>
    <x v="3"/>
    <n v="15000"/>
    <n v="13700"/>
    <n v="4000"/>
    <x v="0"/>
    <x v="0"/>
    <d v="2025-02-05T00:00:00"/>
    <d v="2025-04-06T00:00:00"/>
    <d v="1899-12-30T08:08:00"/>
    <d v="1899-12-30T11:08:00"/>
    <s v="C"/>
    <s v="08:08 AM"/>
    <s v="On Time"/>
    <s v="3 Hours 0 Minutes"/>
    <x v="1"/>
  </r>
  <r>
    <x v="594"/>
    <x v="193"/>
    <n v="26"/>
    <x v="0"/>
    <x v="10"/>
    <x v="6"/>
    <x v="6"/>
    <n v="55"/>
    <n v="71"/>
    <x v="0"/>
    <n v="12000"/>
    <n v="12390"/>
    <n v="0"/>
    <x v="1"/>
    <x v="0"/>
    <d v="2025-04-14T00:00:00"/>
    <d v="2025-06-13T00:00:00"/>
    <d v="1899-12-30T08:02:00"/>
    <d v="1899-12-30T09:24:00"/>
    <s v="D"/>
    <s v="08:02 AM"/>
    <s v="On Time"/>
    <s v="1 Hours 22 Minutes"/>
    <x v="1"/>
  </r>
  <r>
    <x v="595"/>
    <x v="203"/>
    <n v="20"/>
    <x v="0"/>
    <x v="1"/>
    <x v="6"/>
    <x v="6"/>
    <n v="87"/>
    <n v="77"/>
    <x v="1"/>
    <n v="12000"/>
    <n v="12980"/>
    <n v="0"/>
    <x v="1"/>
    <x v="0"/>
    <d v="2025-07-19T00:00:00"/>
    <d v="2025-08-18T00:00:00"/>
    <d v="1899-12-30T09:03:00"/>
    <d v="1899-12-30T12:28:00"/>
    <s v="B"/>
    <s v="09:03 AM"/>
    <s v="On Time"/>
    <s v="3 Hours 25 Minutes"/>
    <x v="1"/>
  </r>
  <r>
    <x v="596"/>
    <x v="194"/>
    <n v="18"/>
    <x v="1"/>
    <x v="5"/>
    <x v="4"/>
    <x v="4"/>
    <n v="35"/>
    <n v="75"/>
    <x v="0"/>
    <n v="18000"/>
    <n v="18060"/>
    <n v="2000"/>
    <x v="0"/>
    <x v="0"/>
    <d v="2025-11-03T00:00:00"/>
    <d v="2026-03-03T00:00:00"/>
    <d v="1899-12-30T08:09:00"/>
    <d v="1899-12-30T12:19:00"/>
    <s v="D"/>
    <s v="08:09 AM"/>
    <s v="Delayed"/>
    <s v="4 Hours 10 Minutes"/>
    <x v="1"/>
  </r>
  <r>
    <x v="597"/>
    <x v="97"/>
    <n v="26"/>
    <x v="0"/>
    <x v="2"/>
    <x v="2"/>
    <x v="2"/>
    <n v="62"/>
    <n v="70"/>
    <x v="3"/>
    <n v="20000"/>
    <n v="21600"/>
    <n v="2000"/>
    <x v="0"/>
    <x v="0"/>
    <d v="2025-04-14T00:00:00"/>
    <d v="2025-05-14T00:00:00"/>
    <d v="1899-12-30T09:08:00"/>
    <d v="1899-12-30T12:20:00"/>
    <s v="C"/>
    <s v="09:08 AM"/>
    <s v="On Time"/>
    <s v="3 Hours 12 Minutes"/>
    <x v="1"/>
  </r>
  <r>
    <x v="598"/>
    <x v="76"/>
    <n v="23"/>
    <x v="1"/>
    <x v="2"/>
    <x v="1"/>
    <x v="1"/>
    <n v="67"/>
    <n v="86"/>
    <x v="3"/>
    <n v="10000"/>
    <n v="11800"/>
    <n v="0"/>
    <x v="1"/>
    <x v="0"/>
    <d v="2025-02-27T00:00:00"/>
    <d v="2025-05-28T00:00:00"/>
    <d v="1899-12-30T09:14:00"/>
    <d v="1899-12-30T12:07:00"/>
    <s v="C"/>
    <s v="09:14 AM"/>
    <s v="On Time"/>
    <s v="2 Hours 53 Minutes"/>
    <x v="1"/>
  </r>
  <r>
    <x v="599"/>
    <x v="22"/>
    <n v="18"/>
    <x v="0"/>
    <x v="9"/>
    <x v="3"/>
    <x v="3"/>
    <n v="72"/>
    <n v="65"/>
    <x v="3"/>
    <n v="12000"/>
    <n v="10160"/>
    <n v="4000"/>
    <x v="0"/>
    <x v="0"/>
    <d v="2025-09-26T00:00:00"/>
    <d v="2026-01-24T00:00:00"/>
    <d v="1899-12-30T09:44:00"/>
    <d v="1899-12-30T12:45:00"/>
    <s v="C"/>
    <s v="09:44 AM"/>
    <s v="Delayed"/>
    <s v="3 Hours 1 Minutes"/>
    <x v="1"/>
  </r>
  <r>
    <x v="600"/>
    <x v="135"/>
    <n v="25"/>
    <x v="1"/>
    <x v="10"/>
    <x v="4"/>
    <x v="4"/>
    <n v="57"/>
    <n v="90"/>
    <x v="0"/>
    <n v="15000"/>
    <n v="14520"/>
    <n v="2000"/>
    <x v="0"/>
    <x v="0"/>
    <d v="2025-04-12T00:00:00"/>
    <d v="2025-08-10T00:00:00"/>
    <d v="1899-12-30T10:18:00"/>
    <d v="1899-12-30T11:18:00"/>
    <s v="D"/>
    <s v="10:18 AM"/>
    <s v="Delayed"/>
    <s v="1 Hours 0 Minutes"/>
    <x v="0"/>
  </r>
  <r>
    <x v="601"/>
    <x v="75"/>
    <n v="25"/>
    <x v="1"/>
    <x v="5"/>
    <x v="7"/>
    <x v="7"/>
    <n v="79"/>
    <n v="97"/>
    <x v="1"/>
    <n v="10000"/>
    <n v="8620"/>
    <n v="2000"/>
    <x v="0"/>
    <x v="0"/>
    <d v="2025-03-27T00:00:00"/>
    <d v="2025-07-25T00:00:00"/>
    <d v="1899-12-30T10:50:00"/>
    <d v="1899-12-30T13:47:00"/>
    <s v="B"/>
    <s v="10:50 AM"/>
    <s v="Delayed"/>
    <s v="2 Hours 57 Minutes"/>
    <x v="0"/>
  </r>
  <r>
    <x v="602"/>
    <x v="129"/>
    <n v="24"/>
    <x v="1"/>
    <x v="7"/>
    <x v="1"/>
    <x v="1"/>
    <n v="43"/>
    <n v="67"/>
    <x v="0"/>
    <n v="12000"/>
    <n v="8390"/>
    <n v="4000"/>
    <x v="0"/>
    <x v="0"/>
    <d v="2025-04-29T00:00:00"/>
    <d v="2025-05-29T00:00:00"/>
    <d v="1899-12-30T09:43:00"/>
    <d v="1899-12-30T11:17:00"/>
    <s v="D"/>
    <s v="09:43 AM"/>
    <s v="On Time"/>
    <s v="1 Hours 34 Minutes"/>
    <x v="1"/>
  </r>
  <r>
    <x v="603"/>
    <x v="120"/>
    <n v="28"/>
    <x v="1"/>
    <x v="1"/>
    <x v="7"/>
    <x v="7"/>
    <n v="67"/>
    <n v="73"/>
    <x v="3"/>
    <n v="12000"/>
    <n v="14160"/>
    <n v="0"/>
    <x v="1"/>
    <x v="0"/>
    <d v="2025-08-03T00:00:00"/>
    <d v="2025-11-01T00:00:00"/>
    <d v="1899-12-30T10:25:00"/>
    <d v="1899-12-30T13:02:00"/>
    <s v="C"/>
    <s v="10:25 AM"/>
    <s v="On Time"/>
    <s v="2 Hours 37 Minutes"/>
    <x v="0"/>
  </r>
  <r>
    <x v="604"/>
    <x v="42"/>
    <n v="27"/>
    <x v="0"/>
    <x v="9"/>
    <x v="1"/>
    <x v="1"/>
    <n v="49"/>
    <n v="73"/>
    <x v="0"/>
    <n v="10000"/>
    <n v="9800"/>
    <n v="2000"/>
    <x v="0"/>
    <x v="0"/>
    <d v="2025-06-03T00:00:00"/>
    <d v="2025-11-30T00:00:00"/>
    <d v="1899-12-30T10:37:00"/>
    <d v="1899-12-30T12:55:00"/>
    <s v="D"/>
    <s v="10:37 AM"/>
    <s v="Delayed"/>
    <s v="2 Hours 18 Minutes"/>
    <x v="0"/>
  </r>
  <r>
    <x v="605"/>
    <x v="33"/>
    <n v="18"/>
    <x v="1"/>
    <x v="4"/>
    <x v="0"/>
    <x v="0"/>
    <n v="93"/>
    <n v="79"/>
    <x v="2"/>
    <n v="20000"/>
    <n v="18420"/>
    <n v="4000"/>
    <x v="0"/>
    <x v="0"/>
    <d v="2025-10-16T00:00:00"/>
    <d v="2025-12-15T00:00:00"/>
    <d v="1899-12-30T10:08:00"/>
    <d v="1899-12-30T12:23:00"/>
    <s v="A"/>
    <s v="10:08 AM"/>
    <s v="On Time"/>
    <s v="2 Hours 15 Minutes"/>
    <x v="0"/>
  </r>
  <r>
    <x v="606"/>
    <x v="161"/>
    <n v="20"/>
    <x v="0"/>
    <x v="3"/>
    <x v="1"/>
    <x v="1"/>
    <n v="66"/>
    <n v="60"/>
    <x v="3"/>
    <n v="10000"/>
    <n v="11210"/>
    <n v="0"/>
    <x v="1"/>
    <x v="0"/>
    <d v="2025-10-16T00:00:00"/>
    <d v="2025-11-15T00:00:00"/>
    <d v="1899-12-30T08:43:00"/>
    <d v="1899-12-30T11:49:00"/>
    <s v="C"/>
    <s v="08:43 AM"/>
    <s v="On Time"/>
    <s v="3 Hours 6 Minutes"/>
    <x v="1"/>
  </r>
  <r>
    <x v="607"/>
    <x v="61"/>
    <n v="25"/>
    <x v="0"/>
    <x v="2"/>
    <x v="7"/>
    <x v="7"/>
    <n v="93"/>
    <n v="97"/>
    <x v="2"/>
    <n v="10000"/>
    <n v="11800"/>
    <n v="0"/>
    <x v="1"/>
    <x v="0"/>
    <d v="2025-01-22T00:00:00"/>
    <d v="2025-05-22T00:00:00"/>
    <d v="1899-12-30T10:47:00"/>
    <d v="1899-12-30T12:10:00"/>
    <s v="A"/>
    <s v="10:47 AM"/>
    <s v="Delayed"/>
    <s v="1 Hours 23 Minutes"/>
    <x v="0"/>
  </r>
  <r>
    <x v="608"/>
    <x v="40"/>
    <n v="23"/>
    <x v="0"/>
    <x v="2"/>
    <x v="0"/>
    <x v="0"/>
    <n v="51"/>
    <n v="94"/>
    <x v="0"/>
    <n v="18000"/>
    <n v="20650"/>
    <n v="0"/>
    <x v="1"/>
    <x v="0"/>
    <d v="2025-07-29T00:00:00"/>
    <d v="2026-01-25T00:00:00"/>
    <d v="1899-12-30T10:55:00"/>
    <d v="1899-12-30T15:01:00"/>
    <s v="D"/>
    <s v="10:55 AM"/>
    <s v="Delayed"/>
    <s v="4 Hours 6 Minutes"/>
    <x v="0"/>
  </r>
  <r>
    <x v="609"/>
    <x v="57"/>
    <n v="24"/>
    <x v="0"/>
    <x v="9"/>
    <x v="4"/>
    <x v="4"/>
    <n v="90"/>
    <n v="93"/>
    <x v="2"/>
    <n v="12000"/>
    <n v="14160"/>
    <n v="0"/>
    <x v="1"/>
    <x v="0"/>
    <d v="2025-09-06T00:00:00"/>
    <d v="2026-03-05T00:00:00"/>
    <d v="1899-12-30T10:35:00"/>
    <d v="1899-12-30T13:57:00"/>
    <s v="A"/>
    <s v="10:35 AM"/>
    <s v="Delayed"/>
    <s v="3 Hours 22 Minutes"/>
    <x v="0"/>
  </r>
  <r>
    <x v="610"/>
    <x v="16"/>
    <n v="23"/>
    <x v="0"/>
    <x v="3"/>
    <x v="2"/>
    <x v="2"/>
    <n v="69"/>
    <n v="71"/>
    <x v="3"/>
    <n v="20000"/>
    <n v="19830"/>
    <n v="2000"/>
    <x v="0"/>
    <x v="0"/>
    <d v="2025-05-27T00:00:00"/>
    <d v="2025-08-25T00:00:00"/>
    <d v="1899-12-30T10:36:00"/>
    <d v="1899-12-30T12:35:00"/>
    <s v="C"/>
    <s v="10:36 AM"/>
    <s v="On Time"/>
    <s v="1 Hours 59 Minutes"/>
    <x v="0"/>
  </r>
  <r>
    <x v="611"/>
    <x v="17"/>
    <n v="25"/>
    <x v="0"/>
    <x v="1"/>
    <x v="4"/>
    <x v="4"/>
    <n v="89"/>
    <n v="98"/>
    <x v="1"/>
    <n v="15000"/>
    <n v="14520"/>
    <n v="2000"/>
    <x v="0"/>
    <x v="0"/>
    <d v="2025-02-17T00:00:00"/>
    <d v="2025-06-17T00:00:00"/>
    <d v="1899-12-30T10:34:00"/>
    <d v="1899-12-30T13:52:00"/>
    <s v="B"/>
    <s v="10:34 AM"/>
    <s v="Delayed"/>
    <s v="3 Hours 18 Minutes"/>
    <x v="0"/>
  </r>
  <r>
    <x v="612"/>
    <x v="185"/>
    <n v="20"/>
    <x v="0"/>
    <x v="3"/>
    <x v="7"/>
    <x v="7"/>
    <n v="77"/>
    <n v="72"/>
    <x v="1"/>
    <n v="10000"/>
    <n v="6030"/>
    <n v="4000"/>
    <x v="0"/>
    <x v="0"/>
    <d v="2025-02-21T00:00:00"/>
    <d v="2025-03-23T00:00:00"/>
    <d v="1899-12-30T08:56:00"/>
    <d v="1899-12-30T12:27:00"/>
    <s v="B"/>
    <s v="08:56 AM"/>
    <s v="On Time"/>
    <s v="3 Hours 31 Minutes"/>
    <x v="1"/>
  </r>
  <r>
    <x v="613"/>
    <x v="139"/>
    <n v="21"/>
    <x v="1"/>
    <x v="8"/>
    <x v="7"/>
    <x v="7"/>
    <n v="70"/>
    <n v="66"/>
    <x v="3"/>
    <n v="10000"/>
    <n v="9800"/>
    <n v="2000"/>
    <x v="0"/>
    <x v="0"/>
    <d v="2025-04-09T00:00:00"/>
    <d v="2025-08-07T00:00:00"/>
    <d v="1899-12-30T09:47:00"/>
    <d v="1899-12-30T13:59:00"/>
    <s v="C"/>
    <s v="09:47 AM"/>
    <s v="Delayed"/>
    <s v="4 Hours 12 Minutes"/>
    <x v="1"/>
  </r>
  <r>
    <x v="614"/>
    <x v="24"/>
    <n v="27"/>
    <x v="1"/>
    <x v="1"/>
    <x v="3"/>
    <x v="3"/>
    <n v="70"/>
    <n v="81"/>
    <x v="3"/>
    <n v="18000"/>
    <n v="16060"/>
    <n v="4000"/>
    <x v="0"/>
    <x v="0"/>
    <d v="2025-09-07T00:00:00"/>
    <d v="2026-01-05T00:00:00"/>
    <d v="1899-12-30T10:06:00"/>
    <d v="1899-12-30T13:25:00"/>
    <s v="C"/>
    <s v="10:06 AM"/>
    <s v="Delayed"/>
    <s v="3 Hours 19 Minutes"/>
    <x v="0"/>
  </r>
  <r>
    <x v="615"/>
    <x v="216"/>
    <n v="18"/>
    <x v="1"/>
    <x v="4"/>
    <x v="5"/>
    <x v="5"/>
    <n v="62"/>
    <n v="98"/>
    <x v="3"/>
    <n v="18000"/>
    <n v="20650"/>
    <n v="0"/>
    <x v="1"/>
    <x v="0"/>
    <d v="2025-07-12T00:00:00"/>
    <d v="2025-10-10T00:00:00"/>
    <d v="1899-12-30T08:39:00"/>
    <d v="1899-12-30T11:32:00"/>
    <s v="C"/>
    <s v="08:39 AM"/>
    <s v="On Time"/>
    <s v="2 Hours 53 Minutes"/>
    <x v="1"/>
  </r>
  <r>
    <x v="616"/>
    <x v="7"/>
    <n v="21"/>
    <x v="1"/>
    <x v="4"/>
    <x v="7"/>
    <x v="7"/>
    <n v="50"/>
    <n v="92"/>
    <x v="0"/>
    <n v="15000"/>
    <n v="17700"/>
    <n v="0"/>
    <x v="1"/>
    <x v="0"/>
    <d v="2025-01-25T00:00:00"/>
    <d v="2025-02-24T00:00:00"/>
    <d v="1899-12-30T09:34:00"/>
    <d v="1899-12-30T10:42:00"/>
    <s v="D"/>
    <s v="09:34 AM"/>
    <s v="On Time"/>
    <s v="1 Hours 8 Minutes"/>
    <x v="1"/>
  </r>
  <r>
    <x v="617"/>
    <x v="162"/>
    <n v="27"/>
    <x v="1"/>
    <x v="1"/>
    <x v="3"/>
    <x v="3"/>
    <n v="56"/>
    <n v="77"/>
    <x v="0"/>
    <n v="12000"/>
    <n v="14160"/>
    <n v="0"/>
    <x v="1"/>
    <x v="0"/>
    <d v="2025-05-07T00:00:00"/>
    <d v="2025-07-06T00:00:00"/>
    <d v="1899-12-30T08:54:00"/>
    <d v="1899-12-30T12:50:00"/>
    <s v="D"/>
    <s v="08:54 AM"/>
    <s v="On Time"/>
    <s v="3 Hours 56 Minutes"/>
    <x v="1"/>
  </r>
  <r>
    <x v="618"/>
    <x v="214"/>
    <n v="20"/>
    <x v="1"/>
    <x v="11"/>
    <x v="6"/>
    <x v="6"/>
    <n v="74"/>
    <n v="81"/>
    <x v="3"/>
    <n v="15000"/>
    <n v="13930"/>
    <n v="2000"/>
    <x v="0"/>
    <x v="0"/>
    <d v="2025-08-09T00:00:00"/>
    <d v="2026-02-05T00:00:00"/>
    <d v="1899-12-30T08:27:00"/>
    <d v="1899-12-30T09:58:00"/>
    <s v="C"/>
    <s v="08:27 AM"/>
    <s v="Delayed"/>
    <s v="1 Hours 31 Minutes"/>
    <x v="1"/>
  </r>
  <r>
    <x v="619"/>
    <x v="52"/>
    <n v="24"/>
    <x v="0"/>
    <x v="4"/>
    <x v="5"/>
    <x v="5"/>
    <n v="54"/>
    <n v="91"/>
    <x v="0"/>
    <n v="15000"/>
    <n v="11930"/>
    <n v="4000"/>
    <x v="0"/>
    <x v="0"/>
    <d v="2025-05-28T00:00:00"/>
    <d v="2025-11-24T00:00:00"/>
    <d v="1899-12-30T08:34:00"/>
    <d v="1899-12-30T12:51:00"/>
    <s v="D"/>
    <s v="08:34 AM"/>
    <s v="Delayed"/>
    <s v="4 Hours 17 Minutes"/>
    <x v="1"/>
  </r>
  <r>
    <x v="620"/>
    <x v="102"/>
    <n v="20"/>
    <x v="1"/>
    <x v="9"/>
    <x v="1"/>
    <x v="1"/>
    <n v="87"/>
    <n v="60"/>
    <x v="1"/>
    <n v="15000"/>
    <n v="17110"/>
    <n v="0"/>
    <x v="1"/>
    <x v="0"/>
    <d v="2025-11-14T00:00:00"/>
    <d v="2026-02-12T00:00:00"/>
    <d v="1899-12-30T08:31:00"/>
    <d v="1899-12-30T11:02:00"/>
    <s v="B"/>
    <s v="08:31 AM"/>
    <s v="On Time"/>
    <s v="2 Hours 31 Minutes"/>
    <x v="1"/>
  </r>
  <r>
    <x v="621"/>
    <x v="200"/>
    <n v="23"/>
    <x v="1"/>
    <x v="0"/>
    <x v="6"/>
    <x v="6"/>
    <n v="66"/>
    <n v="87"/>
    <x v="3"/>
    <n v="20000"/>
    <n v="18420"/>
    <n v="4000"/>
    <x v="0"/>
    <x v="0"/>
    <d v="2025-09-26T00:00:00"/>
    <d v="2026-03-25T00:00:00"/>
    <d v="1899-12-30T08:33:00"/>
    <d v="1899-12-30T09:49:00"/>
    <s v="C"/>
    <s v="08:33 AM"/>
    <s v="Delayed"/>
    <s v="1 Hours 16 Minutes"/>
    <x v="1"/>
  </r>
  <r>
    <x v="622"/>
    <x v="157"/>
    <n v="18"/>
    <x v="0"/>
    <x v="10"/>
    <x v="2"/>
    <x v="2"/>
    <n v="62"/>
    <n v="71"/>
    <x v="3"/>
    <n v="12000"/>
    <n v="12390"/>
    <n v="0"/>
    <x v="1"/>
    <x v="0"/>
    <d v="2025-08-13T00:00:00"/>
    <d v="2025-09-12T00:00:00"/>
    <d v="1899-12-30T09:10:00"/>
    <d v="1899-12-30T12:21:00"/>
    <s v="C"/>
    <s v="09:10 AM"/>
    <s v="On Time"/>
    <s v="3 Hours 11 Minutes"/>
    <x v="1"/>
  </r>
  <r>
    <x v="623"/>
    <x v="12"/>
    <n v="25"/>
    <x v="1"/>
    <x v="9"/>
    <x v="4"/>
    <x v="4"/>
    <n v="57"/>
    <n v="93"/>
    <x v="0"/>
    <n v="20000"/>
    <n v="17830"/>
    <n v="4000"/>
    <x v="0"/>
    <x v="0"/>
    <d v="2025-06-15T00:00:00"/>
    <d v="2025-09-13T00:00:00"/>
    <d v="1899-12-30T09:26:00"/>
    <d v="1899-12-30T11:13:00"/>
    <s v="D"/>
    <s v="09:26 AM"/>
    <s v="On Time"/>
    <s v="1 Hours 47 Minutes"/>
    <x v="1"/>
  </r>
  <r>
    <x v="624"/>
    <x v="153"/>
    <n v="18"/>
    <x v="1"/>
    <x v="4"/>
    <x v="0"/>
    <x v="0"/>
    <n v="43"/>
    <n v="65"/>
    <x v="0"/>
    <n v="18000"/>
    <n v="18650"/>
    <n v="2000"/>
    <x v="0"/>
    <x v="0"/>
    <d v="2025-07-23T00:00:00"/>
    <d v="2025-11-20T00:00:00"/>
    <d v="1899-12-30T08:56:00"/>
    <d v="1899-12-30T12:56:00"/>
    <s v="D"/>
    <s v="08:56 AM"/>
    <s v="Delayed"/>
    <s v="4 Hours 0 Minutes"/>
    <x v="1"/>
  </r>
  <r>
    <x v="625"/>
    <x v="118"/>
    <n v="21"/>
    <x v="1"/>
    <x v="3"/>
    <x v="3"/>
    <x v="3"/>
    <n v="53"/>
    <n v="87"/>
    <x v="0"/>
    <n v="12000"/>
    <n v="8390"/>
    <n v="4000"/>
    <x v="0"/>
    <x v="0"/>
    <d v="2025-08-25T00:00:00"/>
    <d v="2025-12-23T00:00:00"/>
    <d v="1899-12-30T08:49:00"/>
    <d v="1899-12-30T11:45:00"/>
    <s v="D"/>
    <s v="08:49 AM"/>
    <s v="Delayed"/>
    <s v="2 Hours 56 Minutes"/>
    <x v="1"/>
  </r>
  <r>
    <x v="626"/>
    <x v="151"/>
    <n v="25"/>
    <x v="1"/>
    <x v="2"/>
    <x v="4"/>
    <x v="4"/>
    <n v="72"/>
    <n v="75"/>
    <x v="3"/>
    <n v="20000"/>
    <n v="17830"/>
    <n v="4000"/>
    <x v="0"/>
    <x v="0"/>
    <d v="2025-03-01T00:00:00"/>
    <d v="2025-05-30T00:00:00"/>
    <d v="1899-12-30T09:57:00"/>
    <d v="1899-12-30T13:01:00"/>
    <s v="C"/>
    <s v="09:57 AM"/>
    <s v="On Time"/>
    <s v="3 Hours 4 Minutes"/>
    <x v="1"/>
  </r>
  <r>
    <x v="627"/>
    <x v="223"/>
    <n v="19"/>
    <x v="1"/>
    <x v="6"/>
    <x v="2"/>
    <x v="2"/>
    <n v="37"/>
    <n v="86"/>
    <x v="0"/>
    <n v="12000"/>
    <n v="12980"/>
    <n v="0"/>
    <x v="1"/>
    <x v="0"/>
    <d v="2025-03-31T00:00:00"/>
    <d v="2025-09-27T00:00:00"/>
    <d v="1899-12-30T10:06:00"/>
    <d v="1899-12-30T14:46:00"/>
    <s v="D"/>
    <s v="10:06 AM"/>
    <s v="Delayed"/>
    <s v="4 Hours 40 Minutes"/>
    <x v="0"/>
  </r>
  <r>
    <x v="628"/>
    <x v="98"/>
    <n v="19"/>
    <x v="0"/>
    <x v="1"/>
    <x v="3"/>
    <x v="3"/>
    <n v="88"/>
    <n v="66"/>
    <x v="1"/>
    <n v="15000"/>
    <n v="16520"/>
    <n v="0"/>
    <x v="1"/>
    <x v="0"/>
    <d v="2025-09-22T00:00:00"/>
    <d v="2026-03-21T00:00:00"/>
    <d v="1899-12-30T08:03:00"/>
    <d v="1899-12-30T10:54:00"/>
    <s v="B"/>
    <s v="08:03 AM"/>
    <s v="Delayed"/>
    <s v="2 Hours 51 Minutes"/>
    <x v="1"/>
  </r>
  <r>
    <x v="629"/>
    <x v="77"/>
    <n v="20"/>
    <x v="1"/>
    <x v="6"/>
    <x v="5"/>
    <x v="5"/>
    <n v="43"/>
    <n v="97"/>
    <x v="0"/>
    <n v="18000"/>
    <n v="16650"/>
    <n v="4000"/>
    <x v="0"/>
    <x v="0"/>
    <d v="2025-06-27T00:00:00"/>
    <d v="2025-10-25T00:00:00"/>
    <d v="1899-12-30T09:28:00"/>
    <d v="1899-12-30T11:37:00"/>
    <s v="D"/>
    <s v="09:28 AM"/>
    <s v="Delayed"/>
    <s v="2 Hours 9 Minutes"/>
    <x v="1"/>
  </r>
  <r>
    <x v="630"/>
    <x v="201"/>
    <n v="25"/>
    <x v="1"/>
    <x v="9"/>
    <x v="1"/>
    <x v="1"/>
    <n v="84"/>
    <n v="97"/>
    <x v="1"/>
    <n v="20000"/>
    <n v="19010"/>
    <n v="4000"/>
    <x v="0"/>
    <x v="0"/>
    <d v="2025-12-05T00:00:00"/>
    <d v="2026-04-04T00:00:00"/>
    <d v="1899-12-30T10:24:00"/>
    <d v="1899-12-30T12:54:00"/>
    <s v="B"/>
    <s v="10:24 AM"/>
    <s v="Delayed"/>
    <s v="2 Hours 30 Minutes"/>
    <x v="0"/>
  </r>
  <r>
    <x v="631"/>
    <x v="76"/>
    <n v="19"/>
    <x v="0"/>
    <x v="6"/>
    <x v="5"/>
    <x v="5"/>
    <n v="100"/>
    <n v="63"/>
    <x v="2"/>
    <n v="12000"/>
    <n v="14160"/>
    <n v="0"/>
    <x v="1"/>
    <x v="0"/>
    <d v="2025-02-08T00:00:00"/>
    <d v="2025-08-07T00:00:00"/>
    <d v="1899-12-30T10:55:00"/>
    <d v="1899-12-30T12:43:00"/>
    <s v="A"/>
    <s v="10:55 AM"/>
    <s v="Delayed"/>
    <s v="1 Hours 48 Minutes"/>
    <x v="0"/>
  </r>
  <r>
    <x v="632"/>
    <x v="50"/>
    <n v="28"/>
    <x v="0"/>
    <x v="11"/>
    <x v="0"/>
    <x v="0"/>
    <n v="100"/>
    <n v="60"/>
    <x v="2"/>
    <n v="10000"/>
    <n v="10030"/>
    <n v="0"/>
    <x v="1"/>
    <x v="1"/>
    <d v="2025-10-06T00:00:00"/>
    <d v="2026-02-03T00:00:00"/>
    <d v="1899-12-30T10:43:00"/>
    <d v="1899-12-30T13:32:00"/>
    <s v="A"/>
    <s v="10:43 AM"/>
    <s v="Delayed"/>
    <s v="2 Hours 49 Minutes"/>
    <x v="0"/>
  </r>
  <r>
    <x v="633"/>
    <x v="224"/>
    <n v="26"/>
    <x v="0"/>
    <x v="5"/>
    <x v="5"/>
    <x v="5"/>
    <n v="97"/>
    <n v="81"/>
    <x v="2"/>
    <n v="20000"/>
    <n v="21010"/>
    <n v="2000"/>
    <x v="0"/>
    <x v="0"/>
    <d v="2025-07-31T00:00:00"/>
    <d v="2025-11-28T00:00:00"/>
    <d v="1899-12-30T10:58:00"/>
    <d v="1899-12-30T14:39:00"/>
    <s v="A"/>
    <s v="10:58 AM"/>
    <s v="Delayed"/>
    <s v="3 Hours 41 Minutes"/>
    <x v="0"/>
  </r>
  <r>
    <x v="634"/>
    <x v="83"/>
    <n v="20"/>
    <x v="0"/>
    <x v="8"/>
    <x v="7"/>
    <x v="7"/>
    <n v="88"/>
    <n v="76"/>
    <x v="1"/>
    <n v="20000"/>
    <n v="18420"/>
    <n v="4000"/>
    <x v="0"/>
    <x v="0"/>
    <d v="2025-11-19T00:00:00"/>
    <d v="2026-02-17T00:00:00"/>
    <d v="1899-12-30T10:00:00"/>
    <d v="1899-12-30T14:29:00"/>
    <s v="B"/>
    <s v="10:00 AM"/>
    <s v="On Time"/>
    <s v="4 Hours 29 Minutes"/>
    <x v="1"/>
  </r>
  <r>
    <x v="635"/>
    <x v="179"/>
    <n v="21"/>
    <x v="1"/>
    <x v="7"/>
    <x v="6"/>
    <x v="6"/>
    <n v="92"/>
    <n v="60"/>
    <x v="2"/>
    <n v="12000"/>
    <n v="8390"/>
    <n v="4000"/>
    <x v="0"/>
    <x v="0"/>
    <d v="2025-08-03T00:00:00"/>
    <d v="2025-12-01T00:00:00"/>
    <d v="1899-12-30T08:02:00"/>
    <d v="1899-12-30T11:17:00"/>
    <s v="A"/>
    <s v="08:02 AM"/>
    <s v="Delayed"/>
    <s v="3 Hours 15 Minutes"/>
    <x v="1"/>
  </r>
  <r>
    <x v="636"/>
    <x v="25"/>
    <n v="25"/>
    <x v="1"/>
    <x v="2"/>
    <x v="4"/>
    <x v="4"/>
    <n v="53"/>
    <n v="78"/>
    <x v="0"/>
    <n v="15000"/>
    <n v="17700"/>
    <n v="0"/>
    <x v="1"/>
    <x v="0"/>
    <d v="2025-10-27T00:00:00"/>
    <d v="2026-04-25T00:00:00"/>
    <d v="1899-12-30T10:05:00"/>
    <d v="1899-12-30T12:29:00"/>
    <s v="D"/>
    <s v="10:05 AM"/>
    <s v="Delayed"/>
    <s v="2 Hours 24 Minutes"/>
    <x v="0"/>
  </r>
  <r>
    <x v="637"/>
    <x v="52"/>
    <n v="27"/>
    <x v="0"/>
    <x v="1"/>
    <x v="5"/>
    <x v="5"/>
    <n v="74"/>
    <n v="60"/>
    <x v="3"/>
    <n v="18000"/>
    <n v="20060"/>
    <n v="0"/>
    <x v="1"/>
    <x v="0"/>
    <d v="2025-05-04T00:00:00"/>
    <d v="2025-08-02T00:00:00"/>
    <d v="1899-12-30T09:06:00"/>
    <d v="1899-12-30T11:24:00"/>
    <s v="C"/>
    <s v="09:06 AM"/>
    <s v="On Time"/>
    <s v="2 Hours 18 Minutes"/>
    <x v="1"/>
  </r>
  <r>
    <x v="638"/>
    <x v="146"/>
    <n v="25"/>
    <x v="0"/>
    <x v="5"/>
    <x v="3"/>
    <x v="3"/>
    <n v="95"/>
    <n v="62"/>
    <x v="2"/>
    <n v="18000"/>
    <n v="17470"/>
    <n v="2000"/>
    <x v="0"/>
    <x v="0"/>
    <d v="2025-04-30T00:00:00"/>
    <d v="2025-05-30T00:00:00"/>
    <d v="1899-12-30T08:45:00"/>
    <d v="1899-12-30T10:44:00"/>
    <s v="A"/>
    <s v="08:45 AM"/>
    <s v="On Time"/>
    <s v="1 Hours 59 Minutes"/>
    <x v="1"/>
  </r>
  <r>
    <x v="639"/>
    <x v="4"/>
    <n v="21"/>
    <x v="0"/>
    <x v="7"/>
    <x v="4"/>
    <x v="4"/>
    <n v="73"/>
    <n v="70"/>
    <x v="3"/>
    <n v="20000"/>
    <n v="21600"/>
    <n v="2000"/>
    <x v="0"/>
    <x v="0"/>
    <d v="2025-12-22T00:00:00"/>
    <d v="2026-04-21T00:00:00"/>
    <d v="1899-12-30T09:54:00"/>
    <d v="1899-12-30T13:59:00"/>
    <s v="C"/>
    <s v="09:54 AM"/>
    <s v="Delayed"/>
    <s v="4 Hours 5 Minutes"/>
    <x v="1"/>
  </r>
  <r>
    <x v="640"/>
    <x v="225"/>
    <n v="18"/>
    <x v="1"/>
    <x v="11"/>
    <x v="5"/>
    <x v="5"/>
    <n v="90"/>
    <n v="85"/>
    <x v="2"/>
    <n v="15000"/>
    <n v="13110"/>
    <n v="4000"/>
    <x v="0"/>
    <x v="0"/>
    <d v="2025-07-06T00:00:00"/>
    <d v="2025-08-05T00:00:00"/>
    <d v="1899-12-30T10:04:00"/>
    <d v="1899-12-30T11:08:00"/>
    <s v="A"/>
    <s v="10:04 AM"/>
    <s v="On Time"/>
    <s v="1 Hours 4 Minutes"/>
    <x v="0"/>
  </r>
  <r>
    <x v="641"/>
    <x v="59"/>
    <n v="22"/>
    <x v="1"/>
    <x v="2"/>
    <x v="5"/>
    <x v="5"/>
    <n v="91"/>
    <n v="93"/>
    <x v="2"/>
    <n v="20000"/>
    <n v="18420"/>
    <n v="4000"/>
    <x v="0"/>
    <x v="0"/>
    <d v="2025-06-20T00:00:00"/>
    <d v="2025-12-17T00:00:00"/>
    <d v="1899-12-30T08:33:00"/>
    <d v="1899-12-30T09:43:00"/>
    <s v="A"/>
    <s v="08:33 AM"/>
    <s v="Delayed"/>
    <s v="1 Hours 10 Minutes"/>
    <x v="1"/>
  </r>
  <r>
    <x v="642"/>
    <x v="158"/>
    <n v="19"/>
    <x v="0"/>
    <x v="9"/>
    <x v="7"/>
    <x v="7"/>
    <n v="43"/>
    <n v="99"/>
    <x v="0"/>
    <n v="18000"/>
    <n v="20650"/>
    <n v="0"/>
    <x v="1"/>
    <x v="0"/>
    <d v="2025-11-14T00:00:00"/>
    <d v="2026-02-12T00:00:00"/>
    <d v="1899-12-30T08:28:00"/>
    <d v="1899-12-30T12:13:00"/>
    <s v="D"/>
    <s v="08:28 AM"/>
    <s v="On Time"/>
    <s v="3 Hours 45 Minutes"/>
    <x v="1"/>
  </r>
  <r>
    <x v="643"/>
    <x v="178"/>
    <n v="21"/>
    <x v="0"/>
    <x v="8"/>
    <x v="0"/>
    <x v="0"/>
    <n v="63"/>
    <n v="98"/>
    <x v="3"/>
    <n v="20000"/>
    <n v="23600"/>
    <n v="0"/>
    <x v="1"/>
    <x v="0"/>
    <d v="2025-05-25T00:00:00"/>
    <d v="2025-09-22T00:00:00"/>
    <d v="1899-12-30T09:20:00"/>
    <d v="1899-12-30T12:37:00"/>
    <s v="C"/>
    <s v="09:20 AM"/>
    <s v="Delayed"/>
    <s v="3 Hours 17 Minutes"/>
    <x v="1"/>
  </r>
  <r>
    <x v="644"/>
    <x v="207"/>
    <n v="23"/>
    <x v="0"/>
    <x v="1"/>
    <x v="3"/>
    <x v="3"/>
    <n v="62"/>
    <n v="76"/>
    <x v="3"/>
    <n v="10000"/>
    <n v="10030"/>
    <n v="0"/>
    <x v="1"/>
    <x v="0"/>
    <d v="2025-02-19T00:00:00"/>
    <d v="2025-08-18T00:00:00"/>
    <d v="1899-12-30T09:49:00"/>
    <d v="1899-12-30T14:06:00"/>
    <s v="C"/>
    <s v="09:49 AM"/>
    <s v="Delayed"/>
    <s v="4 Hours 17 Minutes"/>
    <x v="1"/>
  </r>
  <r>
    <x v="645"/>
    <x v="136"/>
    <n v="20"/>
    <x v="0"/>
    <x v="6"/>
    <x v="0"/>
    <x v="0"/>
    <n v="59"/>
    <n v="84"/>
    <x v="0"/>
    <n v="10000"/>
    <n v="7210"/>
    <n v="4000"/>
    <x v="0"/>
    <x v="0"/>
    <d v="2025-09-06T00:00:00"/>
    <d v="2025-12-05T00:00:00"/>
    <d v="1899-12-30T09:53:00"/>
    <d v="1899-12-30T14:36:00"/>
    <s v="D"/>
    <s v="09:53 AM"/>
    <s v="On Time"/>
    <s v="4 Hours 43 Minutes"/>
    <x v="1"/>
  </r>
  <r>
    <x v="646"/>
    <x v="215"/>
    <n v="22"/>
    <x v="1"/>
    <x v="8"/>
    <x v="5"/>
    <x v="5"/>
    <n v="92"/>
    <n v="73"/>
    <x v="2"/>
    <n v="12000"/>
    <n v="12980"/>
    <n v="0"/>
    <x v="1"/>
    <x v="0"/>
    <d v="2025-06-05T00:00:00"/>
    <d v="2025-12-02T00:00:00"/>
    <d v="1899-12-30T08:47:00"/>
    <d v="1899-12-30T12:57:00"/>
    <s v="A"/>
    <s v="08:47 AM"/>
    <s v="Delayed"/>
    <s v="4 Hours 10 Minutes"/>
    <x v="1"/>
  </r>
  <r>
    <x v="647"/>
    <x v="217"/>
    <n v="22"/>
    <x v="0"/>
    <x v="7"/>
    <x v="2"/>
    <x v="2"/>
    <n v="74"/>
    <n v="81"/>
    <x v="3"/>
    <n v="15000"/>
    <n v="17110"/>
    <n v="0"/>
    <x v="1"/>
    <x v="0"/>
    <d v="2025-01-06T00:00:00"/>
    <d v="2025-02-05T00:00:00"/>
    <d v="1899-12-30T10:12:00"/>
    <d v="1899-12-30T14:49:00"/>
    <s v="C"/>
    <s v="10:12 AM"/>
    <s v="On Time"/>
    <s v="4 Hours 37 Minutes"/>
    <x v="0"/>
  </r>
  <r>
    <x v="648"/>
    <x v="83"/>
    <n v="22"/>
    <x v="0"/>
    <x v="7"/>
    <x v="7"/>
    <x v="7"/>
    <n v="46"/>
    <n v="93"/>
    <x v="0"/>
    <n v="18000"/>
    <n v="20060"/>
    <n v="0"/>
    <x v="1"/>
    <x v="0"/>
    <d v="2025-09-09T00:00:00"/>
    <d v="2025-10-09T00:00:00"/>
    <d v="1899-12-30T08:49:00"/>
    <d v="1899-12-30T11:56:00"/>
    <s v="D"/>
    <s v="08:49 AM"/>
    <s v="On Time"/>
    <s v="3 Hours 7 Minutes"/>
    <x v="1"/>
  </r>
  <r>
    <x v="649"/>
    <x v="82"/>
    <n v="23"/>
    <x v="1"/>
    <x v="10"/>
    <x v="7"/>
    <x v="7"/>
    <n v="58"/>
    <n v="98"/>
    <x v="0"/>
    <n v="10000"/>
    <n v="8620"/>
    <n v="2000"/>
    <x v="0"/>
    <x v="0"/>
    <d v="2025-03-18T00:00:00"/>
    <d v="2025-06-16T00:00:00"/>
    <d v="1899-12-30T10:17:00"/>
    <d v="1899-12-30T13:57:00"/>
    <s v="D"/>
    <s v="10:17 AM"/>
    <s v="On Time"/>
    <s v="3 Hours 40 Minutes"/>
    <x v="0"/>
  </r>
  <r>
    <x v="650"/>
    <x v="107"/>
    <n v="28"/>
    <x v="1"/>
    <x v="6"/>
    <x v="4"/>
    <x v="4"/>
    <n v="84"/>
    <n v="83"/>
    <x v="1"/>
    <n v="15000"/>
    <n v="14520"/>
    <n v="2000"/>
    <x v="0"/>
    <x v="0"/>
    <d v="2025-04-14T00:00:00"/>
    <d v="2025-05-14T00:00:00"/>
    <d v="1899-12-30T10:09:00"/>
    <d v="1899-12-30T11:38:00"/>
    <s v="B"/>
    <s v="10:09 AM"/>
    <s v="On Time"/>
    <s v="1 Hours 29 Minutes"/>
    <x v="0"/>
  </r>
  <r>
    <x v="651"/>
    <x v="68"/>
    <n v="28"/>
    <x v="1"/>
    <x v="2"/>
    <x v="6"/>
    <x v="6"/>
    <n v="86"/>
    <n v="65"/>
    <x v="1"/>
    <n v="18000"/>
    <n v="21240"/>
    <n v="0"/>
    <x v="1"/>
    <x v="0"/>
    <d v="2025-08-07T00:00:00"/>
    <d v="2025-11-05T00:00:00"/>
    <d v="1899-12-30T08:19:00"/>
    <d v="1899-12-30T10:10:00"/>
    <s v="B"/>
    <s v="08:19 AM"/>
    <s v="On Time"/>
    <s v="1 Hours 51 Minutes"/>
    <x v="1"/>
  </r>
  <r>
    <x v="652"/>
    <x v="6"/>
    <n v="21"/>
    <x v="0"/>
    <x v="7"/>
    <x v="3"/>
    <x v="3"/>
    <n v="43"/>
    <n v="76"/>
    <x v="0"/>
    <n v="10000"/>
    <n v="11800"/>
    <n v="0"/>
    <x v="1"/>
    <x v="0"/>
    <d v="2025-06-30T00:00:00"/>
    <d v="2025-10-28T00:00:00"/>
    <d v="1899-12-30T08:14:00"/>
    <d v="1899-12-30T10:46:00"/>
    <s v="D"/>
    <s v="08:14 AM"/>
    <s v="Delayed"/>
    <s v="2 Hours 32 Minutes"/>
    <x v="1"/>
  </r>
  <r>
    <x v="653"/>
    <x v="207"/>
    <n v="24"/>
    <x v="0"/>
    <x v="5"/>
    <x v="2"/>
    <x v="2"/>
    <n v="85"/>
    <n v="63"/>
    <x v="1"/>
    <n v="15000"/>
    <n v="16520"/>
    <n v="0"/>
    <x v="1"/>
    <x v="0"/>
    <d v="2025-05-15T00:00:00"/>
    <d v="2025-08-13T00:00:00"/>
    <d v="1899-12-30T08:22:00"/>
    <d v="1899-12-30T09:38:00"/>
    <s v="B"/>
    <s v="08:22 AM"/>
    <s v="On Time"/>
    <s v="1 Hours 16 Minutes"/>
    <x v="1"/>
  </r>
  <r>
    <x v="654"/>
    <x v="225"/>
    <n v="24"/>
    <x v="0"/>
    <x v="2"/>
    <x v="0"/>
    <x v="0"/>
    <n v="72"/>
    <n v="100"/>
    <x v="3"/>
    <n v="15000"/>
    <n v="12520"/>
    <n v="4000"/>
    <x v="0"/>
    <x v="0"/>
    <d v="2025-01-08T00:00:00"/>
    <d v="2025-04-08T00:00:00"/>
    <d v="1899-12-30T09:01:00"/>
    <d v="1899-12-30T13:53:00"/>
    <s v="C"/>
    <s v="09:01 AM"/>
    <s v="On Time"/>
    <s v="4 Hours 52 Minutes"/>
    <x v="1"/>
  </r>
  <r>
    <x v="655"/>
    <x v="226"/>
    <n v="18"/>
    <x v="1"/>
    <x v="3"/>
    <x v="4"/>
    <x v="4"/>
    <n v="59"/>
    <n v="83"/>
    <x v="0"/>
    <n v="20000"/>
    <n v="18420"/>
    <n v="4000"/>
    <x v="0"/>
    <x v="0"/>
    <d v="2025-06-13T00:00:00"/>
    <d v="2025-07-13T00:00:00"/>
    <d v="1899-12-30T08:34:00"/>
    <d v="1899-12-30T09:48:00"/>
    <s v="D"/>
    <s v="08:34 AM"/>
    <s v="On Time"/>
    <s v="1 Hours 14 Minutes"/>
    <x v="1"/>
  </r>
  <r>
    <x v="656"/>
    <x v="7"/>
    <n v="21"/>
    <x v="0"/>
    <x v="3"/>
    <x v="4"/>
    <x v="4"/>
    <n v="96"/>
    <n v="84"/>
    <x v="2"/>
    <n v="18000"/>
    <n v="18650"/>
    <n v="2000"/>
    <x v="0"/>
    <x v="0"/>
    <d v="2025-01-28T00:00:00"/>
    <d v="2025-02-27T00:00:00"/>
    <d v="1899-12-30T10:18:00"/>
    <d v="1899-12-30T11:31:00"/>
    <s v="A"/>
    <s v="10:18 AM"/>
    <s v="On Time"/>
    <s v="1 Hours 13 Minutes"/>
    <x v="0"/>
  </r>
  <r>
    <x v="657"/>
    <x v="197"/>
    <n v="25"/>
    <x v="1"/>
    <x v="0"/>
    <x v="7"/>
    <x v="7"/>
    <n v="53"/>
    <n v="63"/>
    <x v="0"/>
    <n v="12000"/>
    <n v="14160"/>
    <n v="0"/>
    <x v="1"/>
    <x v="0"/>
    <d v="2025-10-06T00:00:00"/>
    <d v="2025-11-05T00:00:00"/>
    <d v="1899-12-30T10:38:00"/>
    <d v="1899-12-30T11:50:00"/>
    <s v="D"/>
    <s v="10:38 AM"/>
    <s v="On Time"/>
    <s v="1 Hours 12 Minutes"/>
    <x v="0"/>
  </r>
  <r>
    <x v="658"/>
    <x v="45"/>
    <n v="27"/>
    <x v="1"/>
    <x v="4"/>
    <x v="3"/>
    <x v="3"/>
    <n v="89"/>
    <n v="83"/>
    <x v="1"/>
    <n v="18000"/>
    <n v="20650"/>
    <n v="0"/>
    <x v="1"/>
    <x v="0"/>
    <d v="2025-10-24T00:00:00"/>
    <d v="2026-04-22T00:00:00"/>
    <d v="1899-12-30T10:25:00"/>
    <d v="1899-12-30T15:18:00"/>
    <s v="B"/>
    <s v="10:25 AM"/>
    <s v="Delayed"/>
    <s v="4 Hours 53 Minutes"/>
    <x v="0"/>
  </r>
  <r>
    <x v="659"/>
    <x v="175"/>
    <n v="18"/>
    <x v="0"/>
    <x v="4"/>
    <x v="3"/>
    <x v="3"/>
    <n v="82"/>
    <n v="92"/>
    <x v="1"/>
    <n v="18000"/>
    <n v="20650"/>
    <n v="0"/>
    <x v="1"/>
    <x v="0"/>
    <d v="2025-08-02T00:00:00"/>
    <d v="2026-01-29T00:00:00"/>
    <d v="1899-12-30T10:58:00"/>
    <d v="1899-12-30T14:39:00"/>
    <s v="B"/>
    <s v="10:58 AM"/>
    <s v="Delayed"/>
    <s v="3 Hours 41 Minutes"/>
    <x v="0"/>
  </r>
  <r>
    <x v="660"/>
    <x v="106"/>
    <n v="20"/>
    <x v="1"/>
    <x v="11"/>
    <x v="0"/>
    <x v="0"/>
    <n v="86"/>
    <n v="92"/>
    <x v="1"/>
    <n v="20000"/>
    <n v="23010"/>
    <n v="0"/>
    <x v="1"/>
    <x v="0"/>
    <d v="2025-07-12T00:00:00"/>
    <d v="2025-09-10T00:00:00"/>
    <d v="1899-12-30T09:41:00"/>
    <d v="1899-12-30T13:25:00"/>
    <s v="B"/>
    <s v="09:41 AM"/>
    <s v="On Time"/>
    <s v="3 Hours 44 Minutes"/>
    <x v="1"/>
  </r>
  <r>
    <x v="661"/>
    <x v="227"/>
    <n v="20"/>
    <x v="1"/>
    <x v="2"/>
    <x v="2"/>
    <x v="2"/>
    <n v="82"/>
    <n v="66"/>
    <x v="1"/>
    <n v="20000"/>
    <n v="23600"/>
    <n v="0"/>
    <x v="1"/>
    <x v="0"/>
    <d v="2025-01-02T00:00:00"/>
    <d v="2025-07-01T00:00:00"/>
    <d v="1899-12-30T08:47:00"/>
    <d v="1899-12-30T12:31:00"/>
    <s v="B"/>
    <s v="08:47 AM"/>
    <s v="Delayed"/>
    <s v="3 Hours 44 Minutes"/>
    <x v="1"/>
  </r>
  <r>
    <x v="662"/>
    <x v="148"/>
    <n v="20"/>
    <x v="1"/>
    <x v="5"/>
    <x v="5"/>
    <x v="5"/>
    <n v="80"/>
    <n v="96"/>
    <x v="1"/>
    <n v="18000"/>
    <n v="18060"/>
    <n v="2000"/>
    <x v="0"/>
    <x v="0"/>
    <d v="2025-03-12T00:00:00"/>
    <d v="2025-09-08T00:00:00"/>
    <d v="1899-12-30T08:03:00"/>
    <d v="1899-12-30T10:07:00"/>
    <s v="B"/>
    <s v="08:03 AM"/>
    <s v="Delayed"/>
    <s v="2 Hours 4 Minutes"/>
    <x v="1"/>
  </r>
  <r>
    <x v="663"/>
    <x v="180"/>
    <n v="26"/>
    <x v="1"/>
    <x v="3"/>
    <x v="6"/>
    <x v="6"/>
    <n v="83"/>
    <n v="100"/>
    <x v="1"/>
    <n v="12000"/>
    <n v="9570"/>
    <n v="4000"/>
    <x v="0"/>
    <x v="0"/>
    <d v="2025-06-22T00:00:00"/>
    <d v="2025-09-20T00:00:00"/>
    <d v="1899-12-30T09:22:00"/>
    <d v="1899-12-30T11:07:00"/>
    <s v="B"/>
    <s v="09:22 AM"/>
    <s v="On Time"/>
    <s v="1 Hours 45 Minutes"/>
    <x v="1"/>
  </r>
  <r>
    <x v="664"/>
    <x v="84"/>
    <n v="26"/>
    <x v="1"/>
    <x v="1"/>
    <x v="0"/>
    <x v="0"/>
    <n v="82"/>
    <n v="79"/>
    <x v="1"/>
    <n v="12000"/>
    <n v="12390"/>
    <n v="0"/>
    <x v="1"/>
    <x v="0"/>
    <d v="2025-10-17T00:00:00"/>
    <d v="2025-11-16T00:00:00"/>
    <d v="1899-12-30T08:38:00"/>
    <d v="1899-12-30T10:11:00"/>
    <s v="B"/>
    <s v="08:38 AM"/>
    <s v="On Time"/>
    <s v="1 Hours 33 Minutes"/>
    <x v="1"/>
  </r>
  <r>
    <x v="665"/>
    <x v="121"/>
    <n v="28"/>
    <x v="1"/>
    <x v="1"/>
    <x v="3"/>
    <x v="3"/>
    <n v="97"/>
    <n v="60"/>
    <x v="2"/>
    <n v="12000"/>
    <n v="10980"/>
    <n v="2000"/>
    <x v="0"/>
    <x v="1"/>
    <d v="2025-05-22T00:00:00"/>
    <d v="2025-09-19T00:00:00"/>
    <d v="1899-12-30T09:03:00"/>
    <d v="1899-12-30T11:54:00"/>
    <s v="A"/>
    <s v="09:03 AM"/>
    <s v="Delayed"/>
    <s v="2 Hours 51 Minutes"/>
    <x v="1"/>
  </r>
  <r>
    <x v="666"/>
    <x v="105"/>
    <n v="23"/>
    <x v="0"/>
    <x v="4"/>
    <x v="7"/>
    <x v="7"/>
    <n v="82"/>
    <n v="93"/>
    <x v="1"/>
    <n v="12000"/>
    <n v="12980"/>
    <n v="0"/>
    <x v="1"/>
    <x v="0"/>
    <d v="2025-10-19T00:00:00"/>
    <d v="2026-01-17T00:00:00"/>
    <d v="1899-12-30T10:16:00"/>
    <d v="1899-12-30T15:01:00"/>
    <s v="B"/>
    <s v="10:16 AM"/>
    <s v="On Time"/>
    <s v="4 Hours 45 Minutes"/>
    <x v="0"/>
  </r>
  <r>
    <x v="667"/>
    <x v="44"/>
    <n v="25"/>
    <x v="1"/>
    <x v="7"/>
    <x v="3"/>
    <x v="3"/>
    <n v="81"/>
    <n v="75"/>
    <x v="1"/>
    <n v="15000"/>
    <n v="13930"/>
    <n v="2000"/>
    <x v="0"/>
    <x v="0"/>
    <d v="2025-06-06T00:00:00"/>
    <d v="2025-08-05T00:00:00"/>
    <d v="1899-12-30T10:33:00"/>
    <d v="1899-12-30T12:49:00"/>
    <s v="B"/>
    <s v="10:33 AM"/>
    <s v="On Time"/>
    <s v="2 Hours 16 Minutes"/>
    <x v="0"/>
  </r>
  <r>
    <x v="668"/>
    <x v="74"/>
    <n v="28"/>
    <x v="1"/>
    <x v="1"/>
    <x v="6"/>
    <x v="6"/>
    <n v="40"/>
    <n v="73"/>
    <x v="0"/>
    <n v="20000"/>
    <n v="22420"/>
    <n v="0"/>
    <x v="1"/>
    <x v="0"/>
    <d v="2025-07-17T00:00:00"/>
    <d v="2025-11-14T00:00:00"/>
    <d v="1899-12-30T08:25:00"/>
    <d v="1899-12-30T11:13:00"/>
    <s v="D"/>
    <s v="08:25 AM"/>
    <s v="Delayed"/>
    <s v="2 Hours 48 Minutes"/>
    <x v="1"/>
  </r>
  <r>
    <x v="669"/>
    <x v="163"/>
    <n v="24"/>
    <x v="0"/>
    <x v="10"/>
    <x v="3"/>
    <x v="3"/>
    <n v="98"/>
    <n v="72"/>
    <x v="2"/>
    <n v="20000"/>
    <n v="19600"/>
    <n v="4000"/>
    <x v="0"/>
    <x v="0"/>
    <d v="2025-06-04T00:00:00"/>
    <d v="2025-08-03T00:00:00"/>
    <d v="1899-12-30T09:14:00"/>
    <d v="1899-12-30T13:38:00"/>
    <s v="A"/>
    <s v="09:14 AM"/>
    <s v="On Time"/>
    <s v="4 Hours 24 Minutes"/>
    <x v="1"/>
  </r>
  <r>
    <x v="670"/>
    <x v="168"/>
    <n v="23"/>
    <x v="0"/>
    <x v="5"/>
    <x v="1"/>
    <x v="1"/>
    <n v="99"/>
    <n v="67"/>
    <x v="2"/>
    <n v="10000"/>
    <n v="10620"/>
    <n v="0"/>
    <x v="1"/>
    <x v="0"/>
    <d v="2025-07-03T00:00:00"/>
    <d v="2025-08-02T00:00:00"/>
    <d v="1899-12-30T10:39:00"/>
    <d v="1899-12-30T15:14:00"/>
    <s v="A"/>
    <s v="10:39 AM"/>
    <s v="On Time"/>
    <s v="4 Hours 35 Minutes"/>
    <x v="0"/>
  </r>
  <r>
    <x v="671"/>
    <x v="12"/>
    <n v="25"/>
    <x v="1"/>
    <x v="3"/>
    <x v="5"/>
    <x v="5"/>
    <n v="94"/>
    <n v="85"/>
    <x v="2"/>
    <n v="10000"/>
    <n v="9210"/>
    <n v="2000"/>
    <x v="0"/>
    <x v="0"/>
    <d v="2025-07-16T00:00:00"/>
    <d v="2026-01-12T00:00:00"/>
    <d v="1899-12-30T08:46:00"/>
    <d v="1899-12-30T11:02:00"/>
    <s v="A"/>
    <s v="08:46 AM"/>
    <s v="Delayed"/>
    <s v="2 Hours 16 Minutes"/>
    <x v="1"/>
  </r>
  <r>
    <x v="672"/>
    <x v="62"/>
    <n v="18"/>
    <x v="0"/>
    <x v="8"/>
    <x v="4"/>
    <x v="4"/>
    <n v="62"/>
    <n v="83"/>
    <x v="3"/>
    <n v="20000"/>
    <n v="21010"/>
    <n v="2000"/>
    <x v="0"/>
    <x v="0"/>
    <d v="2025-12-14T00:00:00"/>
    <d v="2026-01-13T00:00:00"/>
    <d v="1899-12-30T10:44:00"/>
    <d v="1899-12-30T15:27:00"/>
    <s v="C"/>
    <s v="10:44 AM"/>
    <s v="On Time"/>
    <s v="4 Hours 43 Minutes"/>
    <x v="0"/>
  </r>
  <r>
    <x v="673"/>
    <x v="83"/>
    <n v="20"/>
    <x v="1"/>
    <x v="0"/>
    <x v="3"/>
    <x v="3"/>
    <n v="82"/>
    <n v="80"/>
    <x v="1"/>
    <n v="15000"/>
    <n v="13700"/>
    <n v="4000"/>
    <x v="0"/>
    <x v="0"/>
    <d v="2025-09-22T00:00:00"/>
    <d v="2026-03-21T00:00:00"/>
    <d v="1899-12-30T10:39:00"/>
    <d v="1899-12-30T13:49:00"/>
    <s v="B"/>
    <s v="10:39 AM"/>
    <s v="Delayed"/>
    <s v="3 Hours 10 Minutes"/>
    <x v="0"/>
  </r>
  <r>
    <x v="674"/>
    <x v="101"/>
    <n v="22"/>
    <x v="0"/>
    <x v="10"/>
    <x v="4"/>
    <x v="4"/>
    <n v="65"/>
    <n v="82"/>
    <x v="3"/>
    <n v="12000"/>
    <n v="14160"/>
    <n v="0"/>
    <x v="1"/>
    <x v="0"/>
    <d v="2025-11-06T00:00:00"/>
    <d v="2025-12-06T00:00:00"/>
    <d v="1899-12-30T08:14:00"/>
    <d v="1899-12-30T11:02:00"/>
    <s v="C"/>
    <s v="08:14 AM"/>
    <s v="On Time"/>
    <s v="2 Hours 48 Minutes"/>
    <x v="1"/>
  </r>
  <r>
    <x v="675"/>
    <x v="73"/>
    <n v="18"/>
    <x v="0"/>
    <x v="4"/>
    <x v="4"/>
    <x v="4"/>
    <n v="60"/>
    <n v="75"/>
    <x v="3"/>
    <n v="10000"/>
    <n v="7210"/>
    <n v="4000"/>
    <x v="0"/>
    <x v="0"/>
    <d v="2025-12-25T00:00:00"/>
    <d v="2026-02-23T00:00:00"/>
    <d v="1899-12-30T08:30:00"/>
    <d v="1899-12-30T10:01:00"/>
    <s v="C"/>
    <s v="08:30 AM"/>
    <s v="On Time"/>
    <s v="1 Hours 31 Minutes"/>
    <x v="1"/>
  </r>
  <r>
    <x v="676"/>
    <x v="196"/>
    <n v="21"/>
    <x v="1"/>
    <x v="2"/>
    <x v="1"/>
    <x v="1"/>
    <n v="48"/>
    <n v="89"/>
    <x v="0"/>
    <n v="15000"/>
    <n v="13110"/>
    <n v="4000"/>
    <x v="0"/>
    <x v="0"/>
    <d v="2025-05-19T00:00:00"/>
    <d v="2025-11-15T00:00:00"/>
    <d v="1899-12-30T09:37:00"/>
    <d v="1899-12-30T14:09:00"/>
    <s v="D"/>
    <s v="09:37 AM"/>
    <s v="Delayed"/>
    <s v="4 Hours 32 Minutes"/>
    <x v="1"/>
  </r>
  <r>
    <x v="677"/>
    <x v="33"/>
    <n v="24"/>
    <x v="1"/>
    <x v="11"/>
    <x v="6"/>
    <x v="6"/>
    <n v="38"/>
    <n v="65"/>
    <x v="0"/>
    <n v="12000"/>
    <n v="9570"/>
    <n v="4000"/>
    <x v="0"/>
    <x v="0"/>
    <d v="2025-01-08T00:00:00"/>
    <d v="2025-05-08T00:00:00"/>
    <d v="1899-12-30T10:47:00"/>
    <d v="1899-12-30T15:26:00"/>
    <s v="D"/>
    <s v="10:47 AM"/>
    <s v="Delayed"/>
    <s v="4 Hours 39 Minutes"/>
    <x v="0"/>
  </r>
  <r>
    <x v="678"/>
    <x v="228"/>
    <n v="20"/>
    <x v="0"/>
    <x v="7"/>
    <x v="1"/>
    <x v="1"/>
    <n v="91"/>
    <n v="89"/>
    <x v="2"/>
    <n v="12000"/>
    <n v="9570"/>
    <n v="4000"/>
    <x v="0"/>
    <x v="0"/>
    <d v="2025-07-27T00:00:00"/>
    <d v="2025-09-25T00:00:00"/>
    <d v="1899-12-30T08:06:00"/>
    <d v="1899-12-30T11:15:00"/>
    <s v="A"/>
    <s v="08:06 AM"/>
    <s v="On Time"/>
    <s v="3 Hours 9 Minutes"/>
    <x v="1"/>
  </r>
  <r>
    <x v="679"/>
    <x v="33"/>
    <n v="21"/>
    <x v="0"/>
    <x v="5"/>
    <x v="6"/>
    <x v="6"/>
    <n v="49"/>
    <n v="82"/>
    <x v="0"/>
    <n v="20000"/>
    <n v="18420"/>
    <n v="4000"/>
    <x v="0"/>
    <x v="0"/>
    <d v="2025-08-16T00:00:00"/>
    <d v="2025-12-14T00:00:00"/>
    <d v="1899-12-30T08:35:00"/>
    <d v="1899-12-30T09:56:00"/>
    <s v="D"/>
    <s v="08:35 AM"/>
    <s v="Delayed"/>
    <s v="1 Hours 21 Minutes"/>
    <x v="1"/>
  </r>
  <r>
    <x v="680"/>
    <x v="18"/>
    <n v="28"/>
    <x v="0"/>
    <x v="7"/>
    <x v="3"/>
    <x v="3"/>
    <n v="60"/>
    <n v="68"/>
    <x v="3"/>
    <n v="18000"/>
    <n v="16060"/>
    <n v="4000"/>
    <x v="0"/>
    <x v="0"/>
    <d v="2025-07-28T00:00:00"/>
    <d v="2026-01-24T00:00:00"/>
    <d v="1899-12-30T09:32:00"/>
    <d v="1899-12-30T11:32:00"/>
    <s v="C"/>
    <s v="09:32 AM"/>
    <s v="Delayed"/>
    <s v="2 Hours 0 Minutes"/>
    <x v="1"/>
  </r>
  <r>
    <x v="681"/>
    <x v="78"/>
    <n v="21"/>
    <x v="0"/>
    <x v="3"/>
    <x v="2"/>
    <x v="2"/>
    <n v="38"/>
    <n v="85"/>
    <x v="0"/>
    <n v="10000"/>
    <n v="8030"/>
    <n v="2000"/>
    <x v="0"/>
    <x v="0"/>
    <d v="2025-12-27T00:00:00"/>
    <d v="2026-03-27T00:00:00"/>
    <d v="1899-12-30T10:33:00"/>
    <d v="1899-12-30T15:01:00"/>
    <s v="D"/>
    <s v="10:33 AM"/>
    <s v="On Time"/>
    <s v="4 Hours 28 Minutes"/>
    <x v="0"/>
  </r>
  <r>
    <x v="682"/>
    <x v="87"/>
    <n v="22"/>
    <x v="1"/>
    <x v="7"/>
    <x v="7"/>
    <x v="7"/>
    <n v="85"/>
    <n v="77"/>
    <x v="1"/>
    <n v="10000"/>
    <n v="9210"/>
    <n v="2000"/>
    <x v="0"/>
    <x v="0"/>
    <d v="2025-09-13T00:00:00"/>
    <d v="2025-11-12T00:00:00"/>
    <d v="1899-12-30T09:18:00"/>
    <d v="1899-12-30T13:34:00"/>
    <s v="B"/>
    <s v="09:18 AM"/>
    <s v="On Time"/>
    <s v="4 Hours 16 Minutes"/>
    <x v="1"/>
  </r>
  <r>
    <x v="683"/>
    <x v="229"/>
    <n v="28"/>
    <x v="1"/>
    <x v="4"/>
    <x v="1"/>
    <x v="1"/>
    <n v="87"/>
    <n v="88"/>
    <x v="1"/>
    <n v="12000"/>
    <n v="8390"/>
    <n v="4000"/>
    <x v="0"/>
    <x v="0"/>
    <d v="2025-01-23T00:00:00"/>
    <d v="2025-05-23T00:00:00"/>
    <d v="1899-12-30T09:07:00"/>
    <d v="1899-12-30T12:06:00"/>
    <s v="B"/>
    <s v="09:07 AM"/>
    <s v="Delayed"/>
    <s v="2 Hours 59 Minutes"/>
    <x v="1"/>
  </r>
  <r>
    <x v="684"/>
    <x v="128"/>
    <n v="18"/>
    <x v="1"/>
    <x v="10"/>
    <x v="0"/>
    <x v="0"/>
    <n v="94"/>
    <n v="96"/>
    <x v="2"/>
    <n v="20000"/>
    <n v="19830"/>
    <n v="2000"/>
    <x v="0"/>
    <x v="0"/>
    <d v="2025-08-13T00:00:00"/>
    <d v="2025-11-11T00:00:00"/>
    <d v="1899-12-30T09:19:00"/>
    <d v="1899-12-30T12:55:00"/>
    <s v="A"/>
    <s v="09:19 AM"/>
    <s v="On Time"/>
    <s v="3 Hours 36 Minutes"/>
    <x v="1"/>
  </r>
  <r>
    <x v="685"/>
    <x v="224"/>
    <n v="27"/>
    <x v="0"/>
    <x v="6"/>
    <x v="6"/>
    <x v="6"/>
    <n v="50"/>
    <n v="96"/>
    <x v="0"/>
    <n v="20000"/>
    <n v="21830"/>
    <n v="0"/>
    <x v="1"/>
    <x v="0"/>
    <d v="2025-10-02T00:00:00"/>
    <d v="2026-03-31T00:00:00"/>
    <d v="1899-12-30T09:18:00"/>
    <d v="1899-12-30T13:26:00"/>
    <s v="D"/>
    <s v="09:18 AM"/>
    <s v="Delayed"/>
    <s v="4 Hours 8 Minutes"/>
    <x v="1"/>
  </r>
  <r>
    <x v="686"/>
    <x v="78"/>
    <n v="19"/>
    <x v="1"/>
    <x v="7"/>
    <x v="5"/>
    <x v="5"/>
    <n v="69"/>
    <n v="72"/>
    <x v="3"/>
    <n v="15000"/>
    <n v="13930"/>
    <n v="2000"/>
    <x v="0"/>
    <x v="0"/>
    <d v="2025-01-20T00:00:00"/>
    <d v="2025-04-20T00:00:00"/>
    <d v="1899-12-30T09:46:00"/>
    <d v="1899-12-30T12:46:00"/>
    <s v="C"/>
    <s v="09:46 AM"/>
    <s v="On Time"/>
    <s v="3 Hours 0 Minutes"/>
    <x v="1"/>
  </r>
  <r>
    <x v="687"/>
    <x v="168"/>
    <n v="22"/>
    <x v="1"/>
    <x v="10"/>
    <x v="6"/>
    <x v="6"/>
    <n v="53"/>
    <n v="60"/>
    <x v="0"/>
    <n v="18000"/>
    <n v="15470"/>
    <n v="4000"/>
    <x v="0"/>
    <x v="0"/>
    <d v="2025-07-06T00:00:00"/>
    <d v="2025-09-04T00:00:00"/>
    <d v="1899-12-30T09:23:00"/>
    <d v="1899-12-30T12:03:00"/>
    <s v="D"/>
    <s v="09:23 AM"/>
    <s v="On Time"/>
    <s v="2 Hours 40 Minutes"/>
    <x v="1"/>
  </r>
  <r>
    <x v="688"/>
    <x v="172"/>
    <n v="18"/>
    <x v="1"/>
    <x v="0"/>
    <x v="4"/>
    <x v="4"/>
    <n v="98"/>
    <n v="65"/>
    <x v="2"/>
    <n v="10000"/>
    <n v="11210"/>
    <n v="0"/>
    <x v="1"/>
    <x v="1"/>
    <d v="2025-02-11T00:00:00"/>
    <d v="2025-06-11T00:00:00"/>
    <d v="1899-12-30T10:02:00"/>
    <d v="1899-12-30T13:30:00"/>
    <s v="A"/>
    <s v="10:02 AM"/>
    <s v="Delayed"/>
    <s v="3 Hours 28 Minutes"/>
    <x v="0"/>
  </r>
  <r>
    <x v="689"/>
    <x v="57"/>
    <n v="18"/>
    <x v="1"/>
    <x v="4"/>
    <x v="5"/>
    <x v="5"/>
    <n v="68"/>
    <n v="66"/>
    <x v="3"/>
    <n v="10000"/>
    <n v="8620"/>
    <n v="2000"/>
    <x v="0"/>
    <x v="0"/>
    <d v="2025-11-23T00:00:00"/>
    <d v="2026-01-22T00:00:00"/>
    <d v="1899-12-30T10:36:00"/>
    <d v="1899-12-30T14:07:00"/>
    <s v="C"/>
    <s v="10:36 AM"/>
    <s v="On Time"/>
    <s v="3 Hours 31 Minutes"/>
    <x v="0"/>
  </r>
  <r>
    <x v="690"/>
    <x v="213"/>
    <n v="18"/>
    <x v="0"/>
    <x v="3"/>
    <x v="4"/>
    <x v="4"/>
    <n v="92"/>
    <n v="87"/>
    <x v="2"/>
    <n v="12000"/>
    <n v="10390"/>
    <n v="2000"/>
    <x v="0"/>
    <x v="0"/>
    <d v="2025-02-13T00:00:00"/>
    <d v="2025-08-12T00:00:00"/>
    <d v="1899-12-30T09:11:00"/>
    <d v="1899-12-30T11:54:00"/>
    <s v="A"/>
    <s v="09:11 AM"/>
    <s v="Delayed"/>
    <s v="2 Hours 43 Minutes"/>
    <x v="1"/>
  </r>
  <r>
    <x v="691"/>
    <x v="80"/>
    <n v="22"/>
    <x v="1"/>
    <x v="0"/>
    <x v="1"/>
    <x v="1"/>
    <n v="92"/>
    <n v="100"/>
    <x v="2"/>
    <n v="10000"/>
    <n v="9800"/>
    <n v="2000"/>
    <x v="0"/>
    <x v="0"/>
    <d v="2025-05-26T00:00:00"/>
    <d v="2025-07-25T00:00:00"/>
    <d v="1899-12-30T09:14:00"/>
    <d v="1899-12-30T13:07:00"/>
    <s v="A"/>
    <s v="09:14 AM"/>
    <s v="On Time"/>
    <s v="3 Hours 53 Minutes"/>
    <x v="1"/>
  </r>
  <r>
    <x v="692"/>
    <x v="35"/>
    <n v="19"/>
    <x v="1"/>
    <x v="7"/>
    <x v="1"/>
    <x v="1"/>
    <n v="37"/>
    <n v="72"/>
    <x v="0"/>
    <n v="10000"/>
    <n v="11800"/>
    <n v="0"/>
    <x v="1"/>
    <x v="0"/>
    <d v="2025-08-01T00:00:00"/>
    <d v="2025-11-29T00:00:00"/>
    <d v="1899-12-30T08:38:00"/>
    <d v="1899-12-30T12:26:00"/>
    <s v="D"/>
    <s v="08:38 AM"/>
    <s v="Delayed"/>
    <s v="3 Hours 48 Minutes"/>
    <x v="1"/>
  </r>
  <r>
    <x v="693"/>
    <x v="106"/>
    <n v="23"/>
    <x v="1"/>
    <x v="1"/>
    <x v="0"/>
    <x v="0"/>
    <n v="67"/>
    <n v="64"/>
    <x v="3"/>
    <n v="15000"/>
    <n v="14520"/>
    <n v="2000"/>
    <x v="0"/>
    <x v="0"/>
    <d v="2025-03-17T00:00:00"/>
    <d v="2025-05-16T00:00:00"/>
    <d v="1899-12-30T09:44:00"/>
    <d v="1899-12-30T12:35:00"/>
    <s v="C"/>
    <s v="09:44 AM"/>
    <s v="On Time"/>
    <s v="2 Hours 51 Minutes"/>
    <x v="1"/>
  </r>
  <r>
    <x v="694"/>
    <x v="73"/>
    <n v="18"/>
    <x v="1"/>
    <x v="5"/>
    <x v="1"/>
    <x v="1"/>
    <n v="69"/>
    <n v="71"/>
    <x v="3"/>
    <n v="18000"/>
    <n v="15470"/>
    <n v="4000"/>
    <x v="0"/>
    <x v="0"/>
    <d v="2025-05-10T00:00:00"/>
    <d v="2025-06-09T00:00:00"/>
    <d v="1899-12-30T08:39:00"/>
    <d v="1899-12-30T10:01:00"/>
    <s v="C"/>
    <s v="08:39 AM"/>
    <s v="On Time"/>
    <s v="1 Hours 22 Minutes"/>
    <x v="1"/>
  </r>
  <r>
    <x v="695"/>
    <x v="44"/>
    <n v="19"/>
    <x v="0"/>
    <x v="2"/>
    <x v="4"/>
    <x v="4"/>
    <n v="79"/>
    <n v="84"/>
    <x v="1"/>
    <n v="10000"/>
    <n v="6620"/>
    <n v="4000"/>
    <x v="0"/>
    <x v="0"/>
    <d v="2025-06-17T00:00:00"/>
    <d v="2025-10-15T00:00:00"/>
    <d v="1899-12-30T08:03:00"/>
    <d v="1899-12-30T11:52:00"/>
    <s v="B"/>
    <s v="08:03 AM"/>
    <s v="Delayed"/>
    <s v="3 Hours 49 Minutes"/>
    <x v="1"/>
  </r>
  <r>
    <x v="696"/>
    <x v="181"/>
    <n v="20"/>
    <x v="1"/>
    <x v="5"/>
    <x v="5"/>
    <x v="5"/>
    <n v="73"/>
    <n v="67"/>
    <x v="3"/>
    <n v="18000"/>
    <n v="16060"/>
    <n v="4000"/>
    <x v="0"/>
    <x v="0"/>
    <d v="2025-02-25T00:00:00"/>
    <d v="2025-06-25T00:00:00"/>
    <d v="1899-12-30T10:02:00"/>
    <d v="1899-12-30T14:01:00"/>
    <s v="C"/>
    <s v="10:02 AM"/>
    <s v="Delayed"/>
    <s v="3 Hours 59 Minutes"/>
    <x v="0"/>
  </r>
  <r>
    <x v="697"/>
    <x v="77"/>
    <n v="27"/>
    <x v="1"/>
    <x v="2"/>
    <x v="2"/>
    <x v="2"/>
    <n v="72"/>
    <n v="89"/>
    <x v="3"/>
    <n v="15000"/>
    <n v="17700"/>
    <n v="0"/>
    <x v="1"/>
    <x v="0"/>
    <d v="2025-11-05T00:00:00"/>
    <d v="2026-02-03T00:00:00"/>
    <d v="1899-12-30T10:55:00"/>
    <d v="1899-12-30T15:05:00"/>
    <s v="C"/>
    <s v="10:55 AM"/>
    <s v="On Time"/>
    <s v="4 Hours 10 Minutes"/>
    <x v="0"/>
  </r>
  <r>
    <x v="698"/>
    <x v="43"/>
    <n v="18"/>
    <x v="1"/>
    <x v="6"/>
    <x v="1"/>
    <x v="1"/>
    <n v="53"/>
    <n v="62"/>
    <x v="0"/>
    <n v="10000"/>
    <n v="6620"/>
    <n v="4000"/>
    <x v="0"/>
    <x v="0"/>
    <d v="2025-06-26T00:00:00"/>
    <d v="2025-12-23T00:00:00"/>
    <d v="1899-12-30T09:37:00"/>
    <d v="1899-12-30T14:24:00"/>
    <s v="D"/>
    <s v="09:37 AM"/>
    <s v="Delayed"/>
    <s v="4 Hours 47 Minutes"/>
    <x v="1"/>
  </r>
  <r>
    <x v="699"/>
    <x v="230"/>
    <n v="24"/>
    <x v="1"/>
    <x v="11"/>
    <x v="3"/>
    <x v="3"/>
    <n v="95"/>
    <n v="84"/>
    <x v="2"/>
    <n v="12000"/>
    <n v="8390"/>
    <n v="4000"/>
    <x v="0"/>
    <x v="0"/>
    <d v="2025-09-23T00:00:00"/>
    <d v="2025-11-22T00:00:00"/>
    <d v="1899-12-30T08:32:00"/>
    <d v="1899-12-30T13:11:00"/>
    <s v="A"/>
    <s v="08:32 AM"/>
    <s v="On Time"/>
    <s v="4 Hours 39 Minutes"/>
    <x v="1"/>
  </r>
  <r>
    <x v="700"/>
    <x v="155"/>
    <n v="20"/>
    <x v="0"/>
    <x v="11"/>
    <x v="5"/>
    <x v="5"/>
    <n v="75"/>
    <n v="68"/>
    <x v="1"/>
    <n v="15000"/>
    <n v="17700"/>
    <n v="0"/>
    <x v="1"/>
    <x v="0"/>
    <d v="2025-02-03T00:00:00"/>
    <d v="2025-08-02T00:00:00"/>
    <d v="1899-12-30T10:36:00"/>
    <d v="1899-12-30T12:07:00"/>
    <s v="B"/>
    <s v="10:36 AM"/>
    <s v="Delayed"/>
    <s v="1 Hours 31 Minutes"/>
    <x v="0"/>
  </r>
  <r>
    <x v="701"/>
    <x v="200"/>
    <n v="22"/>
    <x v="1"/>
    <x v="4"/>
    <x v="1"/>
    <x v="1"/>
    <n v="50"/>
    <n v="74"/>
    <x v="0"/>
    <n v="12000"/>
    <n v="8390"/>
    <n v="4000"/>
    <x v="0"/>
    <x v="0"/>
    <d v="2025-09-11T00:00:00"/>
    <d v="2025-10-11T00:00:00"/>
    <d v="1899-12-30T08:48:00"/>
    <d v="1899-12-30T11:39:00"/>
    <s v="D"/>
    <s v="08:48 AM"/>
    <s v="On Time"/>
    <s v="2 Hours 51 Minutes"/>
    <x v="1"/>
  </r>
  <r>
    <x v="702"/>
    <x v="107"/>
    <n v="20"/>
    <x v="1"/>
    <x v="2"/>
    <x v="5"/>
    <x v="5"/>
    <n v="54"/>
    <n v="78"/>
    <x v="0"/>
    <n v="20000"/>
    <n v="23600"/>
    <n v="0"/>
    <x v="1"/>
    <x v="0"/>
    <d v="2025-05-03T00:00:00"/>
    <d v="2025-06-02T00:00:00"/>
    <d v="1899-12-30T08:51:00"/>
    <d v="1899-12-30T10:24:00"/>
    <s v="D"/>
    <s v="08:51 AM"/>
    <s v="On Time"/>
    <s v="1 Hours 33 Minutes"/>
    <x v="1"/>
  </r>
  <r>
    <x v="703"/>
    <x v="112"/>
    <n v="21"/>
    <x v="1"/>
    <x v="0"/>
    <x v="5"/>
    <x v="5"/>
    <n v="60"/>
    <n v="95"/>
    <x v="3"/>
    <n v="15000"/>
    <n v="17700"/>
    <n v="0"/>
    <x v="1"/>
    <x v="0"/>
    <d v="2025-06-20T00:00:00"/>
    <d v="2025-07-20T00:00:00"/>
    <d v="1899-12-30T09:48:00"/>
    <d v="1899-12-30T13:15:00"/>
    <s v="C"/>
    <s v="09:48 AM"/>
    <s v="On Time"/>
    <s v="3 Hours 27 Minutes"/>
    <x v="1"/>
  </r>
  <r>
    <x v="704"/>
    <x v="169"/>
    <n v="27"/>
    <x v="0"/>
    <x v="5"/>
    <x v="1"/>
    <x v="1"/>
    <n v="86"/>
    <n v="90"/>
    <x v="1"/>
    <n v="10000"/>
    <n v="8620"/>
    <n v="2000"/>
    <x v="0"/>
    <x v="0"/>
    <d v="2025-10-09T00:00:00"/>
    <d v="2026-04-07T00:00:00"/>
    <d v="1899-12-30T08:43:00"/>
    <d v="1899-12-30T13:40:00"/>
    <s v="B"/>
    <s v="08:43 AM"/>
    <s v="Delayed"/>
    <s v="4 Hours 57 Minutes"/>
    <x v="1"/>
  </r>
  <r>
    <x v="705"/>
    <x v="187"/>
    <n v="28"/>
    <x v="0"/>
    <x v="2"/>
    <x v="1"/>
    <x v="1"/>
    <n v="93"/>
    <n v="70"/>
    <x v="2"/>
    <n v="10000"/>
    <n v="11800"/>
    <n v="0"/>
    <x v="1"/>
    <x v="0"/>
    <d v="2025-02-14T00:00:00"/>
    <d v="2025-03-16T00:00:00"/>
    <d v="1899-12-30T09:42:00"/>
    <d v="1899-12-30T14:28:00"/>
    <s v="A"/>
    <s v="09:42 AM"/>
    <s v="On Time"/>
    <s v="4 Hours 46 Minutes"/>
    <x v="1"/>
  </r>
  <r>
    <x v="706"/>
    <x v="102"/>
    <n v="25"/>
    <x v="1"/>
    <x v="1"/>
    <x v="4"/>
    <x v="4"/>
    <n v="81"/>
    <n v="98"/>
    <x v="1"/>
    <n v="12000"/>
    <n v="12160"/>
    <n v="2000"/>
    <x v="0"/>
    <x v="0"/>
    <d v="2025-05-18T00:00:00"/>
    <d v="2025-06-17T00:00:00"/>
    <d v="1899-12-30T09:36:00"/>
    <d v="1899-12-30T13:35:00"/>
    <s v="B"/>
    <s v="09:36 AM"/>
    <s v="On Time"/>
    <s v="3 Hours 59 Minutes"/>
    <x v="1"/>
  </r>
  <r>
    <x v="707"/>
    <x v="164"/>
    <n v="18"/>
    <x v="1"/>
    <x v="7"/>
    <x v="7"/>
    <x v="7"/>
    <n v="61"/>
    <n v="97"/>
    <x v="3"/>
    <n v="18000"/>
    <n v="17240"/>
    <n v="4000"/>
    <x v="0"/>
    <x v="0"/>
    <d v="2025-02-01T00:00:00"/>
    <d v="2025-03-03T00:00:00"/>
    <d v="1899-12-30T09:40:00"/>
    <d v="1899-12-30T13:45:00"/>
    <s v="C"/>
    <s v="09:40 AM"/>
    <s v="On Time"/>
    <s v="4 Hours 5 Minutes"/>
    <x v="1"/>
  </r>
  <r>
    <x v="708"/>
    <x v="168"/>
    <n v="27"/>
    <x v="1"/>
    <x v="3"/>
    <x v="0"/>
    <x v="0"/>
    <n v="66"/>
    <n v="71"/>
    <x v="3"/>
    <n v="18000"/>
    <n v="20650"/>
    <n v="0"/>
    <x v="1"/>
    <x v="0"/>
    <d v="2025-11-12T00:00:00"/>
    <d v="2026-03-12T00:00:00"/>
    <d v="1899-12-30T09:45:00"/>
    <d v="1899-12-30T12:18:00"/>
    <s v="C"/>
    <s v="09:45 AM"/>
    <s v="Delayed"/>
    <s v="2 Hours 33 Minutes"/>
    <x v="1"/>
  </r>
  <r>
    <x v="709"/>
    <x v="48"/>
    <n v="23"/>
    <x v="1"/>
    <x v="5"/>
    <x v="3"/>
    <x v="3"/>
    <n v="49"/>
    <n v="67"/>
    <x v="0"/>
    <n v="15000"/>
    <n v="15700"/>
    <n v="2000"/>
    <x v="0"/>
    <x v="0"/>
    <d v="2025-02-20T00:00:00"/>
    <d v="2025-06-20T00:00:00"/>
    <d v="1899-12-30T10:04:00"/>
    <d v="1899-12-30T13:40:00"/>
    <s v="D"/>
    <s v="10:04 AM"/>
    <s v="Delayed"/>
    <s v="3 Hours 36 Minutes"/>
    <x v="0"/>
  </r>
  <r>
    <x v="710"/>
    <x v="43"/>
    <n v="19"/>
    <x v="1"/>
    <x v="7"/>
    <x v="0"/>
    <x v="0"/>
    <n v="100"/>
    <n v="70"/>
    <x v="2"/>
    <n v="15000"/>
    <n v="13110"/>
    <n v="4000"/>
    <x v="0"/>
    <x v="0"/>
    <d v="2025-06-16T00:00:00"/>
    <d v="2025-09-14T00:00:00"/>
    <d v="1899-12-30T09:54:00"/>
    <d v="1899-12-30T11:54:00"/>
    <s v="A"/>
    <s v="09:54 AM"/>
    <s v="On Time"/>
    <s v="2 Hours 0 Minutes"/>
    <x v="1"/>
  </r>
  <r>
    <x v="711"/>
    <x v="193"/>
    <n v="18"/>
    <x v="1"/>
    <x v="9"/>
    <x v="5"/>
    <x v="5"/>
    <n v="35"/>
    <n v="70"/>
    <x v="0"/>
    <n v="10000"/>
    <n v="10620"/>
    <n v="0"/>
    <x v="1"/>
    <x v="0"/>
    <d v="2025-12-23T00:00:00"/>
    <d v="2026-02-21T00:00:00"/>
    <d v="1899-12-30T08:42:00"/>
    <d v="1899-12-30T12:50:00"/>
    <s v="D"/>
    <s v="08:42 AM"/>
    <s v="On Time"/>
    <s v="4 Hours 8 Minutes"/>
    <x v="1"/>
  </r>
  <r>
    <x v="712"/>
    <x v="187"/>
    <n v="28"/>
    <x v="1"/>
    <x v="4"/>
    <x v="1"/>
    <x v="1"/>
    <n v="97"/>
    <n v="71"/>
    <x v="2"/>
    <n v="15000"/>
    <n v="14520"/>
    <n v="2000"/>
    <x v="0"/>
    <x v="0"/>
    <d v="2025-10-09T00:00:00"/>
    <d v="2026-02-06T00:00:00"/>
    <d v="1899-12-30T09:47:00"/>
    <d v="1899-12-30T11:29:00"/>
    <s v="A"/>
    <s v="09:47 AM"/>
    <s v="Delayed"/>
    <s v="1 Hours 42 Minutes"/>
    <x v="1"/>
  </r>
  <r>
    <x v="713"/>
    <x v="4"/>
    <n v="21"/>
    <x v="1"/>
    <x v="0"/>
    <x v="4"/>
    <x v="4"/>
    <n v="87"/>
    <n v="99"/>
    <x v="1"/>
    <n v="15000"/>
    <n v="12520"/>
    <n v="4000"/>
    <x v="0"/>
    <x v="0"/>
    <d v="2025-03-01T00:00:00"/>
    <d v="2025-03-31T00:00:00"/>
    <d v="1899-12-30T10:32:00"/>
    <d v="1899-12-30T13:13:00"/>
    <s v="B"/>
    <s v="10:32 AM"/>
    <s v="On Time"/>
    <s v="2 Hours 41 Minutes"/>
    <x v="0"/>
  </r>
  <r>
    <x v="714"/>
    <x v="63"/>
    <n v="27"/>
    <x v="1"/>
    <x v="5"/>
    <x v="5"/>
    <x v="5"/>
    <n v="66"/>
    <n v="74"/>
    <x v="3"/>
    <n v="15000"/>
    <n v="11930"/>
    <n v="4000"/>
    <x v="0"/>
    <x v="0"/>
    <d v="2025-07-30T00:00:00"/>
    <d v="2026-01-26T00:00:00"/>
    <d v="1899-12-30T10:36:00"/>
    <d v="1899-12-30T12:30:00"/>
    <s v="C"/>
    <s v="10:36 AM"/>
    <s v="Delayed"/>
    <s v="1 Hours 54 Minutes"/>
    <x v="0"/>
  </r>
  <r>
    <x v="715"/>
    <x v="159"/>
    <n v="21"/>
    <x v="0"/>
    <x v="1"/>
    <x v="5"/>
    <x v="5"/>
    <n v="67"/>
    <n v="68"/>
    <x v="3"/>
    <n v="15000"/>
    <n v="13930"/>
    <n v="2000"/>
    <x v="0"/>
    <x v="0"/>
    <d v="2025-01-20T00:00:00"/>
    <d v="2025-02-19T00:00:00"/>
    <d v="1899-12-30T10:05:00"/>
    <d v="1899-12-30T14:43:00"/>
    <s v="C"/>
    <s v="10:05 AM"/>
    <s v="On Time"/>
    <s v="4 Hours 38 Minutes"/>
    <x v="0"/>
  </r>
  <r>
    <x v="716"/>
    <x v="28"/>
    <n v="21"/>
    <x v="0"/>
    <x v="5"/>
    <x v="7"/>
    <x v="7"/>
    <n v="100"/>
    <n v="66"/>
    <x v="2"/>
    <n v="18000"/>
    <n v="20650"/>
    <n v="0"/>
    <x v="1"/>
    <x v="0"/>
    <d v="2025-02-03T00:00:00"/>
    <d v="2025-05-04T00:00:00"/>
    <d v="1899-12-30T08:29:00"/>
    <d v="1899-12-30T10:18:00"/>
    <s v="A"/>
    <s v="08:29 AM"/>
    <s v="On Time"/>
    <s v="1 Hours 49 Minutes"/>
    <x v="1"/>
  </r>
  <r>
    <x v="717"/>
    <x v="144"/>
    <n v="20"/>
    <x v="1"/>
    <x v="9"/>
    <x v="1"/>
    <x v="1"/>
    <n v="53"/>
    <n v="66"/>
    <x v="0"/>
    <n v="18000"/>
    <n v="20650"/>
    <n v="0"/>
    <x v="1"/>
    <x v="1"/>
    <d v="2025-05-26T00:00:00"/>
    <d v="2025-11-22T00:00:00"/>
    <d v="1899-12-30T10:35:00"/>
    <d v="1899-12-30T13:50:00"/>
    <s v="D"/>
    <s v="10:35 AM"/>
    <s v="Delayed"/>
    <s v="3 Hours 15 Minutes"/>
    <x v="0"/>
  </r>
  <r>
    <x v="718"/>
    <x v="134"/>
    <n v="23"/>
    <x v="1"/>
    <x v="7"/>
    <x v="5"/>
    <x v="5"/>
    <n v="82"/>
    <n v="76"/>
    <x v="1"/>
    <n v="18000"/>
    <n v="20060"/>
    <n v="0"/>
    <x v="1"/>
    <x v="0"/>
    <d v="2025-07-22T00:00:00"/>
    <d v="2025-09-20T00:00:00"/>
    <d v="1899-12-30T09:25:00"/>
    <d v="1899-12-30T12:39:00"/>
    <s v="B"/>
    <s v="09:25 AM"/>
    <s v="On Time"/>
    <s v="3 Hours 14 Minutes"/>
    <x v="1"/>
  </r>
  <r>
    <x v="719"/>
    <x v="54"/>
    <n v="24"/>
    <x v="0"/>
    <x v="2"/>
    <x v="7"/>
    <x v="7"/>
    <n v="89"/>
    <n v="75"/>
    <x v="1"/>
    <n v="10000"/>
    <n v="10620"/>
    <n v="0"/>
    <x v="1"/>
    <x v="0"/>
    <d v="2025-07-27T00:00:00"/>
    <d v="2025-11-24T00:00:00"/>
    <d v="1899-12-30T08:35:00"/>
    <d v="1899-12-30T13:15:00"/>
    <s v="B"/>
    <s v="08:35 AM"/>
    <s v="Delayed"/>
    <s v="4 Hours 40 Minutes"/>
    <x v="1"/>
  </r>
  <r>
    <x v="720"/>
    <x v="111"/>
    <n v="27"/>
    <x v="0"/>
    <x v="9"/>
    <x v="7"/>
    <x v="7"/>
    <n v="75"/>
    <n v="99"/>
    <x v="1"/>
    <n v="10000"/>
    <n v="9210"/>
    <n v="2000"/>
    <x v="0"/>
    <x v="0"/>
    <d v="2025-04-07T00:00:00"/>
    <d v="2025-07-06T00:00:00"/>
    <d v="1899-12-30T08:53:00"/>
    <d v="1899-12-30T09:53:00"/>
    <s v="B"/>
    <s v="08:53 AM"/>
    <s v="On Time"/>
    <s v="1 Hours 0 Minutes"/>
    <x v="1"/>
  </r>
  <r>
    <x v="721"/>
    <x v="46"/>
    <n v="27"/>
    <x v="1"/>
    <x v="1"/>
    <x v="0"/>
    <x v="0"/>
    <n v="90"/>
    <n v="67"/>
    <x v="2"/>
    <n v="15000"/>
    <n v="16520"/>
    <n v="0"/>
    <x v="1"/>
    <x v="0"/>
    <d v="2025-01-05T00:00:00"/>
    <d v="2025-02-04T00:00:00"/>
    <d v="1899-12-30T10:44:00"/>
    <d v="1899-12-30T13:00:00"/>
    <s v="A"/>
    <s v="10:44 AM"/>
    <s v="On Time"/>
    <s v="2 Hours 16 Minutes"/>
    <x v="0"/>
  </r>
  <r>
    <x v="722"/>
    <x v="213"/>
    <n v="22"/>
    <x v="1"/>
    <x v="3"/>
    <x v="5"/>
    <x v="5"/>
    <n v="98"/>
    <n v="70"/>
    <x v="2"/>
    <n v="15000"/>
    <n v="12520"/>
    <n v="4000"/>
    <x v="0"/>
    <x v="0"/>
    <d v="2025-01-21T00:00:00"/>
    <d v="2025-05-21T00:00:00"/>
    <d v="1899-12-30T09:54:00"/>
    <d v="1899-12-30T12:04:00"/>
    <s v="A"/>
    <s v="09:54 AM"/>
    <s v="Delayed"/>
    <s v="2 Hours 10 Minutes"/>
    <x v="1"/>
  </r>
  <r>
    <x v="723"/>
    <x v="32"/>
    <n v="28"/>
    <x v="0"/>
    <x v="10"/>
    <x v="1"/>
    <x v="1"/>
    <n v="61"/>
    <n v="76"/>
    <x v="3"/>
    <n v="15000"/>
    <n v="14520"/>
    <n v="2000"/>
    <x v="0"/>
    <x v="0"/>
    <d v="2025-03-06T00:00:00"/>
    <d v="2025-07-04T00:00:00"/>
    <d v="1899-12-30T08:11:00"/>
    <d v="1899-12-30T10:04:00"/>
    <s v="C"/>
    <s v="08:11 AM"/>
    <s v="Delayed"/>
    <s v="1 Hours 53 Minutes"/>
    <x v="1"/>
  </r>
  <r>
    <x v="724"/>
    <x v="137"/>
    <n v="23"/>
    <x v="1"/>
    <x v="6"/>
    <x v="1"/>
    <x v="1"/>
    <n v="88"/>
    <n v="94"/>
    <x v="1"/>
    <n v="20000"/>
    <n v="18420"/>
    <n v="4000"/>
    <x v="0"/>
    <x v="0"/>
    <d v="2025-07-06T00:00:00"/>
    <d v="2025-11-03T00:00:00"/>
    <d v="1899-12-30T09:06:00"/>
    <d v="1899-12-30T11:34:00"/>
    <s v="B"/>
    <s v="09:06 AM"/>
    <s v="Delayed"/>
    <s v="2 Hours 28 Minutes"/>
    <x v="1"/>
  </r>
  <r>
    <x v="725"/>
    <x v="30"/>
    <n v="18"/>
    <x v="1"/>
    <x v="4"/>
    <x v="0"/>
    <x v="0"/>
    <n v="71"/>
    <n v="78"/>
    <x v="3"/>
    <n v="18000"/>
    <n v="21240"/>
    <n v="0"/>
    <x v="1"/>
    <x v="0"/>
    <d v="2025-06-17T00:00:00"/>
    <d v="2025-12-14T00:00:00"/>
    <d v="1899-12-30T09:54:00"/>
    <d v="1899-12-30T12:55:00"/>
    <s v="C"/>
    <s v="09:54 AM"/>
    <s v="Delayed"/>
    <s v="3 Hours 1 Minutes"/>
    <x v="1"/>
  </r>
  <r>
    <x v="726"/>
    <x v="144"/>
    <n v="19"/>
    <x v="0"/>
    <x v="3"/>
    <x v="0"/>
    <x v="0"/>
    <n v="55"/>
    <n v="87"/>
    <x v="0"/>
    <n v="15000"/>
    <n v="17700"/>
    <n v="0"/>
    <x v="1"/>
    <x v="0"/>
    <d v="2025-01-14T00:00:00"/>
    <d v="2025-07-13T00:00:00"/>
    <d v="1899-12-30T08:27:00"/>
    <d v="1899-12-30T09:42:00"/>
    <s v="D"/>
    <s v="08:27 AM"/>
    <s v="Delayed"/>
    <s v="1 Hours 15 Minutes"/>
    <x v="1"/>
  </r>
  <r>
    <x v="727"/>
    <x v="37"/>
    <n v="22"/>
    <x v="0"/>
    <x v="5"/>
    <x v="0"/>
    <x v="0"/>
    <n v="59"/>
    <n v="89"/>
    <x v="0"/>
    <n v="20000"/>
    <n v="21600"/>
    <n v="2000"/>
    <x v="0"/>
    <x v="0"/>
    <d v="2025-10-26T00:00:00"/>
    <d v="2026-01-24T00:00:00"/>
    <d v="1899-12-30T08:27:00"/>
    <d v="1899-12-30T09:30:00"/>
    <s v="D"/>
    <s v="08:27 AM"/>
    <s v="On Time"/>
    <s v="1 Hours 3 Minutes"/>
    <x v="1"/>
  </r>
  <r>
    <x v="728"/>
    <x v="78"/>
    <n v="21"/>
    <x v="1"/>
    <x v="5"/>
    <x v="0"/>
    <x v="0"/>
    <n v="55"/>
    <n v="70"/>
    <x v="0"/>
    <n v="20000"/>
    <n v="21010"/>
    <n v="2000"/>
    <x v="0"/>
    <x v="0"/>
    <d v="2025-04-26T00:00:00"/>
    <d v="2025-06-25T00:00:00"/>
    <d v="1899-12-30T09:12:00"/>
    <d v="1899-12-30T12:47:00"/>
    <s v="D"/>
    <s v="09:12 AM"/>
    <s v="On Time"/>
    <s v="3 Hours 35 Minutes"/>
    <x v="1"/>
  </r>
  <r>
    <x v="729"/>
    <x v="71"/>
    <n v="19"/>
    <x v="1"/>
    <x v="0"/>
    <x v="1"/>
    <x v="1"/>
    <n v="84"/>
    <n v="82"/>
    <x v="1"/>
    <n v="12000"/>
    <n v="10390"/>
    <n v="2000"/>
    <x v="0"/>
    <x v="0"/>
    <d v="2025-11-09T00:00:00"/>
    <d v="2026-05-08T00:00:00"/>
    <d v="1899-12-30T10:19:00"/>
    <d v="1899-12-30T14:00:00"/>
    <s v="B"/>
    <s v="10:19 AM"/>
    <s v="Delayed"/>
    <s v="3 Hours 41 Minutes"/>
    <x v="0"/>
  </r>
  <r>
    <x v="730"/>
    <x v="209"/>
    <n v="24"/>
    <x v="0"/>
    <x v="4"/>
    <x v="2"/>
    <x v="2"/>
    <n v="99"/>
    <n v="93"/>
    <x v="2"/>
    <n v="18000"/>
    <n v="20650"/>
    <n v="0"/>
    <x v="1"/>
    <x v="0"/>
    <d v="2025-02-16T00:00:00"/>
    <d v="2025-05-17T00:00:00"/>
    <d v="1899-12-30T09:17:00"/>
    <d v="1899-12-30T13:33:00"/>
    <s v="A"/>
    <s v="09:17 AM"/>
    <s v="On Time"/>
    <s v="4 Hours 16 Minutes"/>
    <x v="1"/>
  </r>
  <r>
    <x v="731"/>
    <x v="184"/>
    <n v="22"/>
    <x v="1"/>
    <x v="1"/>
    <x v="2"/>
    <x v="2"/>
    <n v="98"/>
    <n v="81"/>
    <x v="2"/>
    <n v="12000"/>
    <n v="9570"/>
    <n v="4000"/>
    <x v="0"/>
    <x v="0"/>
    <d v="2025-07-10T00:00:00"/>
    <d v="2025-09-08T00:00:00"/>
    <d v="1899-12-30T08:40:00"/>
    <d v="1899-12-30T10:21:00"/>
    <s v="A"/>
    <s v="08:40 AM"/>
    <s v="On Time"/>
    <s v="1 Hours 41 Minutes"/>
    <x v="1"/>
  </r>
  <r>
    <x v="732"/>
    <x v="9"/>
    <n v="23"/>
    <x v="1"/>
    <x v="8"/>
    <x v="7"/>
    <x v="7"/>
    <n v="43"/>
    <n v="63"/>
    <x v="0"/>
    <n v="12000"/>
    <n v="9570"/>
    <n v="4000"/>
    <x v="0"/>
    <x v="0"/>
    <d v="2025-01-01T00:00:00"/>
    <d v="2025-01-31T00:00:00"/>
    <d v="1899-12-30T09:42:00"/>
    <d v="1899-12-30T14:29:00"/>
    <s v="D"/>
    <s v="09:42 AM"/>
    <s v="On Time"/>
    <s v="4 Hours 47 Minutes"/>
    <x v="1"/>
  </r>
  <r>
    <x v="733"/>
    <x v="81"/>
    <n v="23"/>
    <x v="0"/>
    <x v="5"/>
    <x v="2"/>
    <x v="2"/>
    <n v="40"/>
    <n v="66"/>
    <x v="0"/>
    <n v="20000"/>
    <n v="19830"/>
    <n v="2000"/>
    <x v="0"/>
    <x v="0"/>
    <d v="2025-06-14T00:00:00"/>
    <d v="2025-09-12T00:00:00"/>
    <d v="1899-12-30T08:09:00"/>
    <d v="1899-12-30T09:43:00"/>
    <s v="D"/>
    <s v="08:09 AM"/>
    <s v="On Time"/>
    <s v="1 Hours 34 Minutes"/>
    <x v="1"/>
  </r>
  <r>
    <x v="734"/>
    <x v="44"/>
    <n v="24"/>
    <x v="1"/>
    <x v="2"/>
    <x v="6"/>
    <x v="6"/>
    <n v="83"/>
    <n v="82"/>
    <x v="1"/>
    <n v="18000"/>
    <n v="15470"/>
    <n v="4000"/>
    <x v="0"/>
    <x v="0"/>
    <d v="2025-02-23T00:00:00"/>
    <d v="2025-04-24T00:00:00"/>
    <d v="1899-12-30T09:58:00"/>
    <d v="1899-12-30T14:28:00"/>
    <s v="B"/>
    <s v="09:58 AM"/>
    <s v="On Time"/>
    <s v="4 Hours 30 Minutes"/>
    <x v="1"/>
  </r>
  <r>
    <x v="735"/>
    <x v="134"/>
    <n v="20"/>
    <x v="0"/>
    <x v="5"/>
    <x v="7"/>
    <x v="7"/>
    <n v="91"/>
    <n v="76"/>
    <x v="2"/>
    <n v="12000"/>
    <n v="8390"/>
    <n v="4000"/>
    <x v="0"/>
    <x v="0"/>
    <d v="2025-09-23T00:00:00"/>
    <d v="2025-12-22T00:00:00"/>
    <d v="1899-12-30T08:37:00"/>
    <d v="1899-12-30T10:55:00"/>
    <s v="A"/>
    <s v="08:37 AM"/>
    <s v="On Time"/>
    <s v="2 Hours 18 Minutes"/>
    <x v="1"/>
  </r>
  <r>
    <x v="736"/>
    <x v="215"/>
    <n v="27"/>
    <x v="1"/>
    <x v="4"/>
    <x v="1"/>
    <x v="1"/>
    <n v="66"/>
    <n v="79"/>
    <x v="3"/>
    <n v="12000"/>
    <n v="13570"/>
    <n v="0"/>
    <x v="1"/>
    <x v="0"/>
    <d v="2025-08-09T00:00:00"/>
    <d v="2025-09-08T00:00:00"/>
    <d v="1899-12-30T10:46:00"/>
    <d v="1899-12-30T13:14:00"/>
    <s v="C"/>
    <s v="10:46 AM"/>
    <s v="On Time"/>
    <s v="2 Hours 28 Minutes"/>
    <x v="0"/>
  </r>
  <r>
    <x v="737"/>
    <x v="97"/>
    <n v="26"/>
    <x v="0"/>
    <x v="2"/>
    <x v="5"/>
    <x v="5"/>
    <n v="97"/>
    <n v="67"/>
    <x v="2"/>
    <n v="15000"/>
    <n v="14520"/>
    <n v="2000"/>
    <x v="0"/>
    <x v="0"/>
    <d v="2025-11-13T00:00:00"/>
    <d v="2026-01-12T00:00:00"/>
    <d v="1899-12-30T09:44:00"/>
    <d v="1899-12-30T13:08:00"/>
    <s v="A"/>
    <s v="09:44 AM"/>
    <s v="On Time"/>
    <s v="3 Hours 24 Minutes"/>
    <x v="1"/>
  </r>
  <r>
    <x v="738"/>
    <x v="76"/>
    <n v="21"/>
    <x v="0"/>
    <x v="4"/>
    <x v="2"/>
    <x v="2"/>
    <n v="71"/>
    <n v="68"/>
    <x v="3"/>
    <n v="20000"/>
    <n v="19830"/>
    <n v="2000"/>
    <x v="0"/>
    <x v="0"/>
    <d v="2025-08-01T00:00:00"/>
    <d v="2025-09-30T00:00:00"/>
    <d v="1899-12-30T09:05:00"/>
    <d v="1899-12-30T11:55:00"/>
    <s v="C"/>
    <s v="09:05 AM"/>
    <s v="On Time"/>
    <s v="2 Hours 50 Minutes"/>
    <x v="1"/>
  </r>
  <r>
    <x v="739"/>
    <x v="5"/>
    <n v="26"/>
    <x v="1"/>
    <x v="5"/>
    <x v="5"/>
    <x v="5"/>
    <n v="35"/>
    <n v="100"/>
    <x v="0"/>
    <n v="15000"/>
    <n v="14520"/>
    <n v="2000"/>
    <x v="0"/>
    <x v="0"/>
    <d v="2025-08-31T00:00:00"/>
    <d v="2025-11-29T00:00:00"/>
    <d v="1899-12-30T10:59:00"/>
    <d v="1899-12-30T13:07:00"/>
    <s v="D"/>
    <s v="10:59 AM"/>
    <s v="On Time"/>
    <s v="2 Hours 8 Minutes"/>
    <x v="0"/>
  </r>
  <r>
    <x v="740"/>
    <x v="136"/>
    <n v="20"/>
    <x v="0"/>
    <x v="3"/>
    <x v="6"/>
    <x v="6"/>
    <n v="72"/>
    <n v="61"/>
    <x v="3"/>
    <n v="18000"/>
    <n v="20650"/>
    <n v="0"/>
    <x v="1"/>
    <x v="0"/>
    <d v="2025-06-03T00:00:00"/>
    <d v="2025-09-01T00:00:00"/>
    <d v="1899-12-30T08:09:00"/>
    <d v="1899-12-30T12:51:00"/>
    <s v="C"/>
    <s v="08:09 AM"/>
    <s v="On Time"/>
    <s v="4 Hours 42 Minutes"/>
    <x v="1"/>
  </r>
  <r>
    <x v="741"/>
    <x v="155"/>
    <n v="21"/>
    <x v="1"/>
    <x v="1"/>
    <x v="1"/>
    <x v="1"/>
    <n v="100"/>
    <n v="91"/>
    <x v="2"/>
    <n v="15000"/>
    <n v="17110"/>
    <n v="0"/>
    <x v="1"/>
    <x v="0"/>
    <d v="2025-08-20T00:00:00"/>
    <d v="2025-10-19T00:00:00"/>
    <d v="1899-12-30T08:50:00"/>
    <d v="1899-12-30T11:10:00"/>
    <s v="A"/>
    <s v="08:50 AM"/>
    <s v="On Time"/>
    <s v="2 Hours 20 Minutes"/>
    <x v="1"/>
  </r>
  <r>
    <x v="742"/>
    <x v="204"/>
    <n v="26"/>
    <x v="0"/>
    <x v="11"/>
    <x v="1"/>
    <x v="1"/>
    <n v="54"/>
    <n v="64"/>
    <x v="0"/>
    <n v="15000"/>
    <n v="15700"/>
    <n v="2000"/>
    <x v="0"/>
    <x v="0"/>
    <d v="2025-06-11T00:00:00"/>
    <d v="2025-08-10T00:00:00"/>
    <d v="1899-12-30T08:55:00"/>
    <d v="1899-12-30T13:39:00"/>
    <s v="D"/>
    <s v="08:55 AM"/>
    <s v="On Time"/>
    <s v="4 Hours 44 Minutes"/>
    <x v="1"/>
  </r>
  <r>
    <x v="743"/>
    <x v="87"/>
    <n v="28"/>
    <x v="1"/>
    <x v="1"/>
    <x v="2"/>
    <x v="2"/>
    <n v="79"/>
    <n v="63"/>
    <x v="1"/>
    <n v="15000"/>
    <n v="13700"/>
    <n v="4000"/>
    <x v="0"/>
    <x v="0"/>
    <d v="2025-01-16T00:00:00"/>
    <d v="2025-02-15T00:00:00"/>
    <d v="1899-12-30T10:59:00"/>
    <d v="1899-12-30T12:08:00"/>
    <s v="B"/>
    <s v="10:59 AM"/>
    <s v="On Time"/>
    <s v="1 Hours 9 Minutes"/>
    <x v="0"/>
  </r>
  <r>
    <x v="744"/>
    <x v="90"/>
    <n v="18"/>
    <x v="0"/>
    <x v="1"/>
    <x v="5"/>
    <x v="5"/>
    <n v="44"/>
    <n v="78"/>
    <x v="0"/>
    <n v="15000"/>
    <n v="11930"/>
    <n v="4000"/>
    <x v="0"/>
    <x v="0"/>
    <d v="2025-12-14T00:00:00"/>
    <d v="2026-06-12T00:00:00"/>
    <d v="1899-12-30T08:14:00"/>
    <d v="1899-12-30T12:46:00"/>
    <s v="D"/>
    <s v="08:14 AM"/>
    <s v="Delayed"/>
    <s v="4 Hours 32 Minutes"/>
    <x v="1"/>
  </r>
  <r>
    <x v="745"/>
    <x v="181"/>
    <n v="20"/>
    <x v="0"/>
    <x v="10"/>
    <x v="7"/>
    <x v="7"/>
    <n v="45"/>
    <n v="96"/>
    <x v="0"/>
    <n v="20000"/>
    <n v="20420"/>
    <n v="2000"/>
    <x v="0"/>
    <x v="0"/>
    <d v="2025-01-27T00:00:00"/>
    <d v="2025-04-27T00:00:00"/>
    <d v="1899-12-30T10:02:00"/>
    <d v="1899-12-30T14:23:00"/>
    <s v="D"/>
    <s v="10:02 AM"/>
    <s v="On Time"/>
    <s v="4 Hours 21 Minutes"/>
    <x v="0"/>
  </r>
  <r>
    <x v="746"/>
    <x v="22"/>
    <n v="18"/>
    <x v="1"/>
    <x v="9"/>
    <x v="2"/>
    <x v="2"/>
    <n v="65"/>
    <n v="92"/>
    <x v="3"/>
    <n v="20000"/>
    <n v="19830"/>
    <n v="2000"/>
    <x v="0"/>
    <x v="0"/>
    <d v="2025-11-02T00:00:00"/>
    <d v="2026-05-01T00:00:00"/>
    <d v="1899-12-30T08:17:00"/>
    <d v="1899-12-30T11:16:00"/>
    <s v="C"/>
    <s v="08:17 AM"/>
    <s v="Delayed"/>
    <s v="2 Hours 59 Minutes"/>
    <x v="1"/>
  </r>
  <r>
    <x v="747"/>
    <x v="177"/>
    <n v="25"/>
    <x v="0"/>
    <x v="6"/>
    <x v="7"/>
    <x v="7"/>
    <n v="73"/>
    <n v="76"/>
    <x v="3"/>
    <n v="15000"/>
    <n v="12520"/>
    <n v="4000"/>
    <x v="0"/>
    <x v="0"/>
    <d v="2025-02-19T00:00:00"/>
    <d v="2025-06-19T00:00:00"/>
    <d v="1899-12-30T10:39:00"/>
    <d v="1899-12-30T15:36:00"/>
    <s v="C"/>
    <s v="10:39 AM"/>
    <s v="Delayed"/>
    <s v="4 Hours 57 Minutes"/>
    <x v="0"/>
  </r>
  <r>
    <x v="748"/>
    <x v="25"/>
    <n v="21"/>
    <x v="0"/>
    <x v="1"/>
    <x v="0"/>
    <x v="0"/>
    <n v="80"/>
    <n v="100"/>
    <x v="1"/>
    <n v="10000"/>
    <n v="11800"/>
    <n v="0"/>
    <x v="1"/>
    <x v="0"/>
    <d v="2025-06-27T00:00:00"/>
    <d v="2025-12-24T00:00:00"/>
    <d v="1899-12-30T09:13:00"/>
    <d v="1899-12-30T13:10:00"/>
    <s v="B"/>
    <s v="09:13 AM"/>
    <s v="Delayed"/>
    <s v="3 Hours 57 Minutes"/>
    <x v="1"/>
  </r>
  <r>
    <x v="749"/>
    <x v="25"/>
    <n v="21"/>
    <x v="0"/>
    <x v="7"/>
    <x v="1"/>
    <x v="1"/>
    <n v="92"/>
    <n v="83"/>
    <x v="2"/>
    <n v="18000"/>
    <n v="16650"/>
    <n v="4000"/>
    <x v="0"/>
    <x v="0"/>
    <d v="2025-07-28T00:00:00"/>
    <d v="2026-01-24T00:00:00"/>
    <d v="1899-12-30T10:40:00"/>
    <d v="1899-12-30T14:07:00"/>
    <s v="A"/>
    <s v="10:40 AM"/>
    <s v="Delayed"/>
    <s v="3 Hours 27 Minutes"/>
    <x v="0"/>
  </r>
  <r>
    <x v="750"/>
    <x v="161"/>
    <n v="23"/>
    <x v="1"/>
    <x v="1"/>
    <x v="3"/>
    <x v="3"/>
    <n v="48"/>
    <n v="90"/>
    <x v="0"/>
    <n v="12000"/>
    <n v="10980"/>
    <n v="2000"/>
    <x v="0"/>
    <x v="0"/>
    <d v="2025-08-04T00:00:00"/>
    <d v="2025-12-02T00:00:00"/>
    <d v="1899-12-30T08:36:00"/>
    <d v="1899-12-30T12:46:00"/>
    <s v="D"/>
    <s v="08:36 AM"/>
    <s v="Delayed"/>
    <s v="4 Hours 10 Minutes"/>
    <x v="1"/>
  </r>
  <r>
    <x v="751"/>
    <x v="77"/>
    <n v="26"/>
    <x v="1"/>
    <x v="0"/>
    <x v="5"/>
    <x v="5"/>
    <n v="88"/>
    <n v="96"/>
    <x v="1"/>
    <n v="15000"/>
    <n v="17700"/>
    <n v="0"/>
    <x v="1"/>
    <x v="0"/>
    <d v="2025-07-09T00:00:00"/>
    <d v="2025-11-06T00:00:00"/>
    <d v="1899-12-30T09:26:00"/>
    <d v="1899-12-30T12:48:00"/>
    <s v="B"/>
    <s v="09:26 AM"/>
    <s v="Delayed"/>
    <s v="3 Hours 22 Minutes"/>
    <x v="1"/>
  </r>
  <r>
    <x v="752"/>
    <x v="229"/>
    <n v="24"/>
    <x v="0"/>
    <x v="10"/>
    <x v="5"/>
    <x v="5"/>
    <n v="51"/>
    <n v="74"/>
    <x v="0"/>
    <n v="12000"/>
    <n v="9570"/>
    <n v="4000"/>
    <x v="0"/>
    <x v="0"/>
    <d v="2025-06-01T00:00:00"/>
    <d v="2025-09-29T00:00:00"/>
    <d v="1899-12-30T10:05:00"/>
    <d v="1899-12-30T13:31:00"/>
    <s v="D"/>
    <s v="10:05 AM"/>
    <s v="Delayed"/>
    <s v="3 Hours 26 Minutes"/>
    <x v="0"/>
  </r>
  <r>
    <x v="753"/>
    <x v="87"/>
    <n v="20"/>
    <x v="1"/>
    <x v="0"/>
    <x v="0"/>
    <x v="0"/>
    <n v="88"/>
    <n v="100"/>
    <x v="1"/>
    <n v="20000"/>
    <n v="19600"/>
    <n v="4000"/>
    <x v="0"/>
    <x v="0"/>
    <d v="2025-06-11T00:00:00"/>
    <d v="2025-10-09T00:00:00"/>
    <d v="1899-12-30T09:36:00"/>
    <d v="1899-12-30T12:58:00"/>
    <s v="B"/>
    <s v="09:36 AM"/>
    <s v="Delayed"/>
    <s v="3 Hours 22 Minutes"/>
    <x v="1"/>
  </r>
  <r>
    <x v="754"/>
    <x v="112"/>
    <n v="28"/>
    <x v="0"/>
    <x v="11"/>
    <x v="2"/>
    <x v="2"/>
    <n v="54"/>
    <n v="64"/>
    <x v="0"/>
    <n v="18000"/>
    <n v="17470"/>
    <n v="2000"/>
    <x v="0"/>
    <x v="1"/>
    <d v="2025-09-14T00:00:00"/>
    <d v="2025-10-14T00:00:00"/>
    <d v="1899-12-30T09:49:00"/>
    <d v="1899-12-30T13:31:00"/>
    <s v="D"/>
    <s v="09:49 AM"/>
    <s v="On Time"/>
    <s v="3 Hours 42 Minutes"/>
    <x v="1"/>
  </r>
  <r>
    <x v="755"/>
    <x v="146"/>
    <n v="22"/>
    <x v="1"/>
    <x v="4"/>
    <x v="4"/>
    <x v="4"/>
    <n v="58"/>
    <n v="73"/>
    <x v="0"/>
    <n v="20000"/>
    <n v="23600"/>
    <n v="0"/>
    <x v="1"/>
    <x v="0"/>
    <d v="2025-12-10T00:00:00"/>
    <d v="2026-01-09T00:00:00"/>
    <d v="1899-12-30T08:40:00"/>
    <d v="1899-12-30T11:36:00"/>
    <s v="D"/>
    <s v="08:40 AM"/>
    <s v="On Time"/>
    <s v="2 Hours 56 Minutes"/>
    <x v="1"/>
  </r>
  <r>
    <x v="756"/>
    <x v="110"/>
    <n v="28"/>
    <x v="0"/>
    <x v="11"/>
    <x v="6"/>
    <x v="6"/>
    <n v="72"/>
    <n v="93"/>
    <x v="3"/>
    <n v="12000"/>
    <n v="12390"/>
    <n v="0"/>
    <x v="1"/>
    <x v="0"/>
    <d v="2025-10-28T00:00:00"/>
    <d v="2025-11-27T00:00:00"/>
    <d v="1899-12-30T09:13:00"/>
    <d v="1899-12-30T12:09:00"/>
    <s v="C"/>
    <s v="09:13 AM"/>
    <s v="On Time"/>
    <s v="2 Hours 56 Minutes"/>
    <x v="1"/>
  </r>
  <r>
    <x v="757"/>
    <x v="53"/>
    <n v="24"/>
    <x v="1"/>
    <x v="8"/>
    <x v="3"/>
    <x v="3"/>
    <n v="77"/>
    <n v="71"/>
    <x v="1"/>
    <n v="18000"/>
    <n v="19470"/>
    <n v="0"/>
    <x v="1"/>
    <x v="0"/>
    <d v="2025-10-23T00:00:00"/>
    <d v="2025-11-22T00:00:00"/>
    <d v="1899-12-30T08:54:00"/>
    <d v="1899-12-30T13:12:00"/>
    <s v="B"/>
    <s v="08:54 AM"/>
    <s v="On Time"/>
    <s v="4 Hours 18 Minutes"/>
    <x v="1"/>
  </r>
  <r>
    <x v="758"/>
    <x v="154"/>
    <n v="20"/>
    <x v="1"/>
    <x v="0"/>
    <x v="5"/>
    <x v="5"/>
    <n v="94"/>
    <n v="84"/>
    <x v="2"/>
    <n v="15000"/>
    <n v="17700"/>
    <n v="0"/>
    <x v="1"/>
    <x v="0"/>
    <d v="2025-08-09T00:00:00"/>
    <d v="2025-10-08T00:00:00"/>
    <d v="1899-12-30T08:58:00"/>
    <d v="1899-12-30T13:49:00"/>
    <s v="A"/>
    <s v="08:58 AM"/>
    <s v="On Time"/>
    <s v="4 Hours 51 Minutes"/>
    <x v="1"/>
  </r>
  <r>
    <x v="759"/>
    <x v="177"/>
    <n v="19"/>
    <x v="0"/>
    <x v="3"/>
    <x v="5"/>
    <x v="5"/>
    <n v="61"/>
    <n v="73"/>
    <x v="3"/>
    <n v="18000"/>
    <n v="15470"/>
    <n v="4000"/>
    <x v="0"/>
    <x v="0"/>
    <d v="2025-08-22T00:00:00"/>
    <d v="2025-09-21T00:00:00"/>
    <d v="1899-12-30T09:50:00"/>
    <d v="1899-12-30T11:23:00"/>
    <s v="C"/>
    <s v="09:50 AM"/>
    <s v="On Time"/>
    <s v="1 Hours 33 Minutes"/>
    <x v="1"/>
  </r>
  <r>
    <x v="760"/>
    <x v="17"/>
    <n v="18"/>
    <x v="0"/>
    <x v="6"/>
    <x v="6"/>
    <x v="6"/>
    <n v="61"/>
    <n v="65"/>
    <x v="3"/>
    <n v="12000"/>
    <n v="12980"/>
    <n v="0"/>
    <x v="1"/>
    <x v="1"/>
    <d v="2025-02-22T00:00:00"/>
    <d v="2025-05-23T00:00:00"/>
    <d v="1899-12-30T09:29:00"/>
    <d v="1899-12-30T11:11:00"/>
    <s v="C"/>
    <s v="09:29 AM"/>
    <s v="On Time"/>
    <s v="1 Hours 42 Minutes"/>
    <x v="1"/>
  </r>
  <r>
    <x v="761"/>
    <x v="147"/>
    <n v="27"/>
    <x v="1"/>
    <x v="1"/>
    <x v="1"/>
    <x v="1"/>
    <n v="100"/>
    <n v="67"/>
    <x v="2"/>
    <n v="10000"/>
    <n v="8030"/>
    <n v="2000"/>
    <x v="0"/>
    <x v="1"/>
    <d v="2025-02-03T00:00:00"/>
    <d v="2025-06-03T00:00:00"/>
    <d v="1899-12-30T10:02:00"/>
    <d v="1899-12-30T13:03:00"/>
    <s v="A"/>
    <s v="10:02 AM"/>
    <s v="Delayed"/>
    <s v="3 Hours 1 Minutes"/>
    <x v="0"/>
  </r>
  <r>
    <x v="762"/>
    <x v="149"/>
    <n v="18"/>
    <x v="1"/>
    <x v="2"/>
    <x v="7"/>
    <x v="7"/>
    <n v="60"/>
    <n v="73"/>
    <x v="3"/>
    <n v="18000"/>
    <n v="17470"/>
    <n v="2000"/>
    <x v="0"/>
    <x v="0"/>
    <d v="2025-09-23T00:00:00"/>
    <d v="2026-01-21T00:00:00"/>
    <d v="1899-12-30T10:30:00"/>
    <d v="1899-12-30T11:40:00"/>
    <s v="C"/>
    <s v="10:30 AM"/>
    <s v="Delayed"/>
    <s v="1 Hours 10 Minutes"/>
    <x v="0"/>
  </r>
  <r>
    <x v="763"/>
    <x v="231"/>
    <n v="19"/>
    <x v="0"/>
    <x v="11"/>
    <x v="6"/>
    <x v="6"/>
    <n v="77"/>
    <n v="72"/>
    <x v="1"/>
    <n v="18000"/>
    <n v="18060"/>
    <n v="2000"/>
    <x v="0"/>
    <x v="0"/>
    <d v="2025-04-24T00:00:00"/>
    <d v="2025-08-22T00:00:00"/>
    <d v="1899-12-30T10:21:00"/>
    <d v="1899-12-30T15:06:00"/>
    <s v="B"/>
    <s v="10:21 AM"/>
    <s v="Delayed"/>
    <s v="4 Hours 45 Minutes"/>
    <x v="0"/>
  </r>
  <r>
    <x v="764"/>
    <x v="16"/>
    <n v="28"/>
    <x v="1"/>
    <x v="2"/>
    <x v="0"/>
    <x v="0"/>
    <n v="55"/>
    <n v="99"/>
    <x v="0"/>
    <n v="10000"/>
    <n v="8030"/>
    <n v="2000"/>
    <x v="0"/>
    <x v="0"/>
    <d v="2025-07-15T00:00:00"/>
    <d v="2025-11-12T00:00:00"/>
    <d v="1899-12-30T08:46:00"/>
    <d v="1899-12-30T13:34:00"/>
    <s v="D"/>
    <s v="08:46 AM"/>
    <s v="Delayed"/>
    <s v="4 Hours 48 Minutes"/>
    <x v="1"/>
  </r>
  <r>
    <x v="765"/>
    <x v="3"/>
    <n v="21"/>
    <x v="0"/>
    <x v="11"/>
    <x v="7"/>
    <x v="7"/>
    <n v="87"/>
    <n v="74"/>
    <x v="1"/>
    <n v="10000"/>
    <n v="9800"/>
    <n v="2000"/>
    <x v="0"/>
    <x v="0"/>
    <d v="2025-10-20T00:00:00"/>
    <d v="2026-02-17T00:00:00"/>
    <d v="1899-12-30T10:55:00"/>
    <d v="1899-12-30T12:46:00"/>
    <s v="B"/>
    <s v="10:55 AM"/>
    <s v="Delayed"/>
    <s v="1 Hours 51 Minutes"/>
    <x v="0"/>
  </r>
  <r>
    <x v="766"/>
    <x v="84"/>
    <n v="21"/>
    <x v="0"/>
    <x v="5"/>
    <x v="5"/>
    <x v="5"/>
    <n v="48"/>
    <n v="68"/>
    <x v="0"/>
    <n v="20000"/>
    <n v="23010"/>
    <n v="0"/>
    <x v="1"/>
    <x v="1"/>
    <d v="2025-01-13T00:00:00"/>
    <d v="2025-03-14T00:00:00"/>
    <d v="1899-12-30T10:02:00"/>
    <d v="1899-12-30T12:44:00"/>
    <s v="D"/>
    <s v="10:02 AM"/>
    <s v="On Time"/>
    <s v="2 Hours 42 Minutes"/>
    <x v="0"/>
  </r>
  <r>
    <x v="767"/>
    <x v="117"/>
    <n v="19"/>
    <x v="1"/>
    <x v="1"/>
    <x v="4"/>
    <x v="4"/>
    <n v="37"/>
    <n v="71"/>
    <x v="0"/>
    <n v="12000"/>
    <n v="10390"/>
    <n v="2000"/>
    <x v="0"/>
    <x v="0"/>
    <d v="2025-04-26T00:00:00"/>
    <d v="2025-08-24T00:00:00"/>
    <d v="1899-12-30T09:40:00"/>
    <d v="1899-12-30T12:57:00"/>
    <s v="D"/>
    <s v="09:40 AM"/>
    <s v="Delayed"/>
    <s v="3 Hours 17 Minutes"/>
    <x v="1"/>
  </r>
  <r>
    <x v="768"/>
    <x v="182"/>
    <n v="18"/>
    <x v="0"/>
    <x v="2"/>
    <x v="1"/>
    <x v="1"/>
    <n v="53"/>
    <n v="62"/>
    <x v="0"/>
    <n v="12000"/>
    <n v="14160"/>
    <n v="0"/>
    <x v="1"/>
    <x v="0"/>
    <d v="2025-10-14T00:00:00"/>
    <d v="2025-11-13T00:00:00"/>
    <d v="1899-12-30T10:56:00"/>
    <d v="1899-12-30T14:08:00"/>
    <s v="D"/>
    <s v="10:56 AM"/>
    <s v="On Time"/>
    <s v="3 Hours 12 Minutes"/>
    <x v="0"/>
  </r>
  <r>
    <x v="769"/>
    <x v="95"/>
    <n v="23"/>
    <x v="0"/>
    <x v="1"/>
    <x v="0"/>
    <x v="0"/>
    <n v="37"/>
    <n v="96"/>
    <x v="0"/>
    <n v="18000"/>
    <n v="17240"/>
    <n v="4000"/>
    <x v="0"/>
    <x v="0"/>
    <d v="2025-03-17T00:00:00"/>
    <d v="2025-04-16T00:00:00"/>
    <d v="1899-12-30T10:07:00"/>
    <d v="1899-12-30T14:00:00"/>
    <s v="D"/>
    <s v="10:07 AM"/>
    <s v="On Time"/>
    <s v="3 Hours 53 Minutes"/>
    <x v="0"/>
  </r>
  <r>
    <x v="770"/>
    <x v="170"/>
    <n v="25"/>
    <x v="1"/>
    <x v="3"/>
    <x v="7"/>
    <x v="7"/>
    <n v="83"/>
    <n v="84"/>
    <x v="1"/>
    <n v="20000"/>
    <n v="21830"/>
    <n v="0"/>
    <x v="1"/>
    <x v="0"/>
    <d v="2025-08-06T00:00:00"/>
    <d v="2025-09-05T00:00:00"/>
    <d v="1899-12-30T09:26:00"/>
    <d v="1899-12-30T12:49:00"/>
    <s v="B"/>
    <s v="09:26 AM"/>
    <s v="On Time"/>
    <s v="3 Hours 23 Minutes"/>
    <x v="1"/>
  </r>
  <r>
    <x v="771"/>
    <x v="187"/>
    <n v="28"/>
    <x v="1"/>
    <x v="11"/>
    <x v="7"/>
    <x v="7"/>
    <n v="50"/>
    <n v="70"/>
    <x v="0"/>
    <n v="20000"/>
    <n v="21600"/>
    <n v="2000"/>
    <x v="0"/>
    <x v="0"/>
    <d v="2025-03-19T00:00:00"/>
    <d v="2025-07-17T00:00:00"/>
    <d v="1899-12-30T08:18:00"/>
    <d v="1899-12-30T13:12:00"/>
    <s v="D"/>
    <s v="08:18 AM"/>
    <s v="Delayed"/>
    <s v="4 Hours 54 Minutes"/>
    <x v="1"/>
  </r>
  <r>
    <x v="772"/>
    <x v="48"/>
    <n v="24"/>
    <x v="0"/>
    <x v="8"/>
    <x v="0"/>
    <x v="0"/>
    <n v="69"/>
    <n v="100"/>
    <x v="3"/>
    <n v="12000"/>
    <n v="10160"/>
    <n v="4000"/>
    <x v="0"/>
    <x v="0"/>
    <d v="2025-10-27T00:00:00"/>
    <d v="2026-01-25T00:00:00"/>
    <d v="1899-12-30T09:44:00"/>
    <d v="1899-12-30T12:23:00"/>
    <s v="C"/>
    <s v="09:44 AM"/>
    <s v="On Time"/>
    <s v="2 Hours 39 Minutes"/>
    <x v="1"/>
  </r>
  <r>
    <x v="773"/>
    <x v="41"/>
    <n v="20"/>
    <x v="1"/>
    <x v="5"/>
    <x v="6"/>
    <x v="6"/>
    <n v="86"/>
    <n v="71"/>
    <x v="1"/>
    <n v="20000"/>
    <n v="19600"/>
    <n v="4000"/>
    <x v="0"/>
    <x v="0"/>
    <d v="2025-06-14T00:00:00"/>
    <d v="2025-12-11T00:00:00"/>
    <d v="1899-12-30T10:25:00"/>
    <d v="1899-12-30T12:26:00"/>
    <s v="B"/>
    <s v="10:25 AM"/>
    <s v="Delayed"/>
    <s v="2 Hours 1 Minutes"/>
    <x v="0"/>
  </r>
  <r>
    <x v="774"/>
    <x v="43"/>
    <n v="26"/>
    <x v="0"/>
    <x v="0"/>
    <x v="7"/>
    <x v="7"/>
    <n v="36"/>
    <n v="73"/>
    <x v="0"/>
    <n v="10000"/>
    <n v="11800"/>
    <n v="0"/>
    <x v="1"/>
    <x v="0"/>
    <d v="2025-10-18T00:00:00"/>
    <d v="2026-02-15T00:00:00"/>
    <d v="1899-12-30T08:21:00"/>
    <d v="1899-12-30T11:49:00"/>
    <s v="D"/>
    <s v="08:21 AM"/>
    <s v="Delayed"/>
    <s v="3 Hours 28 Minutes"/>
    <x v="1"/>
  </r>
  <r>
    <x v="775"/>
    <x v="201"/>
    <n v="20"/>
    <x v="0"/>
    <x v="3"/>
    <x v="3"/>
    <x v="3"/>
    <n v="73"/>
    <n v="73"/>
    <x v="3"/>
    <n v="10000"/>
    <n v="7210"/>
    <n v="4000"/>
    <x v="0"/>
    <x v="0"/>
    <d v="2025-08-27T00:00:00"/>
    <d v="2025-09-26T00:00:00"/>
    <d v="1899-12-30T08:22:00"/>
    <d v="1899-12-30T10:14:00"/>
    <s v="C"/>
    <s v="08:22 AM"/>
    <s v="On Time"/>
    <s v="1 Hours 52 Minutes"/>
    <x v="1"/>
  </r>
  <r>
    <x v="776"/>
    <x v="217"/>
    <n v="20"/>
    <x v="0"/>
    <x v="4"/>
    <x v="0"/>
    <x v="0"/>
    <n v="60"/>
    <n v="73"/>
    <x v="3"/>
    <n v="18000"/>
    <n v="20650"/>
    <n v="0"/>
    <x v="1"/>
    <x v="0"/>
    <d v="2025-01-30T00:00:00"/>
    <d v="2025-03-31T00:00:00"/>
    <d v="1899-12-30T08:37:00"/>
    <d v="1899-12-30T11:24:00"/>
    <s v="C"/>
    <s v="08:37 AM"/>
    <s v="On Time"/>
    <s v="2 Hours 47 Minutes"/>
    <x v="1"/>
  </r>
  <r>
    <x v="777"/>
    <x v="9"/>
    <n v="28"/>
    <x v="1"/>
    <x v="9"/>
    <x v="6"/>
    <x v="6"/>
    <n v="36"/>
    <n v="69"/>
    <x v="0"/>
    <n v="18000"/>
    <n v="16060"/>
    <n v="4000"/>
    <x v="0"/>
    <x v="0"/>
    <d v="2025-04-02T00:00:00"/>
    <d v="2025-07-01T00:00:00"/>
    <d v="1899-12-30T09:59:00"/>
    <d v="1899-12-30T13:25:00"/>
    <s v="D"/>
    <s v="09:59 AM"/>
    <s v="On Time"/>
    <s v="3 Hours 26 Minutes"/>
    <x v="1"/>
  </r>
  <r>
    <x v="778"/>
    <x v="111"/>
    <n v="18"/>
    <x v="0"/>
    <x v="8"/>
    <x v="4"/>
    <x v="4"/>
    <n v="58"/>
    <n v="64"/>
    <x v="0"/>
    <n v="18000"/>
    <n v="19240"/>
    <n v="2000"/>
    <x v="0"/>
    <x v="0"/>
    <d v="2025-12-19T00:00:00"/>
    <d v="2026-01-18T00:00:00"/>
    <d v="1899-12-30T10:54:00"/>
    <d v="1899-12-30T12:10:00"/>
    <s v="D"/>
    <s v="10:54 AM"/>
    <s v="On Time"/>
    <s v="1 Hours 16 Minutes"/>
    <x v="0"/>
  </r>
  <r>
    <x v="779"/>
    <x v="83"/>
    <n v="25"/>
    <x v="0"/>
    <x v="5"/>
    <x v="2"/>
    <x v="2"/>
    <n v="46"/>
    <n v="81"/>
    <x v="0"/>
    <n v="20000"/>
    <n v="18420"/>
    <n v="4000"/>
    <x v="0"/>
    <x v="0"/>
    <d v="2025-07-30T00:00:00"/>
    <d v="2025-08-29T00:00:00"/>
    <d v="1899-12-30T10:09:00"/>
    <d v="1899-12-30T13:55:00"/>
    <s v="D"/>
    <s v="10:09 AM"/>
    <s v="On Time"/>
    <s v="3 Hours 46 Minutes"/>
    <x v="0"/>
  </r>
  <r>
    <x v="780"/>
    <x v="131"/>
    <n v="18"/>
    <x v="1"/>
    <x v="4"/>
    <x v="1"/>
    <x v="1"/>
    <n v="46"/>
    <n v="83"/>
    <x v="0"/>
    <n v="10000"/>
    <n v="6030"/>
    <n v="4000"/>
    <x v="0"/>
    <x v="0"/>
    <d v="2025-05-12T00:00:00"/>
    <d v="2025-09-09T00:00:00"/>
    <d v="1899-12-30T08:51:00"/>
    <d v="1899-12-30T12:45:00"/>
    <s v="D"/>
    <s v="08:51 AM"/>
    <s v="Delayed"/>
    <s v="3 Hours 54 Minutes"/>
    <x v="1"/>
  </r>
  <r>
    <x v="781"/>
    <x v="106"/>
    <n v="19"/>
    <x v="1"/>
    <x v="8"/>
    <x v="7"/>
    <x v="7"/>
    <n v="35"/>
    <n v="94"/>
    <x v="0"/>
    <n v="10000"/>
    <n v="10620"/>
    <n v="0"/>
    <x v="1"/>
    <x v="0"/>
    <d v="2025-08-02T00:00:00"/>
    <d v="2025-11-30T00:00:00"/>
    <d v="1899-12-30T09:14:00"/>
    <d v="1899-12-30T12:15:00"/>
    <s v="D"/>
    <s v="09:14 AM"/>
    <s v="Delayed"/>
    <s v="3 Hours 1 Minutes"/>
    <x v="1"/>
  </r>
  <r>
    <x v="782"/>
    <x v="208"/>
    <n v="21"/>
    <x v="1"/>
    <x v="4"/>
    <x v="6"/>
    <x v="6"/>
    <n v="86"/>
    <n v="83"/>
    <x v="1"/>
    <n v="15000"/>
    <n v="15110"/>
    <n v="2000"/>
    <x v="0"/>
    <x v="0"/>
    <d v="2025-03-31T00:00:00"/>
    <d v="2025-04-30T00:00:00"/>
    <d v="1899-12-30T09:13:00"/>
    <d v="1899-12-30T13:34:00"/>
    <s v="B"/>
    <s v="09:13 AM"/>
    <s v="On Time"/>
    <s v="4 Hours 21 Minutes"/>
    <x v="1"/>
  </r>
  <r>
    <x v="783"/>
    <x v="66"/>
    <n v="27"/>
    <x v="1"/>
    <x v="11"/>
    <x v="7"/>
    <x v="7"/>
    <n v="42"/>
    <n v="73"/>
    <x v="0"/>
    <n v="20000"/>
    <n v="21830"/>
    <n v="0"/>
    <x v="1"/>
    <x v="0"/>
    <d v="2025-03-28T00:00:00"/>
    <d v="2025-07-26T00:00:00"/>
    <d v="1899-12-30T10:48:00"/>
    <d v="1899-12-30T12:26:00"/>
    <s v="D"/>
    <s v="10:48 AM"/>
    <s v="Delayed"/>
    <s v="1 Hours 38 Minutes"/>
    <x v="0"/>
  </r>
  <r>
    <x v="784"/>
    <x v="226"/>
    <n v="18"/>
    <x v="1"/>
    <x v="2"/>
    <x v="6"/>
    <x v="6"/>
    <n v="48"/>
    <n v="65"/>
    <x v="0"/>
    <n v="12000"/>
    <n v="10160"/>
    <n v="4000"/>
    <x v="0"/>
    <x v="1"/>
    <d v="2025-02-27T00:00:00"/>
    <d v="2025-04-28T00:00:00"/>
    <d v="1899-12-30T10:06:00"/>
    <d v="1899-12-30T12:41:00"/>
    <s v="D"/>
    <s v="10:06 AM"/>
    <s v="On Time"/>
    <s v="2 Hours 35 Minutes"/>
    <x v="0"/>
  </r>
  <r>
    <x v="785"/>
    <x v="16"/>
    <n v="19"/>
    <x v="0"/>
    <x v="4"/>
    <x v="4"/>
    <x v="4"/>
    <n v="58"/>
    <n v="72"/>
    <x v="0"/>
    <n v="10000"/>
    <n v="9210"/>
    <n v="2000"/>
    <x v="0"/>
    <x v="0"/>
    <d v="2025-05-17T00:00:00"/>
    <d v="2025-11-13T00:00:00"/>
    <d v="1899-12-30T10:08:00"/>
    <d v="1899-12-30T14:15:00"/>
    <s v="D"/>
    <s v="10:08 AM"/>
    <s v="Delayed"/>
    <s v="4 Hours 7 Minutes"/>
    <x v="0"/>
  </r>
  <r>
    <x v="786"/>
    <x v="5"/>
    <n v="28"/>
    <x v="0"/>
    <x v="0"/>
    <x v="5"/>
    <x v="5"/>
    <n v="71"/>
    <n v="84"/>
    <x v="3"/>
    <n v="20000"/>
    <n v="19830"/>
    <n v="2000"/>
    <x v="0"/>
    <x v="0"/>
    <d v="2025-11-13T00:00:00"/>
    <d v="2026-02-11T00:00:00"/>
    <d v="1899-12-30T10:27:00"/>
    <d v="1899-12-30T14:27:00"/>
    <s v="C"/>
    <s v="10:27 AM"/>
    <s v="On Time"/>
    <s v="4 Hours 0 Minutes"/>
    <x v="0"/>
  </r>
  <r>
    <x v="787"/>
    <x v="177"/>
    <n v="23"/>
    <x v="1"/>
    <x v="7"/>
    <x v="7"/>
    <x v="7"/>
    <n v="48"/>
    <n v="89"/>
    <x v="0"/>
    <n v="10000"/>
    <n v="8620"/>
    <n v="2000"/>
    <x v="0"/>
    <x v="0"/>
    <d v="2025-10-30T00:00:00"/>
    <d v="2026-04-28T00:00:00"/>
    <d v="1899-12-30T10:58:00"/>
    <d v="1899-12-30T14:15:00"/>
    <s v="D"/>
    <s v="10:58 AM"/>
    <s v="Delayed"/>
    <s v="3 Hours 17 Minutes"/>
    <x v="0"/>
  </r>
  <r>
    <x v="788"/>
    <x v="27"/>
    <n v="25"/>
    <x v="0"/>
    <x v="11"/>
    <x v="2"/>
    <x v="2"/>
    <n v="48"/>
    <n v="83"/>
    <x v="0"/>
    <n v="20000"/>
    <n v="17830"/>
    <n v="4000"/>
    <x v="0"/>
    <x v="0"/>
    <d v="2025-10-11T00:00:00"/>
    <d v="2025-12-10T00:00:00"/>
    <d v="1899-12-30T09:37:00"/>
    <d v="1899-12-30T14:01:00"/>
    <s v="D"/>
    <s v="09:37 AM"/>
    <s v="On Time"/>
    <s v="4 Hours 24 Minutes"/>
    <x v="1"/>
  </r>
  <r>
    <x v="789"/>
    <x v="94"/>
    <n v="27"/>
    <x v="1"/>
    <x v="0"/>
    <x v="2"/>
    <x v="2"/>
    <n v="67"/>
    <n v="91"/>
    <x v="3"/>
    <n v="15000"/>
    <n v="13700"/>
    <n v="4000"/>
    <x v="0"/>
    <x v="0"/>
    <d v="2025-06-05T00:00:00"/>
    <d v="2025-07-05T00:00:00"/>
    <d v="1899-12-30T09:14:00"/>
    <d v="1899-12-30T12:37:00"/>
    <s v="C"/>
    <s v="09:14 AM"/>
    <s v="On Time"/>
    <s v="3 Hours 23 Minutes"/>
    <x v="1"/>
  </r>
  <r>
    <x v="790"/>
    <x v="167"/>
    <n v="28"/>
    <x v="0"/>
    <x v="9"/>
    <x v="3"/>
    <x v="3"/>
    <n v="38"/>
    <n v="71"/>
    <x v="0"/>
    <n v="20000"/>
    <n v="19010"/>
    <n v="4000"/>
    <x v="0"/>
    <x v="0"/>
    <d v="2025-06-25T00:00:00"/>
    <d v="2025-08-24T00:00:00"/>
    <d v="1899-12-30T08:31:00"/>
    <d v="1899-12-30T12:42:00"/>
    <s v="D"/>
    <s v="08:31 AM"/>
    <s v="On Time"/>
    <s v="4 Hours 11 Minutes"/>
    <x v="1"/>
  </r>
  <r>
    <x v="791"/>
    <x v="37"/>
    <n v="25"/>
    <x v="0"/>
    <x v="7"/>
    <x v="0"/>
    <x v="0"/>
    <n v="88"/>
    <n v="99"/>
    <x v="1"/>
    <n v="12000"/>
    <n v="10160"/>
    <n v="4000"/>
    <x v="0"/>
    <x v="0"/>
    <d v="2025-11-16T00:00:00"/>
    <d v="2026-01-15T00:00:00"/>
    <d v="1899-12-30T08:59:00"/>
    <d v="1899-12-30T13:00:00"/>
    <s v="B"/>
    <s v="08:59 AM"/>
    <s v="On Time"/>
    <s v="4 Hours 1 Minutes"/>
    <x v="1"/>
  </r>
  <r>
    <x v="792"/>
    <x v="206"/>
    <n v="20"/>
    <x v="1"/>
    <x v="3"/>
    <x v="2"/>
    <x v="2"/>
    <n v="70"/>
    <n v="90"/>
    <x v="3"/>
    <n v="12000"/>
    <n v="10980"/>
    <n v="2000"/>
    <x v="0"/>
    <x v="0"/>
    <d v="2025-01-03T00:00:00"/>
    <d v="2025-02-02T00:00:00"/>
    <d v="1899-12-30T10:51:00"/>
    <d v="1899-12-30T14:02:00"/>
    <s v="C"/>
    <s v="10:51 AM"/>
    <s v="On Time"/>
    <s v="3 Hours 11 Minutes"/>
    <x v="0"/>
  </r>
  <r>
    <x v="793"/>
    <x v="8"/>
    <n v="18"/>
    <x v="1"/>
    <x v="7"/>
    <x v="2"/>
    <x v="2"/>
    <n v="52"/>
    <n v="96"/>
    <x v="0"/>
    <n v="12000"/>
    <n v="13570"/>
    <n v="0"/>
    <x v="1"/>
    <x v="0"/>
    <d v="2025-05-31T00:00:00"/>
    <d v="2025-08-29T00:00:00"/>
    <d v="1899-12-30T08:40:00"/>
    <d v="1899-12-30T11:25:00"/>
    <s v="D"/>
    <s v="08:40 AM"/>
    <s v="On Time"/>
    <s v="2 Hours 45 Minutes"/>
    <x v="1"/>
  </r>
  <r>
    <x v="794"/>
    <x v="96"/>
    <n v="23"/>
    <x v="0"/>
    <x v="2"/>
    <x v="2"/>
    <x v="2"/>
    <n v="91"/>
    <n v="100"/>
    <x v="2"/>
    <n v="12000"/>
    <n v="10980"/>
    <n v="2000"/>
    <x v="0"/>
    <x v="0"/>
    <d v="2025-12-16T00:00:00"/>
    <d v="2026-01-15T00:00:00"/>
    <d v="1899-12-30T08:39:00"/>
    <d v="1899-12-30T10:00:00"/>
    <s v="A"/>
    <s v="08:39 AM"/>
    <s v="On Time"/>
    <s v="1 Hours 21 Minutes"/>
    <x v="1"/>
  </r>
  <r>
    <x v="795"/>
    <x v="82"/>
    <n v="21"/>
    <x v="1"/>
    <x v="5"/>
    <x v="7"/>
    <x v="7"/>
    <n v="98"/>
    <n v="82"/>
    <x v="2"/>
    <n v="20000"/>
    <n v="19600"/>
    <n v="4000"/>
    <x v="0"/>
    <x v="0"/>
    <d v="2025-05-09T00:00:00"/>
    <d v="2025-09-06T00:00:00"/>
    <d v="1899-12-30T08:30:00"/>
    <d v="1899-12-30T11:14:00"/>
    <s v="A"/>
    <s v="08:30 AM"/>
    <s v="Delayed"/>
    <s v="2 Hours 44 Minutes"/>
    <x v="1"/>
  </r>
  <r>
    <x v="796"/>
    <x v="203"/>
    <n v="18"/>
    <x v="0"/>
    <x v="1"/>
    <x v="4"/>
    <x v="4"/>
    <n v="61"/>
    <n v="99"/>
    <x v="3"/>
    <n v="15000"/>
    <n v="12520"/>
    <n v="4000"/>
    <x v="0"/>
    <x v="0"/>
    <d v="2025-09-03T00:00:00"/>
    <d v="2026-01-01T00:00:00"/>
    <d v="1899-12-30T10:33:00"/>
    <d v="1899-12-30T14:40:00"/>
    <s v="C"/>
    <s v="10:33 AM"/>
    <s v="Delayed"/>
    <s v="4 Hours 7 Minutes"/>
    <x v="0"/>
  </r>
  <r>
    <x v="797"/>
    <x v="223"/>
    <n v="19"/>
    <x v="0"/>
    <x v="10"/>
    <x v="0"/>
    <x v="0"/>
    <n v="53"/>
    <n v="81"/>
    <x v="0"/>
    <n v="12000"/>
    <n v="10980"/>
    <n v="2000"/>
    <x v="0"/>
    <x v="0"/>
    <d v="2025-01-01T00:00:00"/>
    <d v="2025-03-02T00:00:00"/>
    <d v="1899-12-30T10:12:00"/>
    <d v="1899-12-30T12:14:00"/>
    <s v="D"/>
    <s v="10:12 AM"/>
    <s v="On Time"/>
    <s v="2 Hours 2 Minutes"/>
    <x v="0"/>
  </r>
  <r>
    <x v="798"/>
    <x v="120"/>
    <n v="20"/>
    <x v="0"/>
    <x v="0"/>
    <x v="1"/>
    <x v="1"/>
    <n v="91"/>
    <n v="89"/>
    <x v="2"/>
    <n v="12000"/>
    <n v="10390"/>
    <n v="2000"/>
    <x v="0"/>
    <x v="0"/>
    <d v="2025-05-28T00:00:00"/>
    <d v="2025-11-24T00:00:00"/>
    <d v="1899-12-30T08:07:00"/>
    <d v="1899-12-30T10:06:00"/>
    <s v="A"/>
    <s v="08:07 AM"/>
    <s v="Delayed"/>
    <s v="1 Hours 59 Minutes"/>
    <x v="1"/>
  </r>
  <r>
    <x v="799"/>
    <x v="95"/>
    <n v="26"/>
    <x v="1"/>
    <x v="0"/>
    <x v="5"/>
    <x v="5"/>
    <n v="95"/>
    <n v="81"/>
    <x v="2"/>
    <n v="12000"/>
    <n v="8980"/>
    <n v="4000"/>
    <x v="0"/>
    <x v="0"/>
    <d v="2025-08-28T00:00:00"/>
    <d v="2025-12-26T00:00:00"/>
    <d v="1899-12-30T10:31:00"/>
    <d v="1899-12-30T14:20:00"/>
    <s v="A"/>
    <s v="10:31 AM"/>
    <s v="Delayed"/>
    <s v="3 Hours 49 Minutes"/>
    <x v="0"/>
  </r>
  <r>
    <x v="800"/>
    <x v="206"/>
    <n v="24"/>
    <x v="0"/>
    <x v="3"/>
    <x v="5"/>
    <x v="5"/>
    <n v="60"/>
    <n v="88"/>
    <x v="3"/>
    <n v="20000"/>
    <n v="18420"/>
    <n v="4000"/>
    <x v="0"/>
    <x v="0"/>
    <d v="2025-09-18T00:00:00"/>
    <d v="2026-03-17T00:00:00"/>
    <d v="1899-12-30T10:20:00"/>
    <d v="1899-12-30T12:10:00"/>
    <s v="C"/>
    <s v="10:20 AM"/>
    <s v="Delayed"/>
    <s v="1 Hours 50 Minutes"/>
    <x v="0"/>
  </r>
  <r>
    <x v="801"/>
    <x v="87"/>
    <n v="22"/>
    <x v="0"/>
    <x v="3"/>
    <x v="2"/>
    <x v="2"/>
    <n v="96"/>
    <n v="98"/>
    <x v="2"/>
    <n v="20000"/>
    <n v="21010"/>
    <n v="2000"/>
    <x v="0"/>
    <x v="0"/>
    <d v="2025-08-06T00:00:00"/>
    <d v="2025-11-04T00:00:00"/>
    <d v="1899-12-30T10:15:00"/>
    <d v="1899-12-30T11:49:00"/>
    <s v="A"/>
    <s v="10:15 AM"/>
    <s v="On Time"/>
    <s v="1 Hours 34 Minutes"/>
    <x v="0"/>
  </r>
  <r>
    <x v="802"/>
    <x v="189"/>
    <n v="23"/>
    <x v="1"/>
    <x v="0"/>
    <x v="6"/>
    <x v="6"/>
    <n v="77"/>
    <n v="79"/>
    <x v="1"/>
    <n v="12000"/>
    <n v="11570"/>
    <n v="2000"/>
    <x v="0"/>
    <x v="0"/>
    <d v="2025-10-23T00:00:00"/>
    <d v="2026-01-21T00:00:00"/>
    <d v="1899-12-30T09:14:00"/>
    <d v="1899-12-30T10:19:00"/>
    <s v="B"/>
    <s v="09:14 AM"/>
    <s v="On Time"/>
    <s v="1 Hours 5 Minutes"/>
    <x v="1"/>
  </r>
  <r>
    <x v="803"/>
    <x v="14"/>
    <n v="28"/>
    <x v="0"/>
    <x v="5"/>
    <x v="3"/>
    <x v="3"/>
    <n v="72"/>
    <n v="91"/>
    <x v="3"/>
    <n v="20000"/>
    <n v="21010"/>
    <n v="2000"/>
    <x v="0"/>
    <x v="0"/>
    <d v="2025-07-25T00:00:00"/>
    <d v="2026-01-21T00:00:00"/>
    <d v="1899-12-30T10:36:00"/>
    <d v="1899-12-30T14:13:00"/>
    <s v="C"/>
    <s v="10:36 AM"/>
    <s v="Delayed"/>
    <s v="3 Hours 37 Minutes"/>
    <x v="0"/>
  </r>
  <r>
    <x v="804"/>
    <x v="126"/>
    <n v="21"/>
    <x v="1"/>
    <x v="6"/>
    <x v="3"/>
    <x v="3"/>
    <n v="43"/>
    <n v="88"/>
    <x v="0"/>
    <n v="20000"/>
    <n v="19010"/>
    <n v="4000"/>
    <x v="0"/>
    <x v="0"/>
    <d v="2025-08-29T00:00:00"/>
    <d v="2025-09-28T00:00:00"/>
    <d v="1899-12-30T08:02:00"/>
    <d v="1899-12-30T10:37:00"/>
    <s v="D"/>
    <s v="08:02 AM"/>
    <s v="On Time"/>
    <s v="2 Hours 35 Minutes"/>
    <x v="1"/>
  </r>
  <r>
    <x v="805"/>
    <x v="166"/>
    <n v="25"/>
    <x v="0"/>
    <x v="7"/>
    <x v="0"/>
    <x v="0"/>
    <n v="55"/>
    <n v="84"/>
    <x v="0"/>
    <n v="10000"/>
    <n v="11210"/>
    <n v="0"/>
    <x v="1"/>
    <x v="0"/>
    <d v="2025-10-17T00:00:00"/>
    <d v="2026-01-15T00:00:00"/>
    <d v="1899-12-30T10:19:00"/>
    <d v="1899-12-30T12:27:00"/>
    <s v="D"/>
    <s v="10:19 AM"/>
    <s v="On Time"/>
    <s v="2 Hours 8 Minutes"/>
    <x v="0"/>
  </r>
  <r>
    <x v="806"/>
    <x v="9"/>
    <n v="27"/>
    <x v="1"/>
    <x v="4"/>
    <x v="4"/>
    <x v="4"/>
    <n v="91"/>
    <n v="86"/>
    <x v="2"/>
    <n v="10000"/>
    <n v="8620"/>
    <n v="2000"/>
    <x v="0"/>
    <x v="0"/>
    <d v="2025-11-07T00:00:00"/>
    <d v="2026-03-07T00:00:00"/>
    <d v="1899-12-30T08:31:00"/>
    <d v="1899-12-30T09:58:00"/>
    <s v="A"/>
    <s v="08:31 AM"/>
    <s v="Delayed"/>
    <s v="1 Hours 27 Minutes"/>
    <x v="1"/>
  </r>
  <r>
    <x v="807"/>
    <x v="211"/>
    <n v="27"/>
    <x v="0"/>
    <x v="9"/>
    <x v="1"/>
    <x v="1"/>
    <n v="40"/>
    <n v="83"/>
    <x v="0"/>
    <n v="12000"/>
    <n v="11570"/>
    <n v="2000"/>
    <x v="0"/>
    <x v="0"/>
    <d v="2025-07-15T00:00:00"/>
    <d v="2026-01-11T00:00:00"/>
    <d v="1899-12-30T09:33:00"/>
    <d v="1899-12-30T13:08:00"/>
    <s v="D"/>
    <s v="09:33 AM"/>
    <s v="Delayed"/>
    <s v="3 Hours 35 Minutes"/>
    <x v="1"/>
  </r>
  <r>
    <x v="808"/>
    <x v="230"/>
    <n v="27"/>
    <x v="0"/>
    <x v="5"/>
    <x v="2"/>
    <x v="2"/>
    <n v="92"/>
    <n v="70"/>
    <x v="2"/>
    <n v="12000"/>
    <n v="13570"/>
    <n v="0"/>
    <x v="1"/>
    <x v="0"/>
    <d v="2025-12-09T00:00:00"/>
    <d v="2026-03-09T00:00:00"/>
    <d v="1899-12-30T09:46:00"/>
    <d v="1899-12-30T12:15:00"/>
    <s v="A"/>
    <s v="09:46 AM"/>
    <s v="On Time"/>
    <s v="2 Hours 29 Minutes"/>
    <x v="1"/>
  </r>
  <r>
    <x v="809"/>
    <x v="132"/>
    <n v="26"/>
    <x v="0"/>
    <x v="8"/>
    <x v="5"/>
    <x v="5"/>
    <n v="85"/>
    <n v="67"/>
    <x v="1"/>
    <n v="20000"/>
    <n v="19830"/>
    <n v="2000"/>
    <x v="0"/>
    <x v="0"/>
    <d v="2025-06-12T00:00:00"/>
    <d v="2025-09-10T00:00:00"/>
    <d v="1899-12-30T08:07:00"/>
    <d v="1899-12-30T11:45:00"/>
    <s v="B"/>
    <s v="08:07 AM"/>
    <s v="On Time"/>
    <s v="3 Hours 38 Minutes"/>
    <x v="1"/>
  </r>
  <r>
    <x v="810"/>
    <x v="13"/>
    <n v="19"/>
    <x v="1"/>
    <x v="8"/>
    <x v="5"/>
    <x v="5"/>
    <n v="70"/>
    <n v="91"/>
    <x v="3"/>
    <n v="12000"/>
    <n v="12980"/>
    <n v="0"/>
    <x v="1"/>
    <x v="0"/>
    <d v="2025-12-20T00:00:00"/>
    <d v="2026-06-18T00:00:00"/>
    <d v="1899-12-30T10:17:00"/>
    <d v="1899-12-30T15:11:00"/>
    <s v="C"/>
    <s v="10:17 AM"/>
    <s v="Delayed"/>
    <s v="4 Hours 54 Minutes"/>
    <x v="0"/>
  </r>
  <r>
    <x v="811"/>
    <x v="218"/>
    <n v="20"/>
    <x v="1"/>
    <x v="2"/>
    <x v="0"/>
    <x v="0"/>
    <n v="50"/>
    <n v="75"/>
    <x v="0"/>
    <n v="20000"/>
    <n v="19830"/>
    <n v="2000"/>
    <x v="0"/>
    <x v="0"/>
    <d v="2025-06-26T00:00:00"/>
    <d v="2025-09-24T00:00:00"/>
    <d v="1899-12-30T09:50:00"/>
    <d v="1899-12-30T11:29:00"/>
    <s v="D"/>
    <s v="09:50 AM"/>
    <s v="On Time"/>
    <s v="1 Hours 39 Minutes"/>
    <x v="1"/>
  </r>
  <r>
    <x v="812"/>
    <x v="148"/>
    <n v="22"/>
    <x v="0"/>
    <x v="8"/>
    <x v="3"/>
    <x v="3"/>
    <n v="95"/>
    <n v="68"/>
    <x v="2"/>
    <n v="20000"/>
    <n v="22420"/>
    <n v="0"/>
    <x v="1"/>
    <x v="0"/>
    <d v="2025-05-22T00:00:00"/>
    <d v="2025-11-18T00:00:00"/>
    <d v="1899-12-30T09:07:00"/>
    <d v="1899-12-30T10:45:00"/>
    <s v="A"/>
    <s v="09:07 AM"/>
    <s v="Delayed"/>
    <s v="1 Hours 38 Minutes"/>
    <x v="1"/>
  </r>
  <r>
    <x v="813"/>
    <x v="11"/>
    <n v="28"/>
    <x v="1"/>
    <x v="11"/>
    <x v="1"/>
    <x v="1"/>
    <n v="37"/>
    <n v="61"/>
    <x v="0"/>
    <n v="15000"/>
    <n v="15930"/>
    <n v="0"/>
    <x v="1"/>
    <x v="0"/>
    <d v="2025-10-28T00:00:00"/>
    <d v="2025-11-27T00:00:00"/>
    <d v="1899-12-30T08:11:00"/>
    <d v="1899-12-30T09:16:00"/>
    <s v="D"/>
    <s v="08:11 AM"/>
    <s v="On Time"/>
    <s v="1 Hours 5 Minutes"/>
    <x v="1"/>
  </r>
  <r>
    <x v="814"/>
    <x v="110"/>
    <n v="26"/>
    <x v="1"/>
    <x v="10"/>
    <x v="7"/>
    <x v="7"/>
    <n v="57"/>
    <n v="83"/>
    <x v="0"/>
    <n v="18000"/>
    <n v="15470"/>
    <n v="4000"/>
    <x v="0"/>
    <x v="0"/>
    <d v="2025-11-08T00:00:00"/>
    <d v="2025-12-08T00:00:00"/>
    <d v="1899-12-30T08:02:00"/>
    <d v="1899-12-30T09:06:00"/>
    <s v="D"/>
    <s v="08:02 AM"/>
    <s v="On Time"/>
    <s v="1 Hours 4 Minutes"/>
    <x v="1"/>
  </r>
  <r>
    <x v="815"/>
    <x v="24"/>
    <n v="28"/>
    <x v="1"/>
    <x v="5"/>
    <x v="3"/>
    <x v="3"/>
    <n v="79"/>
    <n v="76"/>
    <x v="1"/>
    <n v="20000"/>
    <n v="23010"/>
    <n v="0"/>
    <x v="1"/>
    <x v="0"/>
    <d v="2025-10-01T00:00:00"/>
    <d v="2025-10-31T00:00:00"/>
    <d v="1899-12-30T10:40:00"/>
    <d v="1899-12-30T15:24:00"/>
    <s v="B"/>
    <s v="10:40 AM"/>
    <s v="On Time"/>
    <s v="4 Hours 44 Minutes"/>
    <x v="0"/>
  </r>
  <r>
    <x v="816"/>
    <x v="49"/>
    <n v="25"/>
    <x v="1"/>
    <x v="0"/>
    <x v="7"/>
    <x v="7"/>
    <n v="65"/>
    <n v="71"/>
    <x v="3"/>
    <n v="15000"/>
    <n v="13110"/>
    <n v="4000"/>
    <x v="0"/>
    <x v="0"/>
    <d v="2025-03-02T00:00:00"/>
    <d v="2025-05-31T00:00:00"/>
    <d v="1899-12-30T09:21:00"/>
    <d v="1899-12-30T11:56:00"/>
    <s v="C"/>
    <s v="09:21 AM"/>
    <s v="On Time"/>
    <s v="2 Hours 35 Minutes"/>
    <x v="1"/>
  </r>
  <r>
    <x v="817"/>
    <x v="28"/>
    <n v="18"/>
    <x v="0"/>
    <x v="2"/>
    <x v="2"/>
    <x v="2"/>
    <n v="73"/>
    <n v="74"/>
    <x v="3"/>
    <n v="12000"/>
    <n v="8390"/>
    <n v="4000"/>
    <x v="0"/>
    <x v="0"/>
    <d v="2025-07-12T00:00:00"/>
    <d v="2025-10-10T00:00:00"/>
    <d v="1899-12-30T10:29:00"/>
    <d v="1899-12-30T12:14:00"/>
    <s v="C"/>
    <s v="10:29 AM"/>
    <s v="On Time"/>
    <s v="1 Hours 45 Minutes"/>
    <x v="0"/>
  </r>
  <r>
    <x v="818"/>
    <x v="226"/>
    <n v="23"/>
    <x v="1"/>
    <x v="1"/>
    <x v="2"/>
    <x v="2"/>
    <n v="87"/>
    <n v="64"/>
    <x v="1"/>
    <n v="20000"/>
    <n v="17830"/>
    <n v="4000"/>
    <x v="0"/>
    <x v="0"/>
    <d v="2025-08-20T00:00:00"/>
    <d v="2025-12-18T00:00:00"/>
    <d v="1899-12-30T09:06:00"/>
    <d v="1899-12-30T11:01:00"/>
    <s v="B"/>
    <s v="09:06 AM"/>
    <s v="Delayed"/>
    <s v="1 Hours 55 Minutes"/>
    <x v="1"/>
  </r>
  <r>
    <x v="819"/>
    <x v="86"/>
    <n v="21"/>
    <x v="1"/>
    <x v="0"/>
    <x v="0"/>
    <x v="0"/>
    <n v="68"/>
    <n v="100"/>
    <x v="3"/>
    <n v="18000"/>
    <n v="16060"/>
    <n v="4000"/>
    <x v="0"/>
    <x v="0"/>
    <d v="2025-07-16T00:00:00"/>
    <d v="2025-09-14T00:00:00"/>
    <d v="1899-12-30T10:05:00"/>
    <d v="1899-12-30T13:34:00"/>
    <s v="C"/>
    <s v="10:05 AM"/>
    <s v="On Time"/>
    <s v="3 Hours 29 Minutes"/>
    <x v="0"/>
  </r>
  <r>
    <x v="820"/>
    <x v="217"/>
    <n v="25"/>
    <x v="1"/>
    <x v="6"/>
    <x v="6"/>
    <x v="6"/>
    <n v="70"/>
    <n v="92"/>
    <x v="3"/>
    <n v="20000"/>
    <n v="17830"/>
    <n v="4000"/>
    <x v="0"/>
    <x v="0"/>
    <d v="2025-05-30T00:00:00"/>
    <d v="2025-08-28T00:00:00"/>
    <d v="1899-12-30T10:27:00"/>
    <d v="1899-12-30T12:56:00"/>
    <s v="C"/>
    <s v="10:27 AM"/>
    <s v="On Time"/>
    <s v="2 Hours 29 Minutes"/>
    <x v="0"/>
  </r>
  <r>
    <x v="821"/>
    <x v="54"/>
    <n v="22"/>
    <x v="1"/>
    <x v="1"/>
    <x v="0"/>
    <x v="0"/>
    <n v="38"/>
    <n v="80"/>
    <x v="0"/>
    <n v="20000"/>
    <n v="21830"/>
    <n v="0"/>
    <x v="1"/>
    <x v="0"/>
    <d v="2025-03-12T00:00:00"/>
    <d v="2025-09-08T00:00:00"/>
    <d v="1899-12-30T09:11:00"/>
    <d v="1899-12-30T13:28:00"/>
    <s v="D"/>
    <s v="09:11 AM"/>
    <s v="Delayed"/>
    <s v="4 Hours 17 Minutes"/>
    <x v="1"/>
  </r>
  <r>
    <x v="822"/>
    <x v="67"/>
    <n v="26"/>
    <x v="1"/>
    <x v="8"/>
    <x v="2"/>
    <x v="2"/>
    <n v="53"/>
    <n v="98"/>
    <x v="0"/>
    <n v="15000"/>
    <n v="17700"/>
    <n v="0"/>
    <x v="1"/>
    <x v="0"/>
    <d v="2025-03-15T00:00:00"/>
    <d v="2025-05-14T00:00:00"/>
    <d v="1899-12-30T10:25:00"/>
    <d v="1899-12-30T14:44:00"/>
    <s v="D"/>
    <s v="10:25 AM"/>
    <s v="On Time"/>
    <s v="4 Hours 19 Minutes"/>
    <x v="0"/>
  </r>
  <r>
    <x v="823"/>
    <x v="228"/>
    <n v="25"/>
    <x v="0"/>
    <x v="2"/>
    <x v="3"/>
    <x v="3"/>
    <n v="63"/>
    <n v="65"/>
    <x v="3"/>
    <n v="10000"/>
    <n v="10030"/>
    <n v="0"/>
    <x v="1"/>
    <x v="0"/>
    <d v="2025-06-21T00:00:00"/>
    <d v="2025-12-18T00:00:00"/>
    <d v="1899-12-30T08:08:00"/>
    <d v="1899-12-30T11:45:00"/>
    <s v="C"/>
    <s v="08:08 AM"/>
    <s v="Delayed"/>
    <s v="3 Hours 37 Minutes"/>
    <x v="1"/>
  </r>
  <r>
    <x v="824"/>
    <x v="191"/>
    <n v="21"/>
    <x v="1"/>
    <x v="9"/>
    <x v="1"/>
    <x v="1"/>
    <n v="82"/>
    <n v="98"/>
    <x v="1"/>
    <n v="12000"/>
    <n v="12390"/>
    <n v="0"/>
    <x v="1"/>
    <x v="0"/>
    <d v="2025-08-14T00:00:00"/>
    <d v="2026-02-10T00:00:00"/>
    <d v="1899-12-30T10:47:00"/>
    <d v="1899-12-30T12:18:00"/>
    <s v="B"/>
    <s v="10:47 AM"/>
    <s v="Delayed"/>
    <s v="1 Hours 31 Minutes"/>
    <x v="0"/>
  </r>
  <r>
    <x v="825"/>
    <x v="6"/>
    <n v="20"/>
    <x v="0"/>
    <x v="5"/>
    <x v="1"/>
    <x v="1"/>
    <n v="71"/>
    <n v="88"/>
    <x v="3"/>
    <n v="12000"/>
    <n v="13570"/>
    <n v="0"/>
    <x v="1"/>
    <x v="0"/>
    <d v="2025-05-28T00:00:00"/>
    <d v="2025-08-26T00:00:00"/>
    <d v="1899-12-30T10:59:00"/>
    <d v="1899-12-30T14:51:00"/>
    <s v="C"/>
    <s v="10:59 AM"/>
    <s v="On Time"/>
    <s v="3 Hours 52 Minutes"/>
    <x v="0"/>
  </r>
  <r>
    <x v="826"/>
    <x v="223"/>
    <n v="18"/>
    <x v="1"/>
    <x v="10"/>
    <x v="3"/>
    <x v="3"/>
    <n v="99"/>
    <n v="84"/>
    <x v="2"/>
    <n v="10000"/>
    <n v="10030"/>
    <n v="0"/>
    <x v="1"/>
    <x v="0"/>
    <d v="2025-05-19T00:00:00"/>
    <d v="2025-06-18T00:00:00"/>
    <d v="1899-12-30T08:57:00"/>
    <d v="1899-12-30T11:42:00"/>
    <s v="A"/>
    <s v="08:57 AM"/>
    <s v="On Time"/>
    <s v="2 Hours 45 Minutes"/>
    <x v="1"/>
  </r>
  <r>
    <x v="827"/>
    <x v="151"/>
    <n v="23"/>
    <x v="1"/>
    <x v="8"/>
    <x v="3"/>
    <x v="3"/>
    <n v="95"/>
    <n v="67"/>
    <x v="2"/>
    <n v="10000"/>
    <n v="7800"/>
    <n v="4000"/>
    <x v="0"/>
    <x v="0"/>
    <d v="2025-01-15T00:00:00"/>
    <d v="2025-04-15T00:00:00"/>
    <d v="1899-12-30T10:19:00"/>
    <d v="1899-12-30T13:58:00"/>
    <s v="A"/>
    <s v="10:19 AM"/>
    <s v="On Time"/>
    <s v="3 Hours 39 Minutes"/>
    <x v="0"/>
  </r>
  <r>
    <x v="828"/>
    <x v="60"/>
    <n v="23"/>
    <x v="1"/>
    <x v="5"/>
    <x v="3"/>
    <x v="3"/>
    <n v="79"/>
    <n v="61"/>
    <x v="1"/>
    <n v="18000"/>
    <n v="16650"/>
    <n v="4000"/>
    <x v="0"/>
    <x v="0"/>
    <d v="2025-07-23T00:00:00"/>
    <d v="2026-01-19T00:00:00"/>
    <d v="1899-12-30T08:56:00"/>
    <d v="1899-12-30T12:51:00"/>
    <s v="B"/>
    <s v="08:56 AM"/>
    <s v="Delayed"/>
    <s v="3 Hours 55 Minutes"/>
    <x v="1"/>
  </r>
  <r>
    <x v="829"/>
    <x v="146"/>
    <n v="26"/>
    <x v="0"/>
    <x v="11"/>
    <x v="0"/>
    <x v="0"/>
    <n v="63"/>
    <n v="65"/>
    <x v="3"/>
    <n v="10000"/>
    <n v="7800"/>
    <n v="4000"/>
    <x v="0"/>
    <x v="1"/>
    <d v="2025-01-26T00:00:00"/>
    <d v="2025-04-26T00:00:00"/>
    <d v="1899-12-30T09:29:00"/>
    <d v="1899-12-30T13:07:00"/>
    <s v="C"/>
    <s v="09:29 AM"/>
    <s v="On Time"/>
    <s v="3 Hours 38 Minutes"/>
    <x v="1"/>
  </r>
  <r>
    <x v="830"/>
    <x v="3"/>
    <n v="24"/>
    <x v="1"/>
    <x v="6"/>
    <x v="2"/>
    <x v="2"/>
    <n v="80"/>
    <n v="73"/>
    <x v="1"/>
    <n v="20000"/>
    <n v="23010"/>
    <n v="0"/>
    <x v="1"/>
    <x v="0"/>
    <d v="2025-03-03T00:00:00"/>
    <d v="2025-08-30T00:00:00"/>
    <d v="1899-12-30T09:31:00"/>
    <d v="1899-12-30T10:42:00"/>
    <s v="B"/>
    <s v="09:31 AM"/>
    <s v="Delayed"/>
    <s v="1 Hours 11 Minutes"/>
    <x v="1"/>
  </r>
  <r>
    <x v="831"/>
    <x v="108"/>
    <n v="23"/>
    <x v="0"/>
    <x v="0"/>
    <x v="1"/>
    <x v="1"/>
    <n v="70"/>
    <n v="83"/>
    <x v="3"/>
    <n v="10000"/>
    <n v="10030"/>
    <n v="0"/>
    <x v="1"/>
    <x v="0"/>
    <d v="2025-09-20T00:00:00"/>
    <d v="2026-01-18T00:00:00"/>
    <d v="1899-12-30T08:20:00"/>
    <d v="1899-12-30T12:31:00"/>
    <s v="C"/>
    <s v="08:20 AM"/>
    <s v="Delayed"/>
    <s v="4 Hours 11 Minutes"/>
    <x v="1"/>
  </r>
  <r>
    <x v="832"/>
    <x v="213"/>
    <n v="23"/>
    <x v="1"/>
    <x v="2"/>
    <x v="5"/>
    <x v="5"/>
    <n v="86"/>
    <n v="100"/>
    <x v="1"/>
    <n v="15000"/>
    <n v="15110"/>
    <n v="2000"/>
    <x v="0"/>
    <x v="0"/>
    <d v="2025-09-15T00:00:00"/>
    <d v="2025-10-15T00:00:00"/>
    <d v="1899-12-30T11:00:00"/>
    <d v="1899-12-30T15:01:00"/>
    <s v="B"/>
    <s v="11:00 AM"/>
    <s v="On Time"/>
    <s v="4 Hours 1 Minutes"/>
    <x v="0"/>
  </r>
  <r>
    <x v="833"/>
    <x v="76"/>
    <n v="28"/>
    <x v="1"/>
    <x v="8"/>
    <x v="1"/>
    <x v="1"/>
    <n v="76"/>
    <n v="71"/>
    <x v="1"/>
    <n v="18000"/>
    <n v="21240"/>
    <n v="0"/>
    <x v="1"/>
    <x v="0"/>
    <d v="2025-09-29T00:00:00"/>
    <d v="2025-10-29T00:00:00"/>
    <d v="1899-12-30T11:00:00"/>
    <d v="1899-12-30T14:22:00"/>
    <s v="B"/>
    <s v="11:00 AM"/>
    <s v="On Time"/>
    <s v="3 Hours 22 Minutes"/>
    <x v="0"/>
  </r>
  <r>
    <x v="834"/>
    <x v="194"/>
    <n v="22"/>
    <x v="0"/>
    <x v="2"/>
    <x v="1"/>
    <x v="1"/>
    <n v="35"/>
    <n v="100"/>
    <x v="0"/>
    <n v="10000"/>
    <n v="7800"/>
    <n v="4000"/>
    <x v="0"/>
    <x v="0"/>
    <d v="2025-07-09T00:00:00"/>
    <d v="2026-01-05T00:00:00"/>
    <d v="1899-12-30T08:25:00"/>
    <d v="1899-12-30T12:17:00"/>
    <s v="D"/>
    <s v="08:25 AM"/>
    <s v="Delayed"/>
    <s v="3 Hours 52 Minutes"/>
    <x v="1"/>
  </r>
  <r>
    <x v="835"/>
    <x v="42"/>
    <n v="26"/>
    <x v="1"/>
    <x v="4"/>
    <x v="6"/>
    <x v="6"/>
    <n v="41"/>
    <n v="67"/>
    <x v="0"/>
    <n v="18000"/>
    <n v="18650"/>
    <n v="2000"/>
    <x v="0"/>
    <x v="0"/>
    <d v="2025-07-23T00:00:00"/>
    <d v="2025-11-20T00:00:00"/>
    <d v="1899-12-30T09:17:00"/>
    <d v="1899-12-30T12:21:00"/>
    <s v="D"/>
    <s v="09:17 AM"/>
    <s v="Delayed"/>
    <s v="3 Hours 4 Minutes"/>
    <x v="1"/>
  </r>
  <r>
    <x v="836"/>
    <x v="15"/>
    <n v="28"/>
    <x v="1"/>
    <x v="2"/>
    <x v="0"/>
    <x v="0"/>
    <n v="85"/>
    <n v="63"/>
    <x v="1"/>
    <n v="15000"/>
    <n v="12520"/>
    <n v="4000"/>
    <x v="0"/>
    <x v="1"/>
    <d v="2025-03-14T00:00:00"/>
    <d v="2025-09-10T00:00:00"/>
    <d v="1899-12-30T10:12:00"/>
    <d v="1899-12-30T12:35:00"/>
    <s v="B"/>
    <s v="10:12 AM"/>
    <s v="Delayed"/>
    <s v="2 Hours 23 Minutes"/>
    <x v="0"/>
  </r>
  <r>
    <x v="837"/>
    <x v="203"/>
    <n v="27"/>
    <x v="0"/>
    <x v="2"/>
    <x v="5"/>
    <x v="5"/>
    <n v="81"/>
    <n v="62"/>
    <x v="1"/>
    <n v="10000"/>
    <n v="9210"/>
    <n v="2000"/>
    <x v="0"/>
    <x v="0"/>
    <d v="2025-07-13T00:00:00"/>
    <d v="2025-10-11T00:00:00"/>
    <d v="1899-12-30T08:56:00"/>
    <d v="1899-12-30T11:28:00"/>
    <s v="B"/>
    <s v="08:56 AM"/>
    <s v="On Time"/>
    <s v="2 Hours 32 Minutes"/>
    <x v="1"/>
  </r>
  <r>
    <x v="838"/>
    <x v="75"/>
    <n v="25"/>
    <x v="1"/>
    <x v="10"/>
    <x v="6"/>
    <x v="6"/>
    <n v="86"/>
    <n v="61"/>
    <x v="1"/>
    <n v="15000"/>
    <n v="17110"/>
    <n v="0"/>
    <x v="1"/>
    <x v="0"/>
    <d v="2025-08-06T00:00:00"/>
    <d v="2026-02-02T00:00:00"/>
    <d v="1899-12-30T09:52:00"/>
    <d v="1899-12-30T13:34:00"/>
    <s v="B"/>
    <s v="09:52 AM"/>
    <s v="Delayed"/>
    <s v="3 Hours 42 Minutes"/>
    <x v="1"/>
  </r>
  <r>
    <x v="839"/>
    <x v="215"/>
    <n v="22"/>
    <x v="1"/>
    <x v="7"/>
    <x v="2"/>
    <x v="2"/>
    <n v="75"/>
    <n v="79"/>
    <x v="1"/>
    <n v="15000"/>
    <n v="13930"/>
    <n v="2000"/>
    <x v="0"/>
    <x v="0"/>
    <d v="2025-02-14T00:00:00"/>
    <d v="2025-04-15T00:00:00"/>
    <d v="1899-12-30T09:55:00"/>
    <d v="1899-12-30T12:05:00"/>
    <s v="B"/>
    <s v="09:55 AM"/>
    <s v="On Time"/>
    <s v="2 Hours 10 Minutes"/>
    <x v="1"/>
  </r>
  <r>
    <x v="840"/>
    <x v="140"/>
    <n v="25"/>
    <x v="0"/>
    <x v="2"/>
    <x v="4"/>
    <x v="4"/>
    <n v="100"/>
    <n v="77"/>
    <x v="2"/>
    <n v="10000"/>
    <n v="10620"/>
    <n v="0"/>
    <x v="1"/>
    <x v="0"/>
    <d v="2025-05-20T00:00:00"/>
    <d v="2025-07-19T00:00:00"/>
    <d v="1899-12-30T09:13:00"/>
    <d v="1899-12-30T10:15:00"/>
    <s v="A"/>
    <s v="09:13 AM"/>
    <s v="On Time"/>
    <s v="1 Hours 2 Minutes"/>
    <x v="1"/>
  </r>
  <r>
    <x v="841"/>
    <x v="107"/>
    <n v="27"/>
    <x v="1"/>
    <x v="1"/>
    <x v="4"/>
    <x v="4"/>
    <n v="89"/>
    <n v="91"/>
    <x v="1"/>
    <n v="12000"/>
    <n v="9570"/>
    <n v="4000"/>
    <x v="0"/>
    <x v="0"/>
    <d v="2025-12-21T00:00:00"/>
    <d v="2026-04-20T00:00:00"/>
    <d v="1899-12-30T08:32:00"/>
    <d v="1899-12-30T10:39:00"/>
    <s v="B"/>
    <s v="08:32 AM"/>
    <s v="Delayed"/>
    <s v="2 Hours 7 Minutes"/>
    <x v="1"/>
  </r>
  <r>
    <x v="842"/>
    <x v="121"/>
    <n v="23"/>
    <x v="0"/>
    <x v="3"/>
    <x v="5"/>
    <x v="5"/>
    <n v="75"/>
    <n v="79"/>
    <x v="1"/>
    <n v="18000"/>
    <n v="18060"/>
    <n v="2000"/>
    <x v="0"/>
    <x v="0"/>
    <d v="2025-03-09T00:00:00"/>
    <d v="2025-09-05T00:00:00"/>
    <d v="1899-12-30T09:44:00"/>
    <d v="1899-12-30T14:38:00"/>
    <s v="B"/>
    <s v="09:44 AM"/>
    <s v="Delayed"/>
    <s v="4 Hours 54 Minutes"/>
    <x v="1"/>
  </r>
  <r>
    <x v="843"/>
    <x v="96"/>
    <n v="28"/>
    <x v="1"/>
    <x v="6"/>
    <x v="7"/>
    <x v="7"/>
    <n v="75"/>
    <n v="76"/>
    <x v="1"/>
    <n v="10000"/>
    <n v="8030"/>
    <n v="2000"/>
    <x v="0"/>
    <x v="0"/>
    <d v="2025-02-11T00:00:00"/>
    <d v="2025-06-11T00:00:00"/>
    <d v="1899-12-30T08:17:00"/>
    <d v="1899-12-30T09:42:00"/>
    <s v="B"/>
    <s v="08:17 AM"/>
    <s v="Delayed"/>
    <s v="1 Hours 25 Minutes"/>
    <x v="1"/>
  </r>
  <r>
    <x v="844"/>
    <x v="129"/>
    <n v="20"/>
    <x v="1"/>
    <x v="0"/>
    <x v="0"/>
    <x v="0"/>
    <n v="81"/>
    <n v="84"/>
    <x v="1"/>
    <n v="18000"/>
    <n v="18060"/>
    <n v="2000"/>
    <x v="0"/>
    <x v="0"/>
    <d v="2025-05-26T00:00:00"/>
    <d v="2025-07-25T00:00:00"/>
    <d v="1899-12-30T08:20:00"/>
    <d v="1899-12-30T09:28:00"/>
    <s v="B"/>
    <s v="08:20 AM"/>
    <s v="On Time"/>
    <s v="1 Hours 8 Minutes"/>
    <x v="1"/>
  </r>
  <r>
    <x v="845"/>
    <x v="130"/>
    <n v="27"/>
    <x v="1"/>
    <x v="5"/>
    <x v="3"/>
    <x v="3"/>
    <n v="71"/>
    <n v="78"/>
    <x v="3"/>
    <n v="20000"/>
    <n v="19600"/>
    <n v="4000"/>
    <x v="0"/>
    <x v="0"/>
    <d v="2025-01-20T00:00:00"/>
    <d v="2025-04-20T00:00:00"/>
    <d v="1899-12-30T10:11:00"/>
    <d v="1899-12-30T14:16:00"/>
    <s v="C"/>
    <s v="10:11 AM"/>
    <s v="On Time"/>
    <s v="4 Hours 5 Minutes"/>
    <x v="0"/>
  </r>
  <r>
    <x v="846"/>
    <x v="194"/>
    <n v="25"/>
    <x v="1"/>
    <x v="7"/>
    <x v="0"/>
    <x v="0"/>
    <n v="86"/>
    <n v="96"/>
    <x v="1"/>
    <n v="15000"/>
    <n v="15930"/>
    <n v="0"/>
    <x v="1"/>
    <x v="0"/>
    <d v="2025-05-21T00:00:00"/>
    <d v="2025-08-19T00:00:00"/>
    <d v="1899-12-30T08:23:00"/>
    <d v="1899-12-30T10:15:00"/>
    <s v="B"/>
    <s v="08:23 AM"/>
    <s v="On Time"/>
    <s v="1 Hours 52 Minutes"/>
    <x v="1"/>
  </r>
  <r>
    <x v="847"/>
    <x v="165"/>
    <n v="25"/>
    <x v="0"/>
    <x v="2"/>
    <x v="1"/>
    <x v="1"/>
    <n v="62"/>
    <n v="68"/>
    <x v="3"/>
    <n v="20000"/>
    <n v="18420"/>
    <n v="4000"/>
    <x v="0"/>
    <x v="1"/>
    <d v="2025-10-16T00:00:00"/>
    <d v="2026-01-14T00:00:00"/>
    <d v="1899-12-30T09:40:00"/>
    <d v="1899-12-30T11:26:00"/>
    <s v="C"/>
    <s v="09:40 AM"/>
    <s v="On Time"/>
    <s v="1 Hours 46 Minutes"/>
    <x v="1"/>
  </r>
  <r>
    <x v="848"/>
    <x v="8"/>
    <n v="28"/>
    <x v="0"/>
    <x v="11"/>
    <x v="4"/>
    <x v="4"/>
    <n v="88"/>
    <n v="76"/>
    <x v="1"/>
    <n v="18000"/>
    <n v="17470"/>
    <n v="2000"/>
    <x v="0"/>
    <x v="0"/>
    <d v="2025-04-09T00:00:00"/>
    <d v="2025-05-09T00:00:00"/>
    <d v="1899-12-30T08:21:00"/>
    <d v="1899-12-30T12:51:00"/>
    <s v="B"/>
    <s v="08:21 AM"/>
    <s v="On Time"/>
    <s v="4 Hours 30 Minutes"/>
    <x v="1"/>
  </r>
  <r>
    <x v="849"/>
    <x v="142"/>
    <n v="27"/>
    <x v="1"/>
    <x v="5"/>
    <x v="7"/>
    <x v="7"/>
    <n v="82"/>
    <n v="89"/>
    <x v="1"/>
    <n v="20000"/>
    <n v="17830"/>
    <n v="4000"/>
    <x v="0"/>
    <x v="0"/>
    <d v="2025-06-28T00:00:00"/>
    <d v="2025-10-26T00:00:00"/>
    <d v="1899-12-30T10:19:00"/>
    <d v="1899-12-30T13:27:00"/>
    <s v="B"/>
    <s v="10:19 AM"/>
    <s v="Delayed"/>
    <s v="3 Hours 8 Minutes"/>
    <x v="0"/>
  </r>
  <r>
    <x v="850"/>
    <x v="207"/>
    <n v="18"/>
    <x v="0"/>
    <x v="3"/>
    <x v="3"/>
    <x v="3"/>
    <n v="40"/>
    <n v="73"/>
    <x v="0"/>
    <n v="15000"/>
    <n v="15930"/>
    <n v="0"/>
    <x v="1"/>
    <x v="0"/>
    <d v="2025-08-18T00:00:00"/>
    <d v="2026-02-14T00:00:00"/>
    <d v="1899-12-30T08:37:00"/>
    <d v="1899-12-30T13:02:00"/>
    <s v="D"/>
    <s v="08:37 AM"/>
    <s v="Delayed"/>
    <s v="4 Hours 25 Minutes"/>
    <x v="1"/>
  </r>
  <r>
    <x v="851"/>
    <x v="205"/>
    <n v="21"/>
    <x v="1"/>
    <x v="10"/>
    <x v="3"/>
    <x v="3"/>
    <n v="61"/>
    <n v="82"/>
    <x v="3"/>
    <n v="20000"/>
    <n v="21600"/>
    <n v="2000"/>
    <x v="0"/>
    <x v="0"/>
    <d v="2025-04-21T00:00:00"/>
    <d v="2025-08-19T00:00:00"/>
    <d v="1899-12-30T08:56:00"/>
    <d v="1899-12-30T13:19:00"/>
    <s v="C"/>
    <s v="08:56 AM"/>
    <s v="Delayed"/>
    <s v="4 Hours 23 Minutes"/>
    <x v="1"/>
  </r>
  <r>
    <x v="852"/>
    <x v="44"/>
    <n v="21"/>
    <x v="0"/>
    <x v="8"/>
    <x v="6"/>
    <x v="6"/>
    <n v="81"/>
    <n v="94"/>
    <x v="1"/>
    <n v="10000"/>
    <n v="10030"/>
    <n v="0"/>
    <x v="1"/>
    <x v="0"/>
    <d v="2025-08-19T00:00:00"/>
    <d v="2025-09-18T00:00:00"/>
    <d v="1899-12-30T08:29:00"/>
    <d v="1899-12-30T10:38:00"/>
    <s v="B"/>
    <s v="08:29 AM"/>
    <s v="On Time"/>
    <s v="2 Hours 9 Minutes"/>
    <x v="1"/>
  </r>
  <r>
    <x v="853"/>
    <x v="215"/>
    <n v="21"/>
    <x v="0"/>
    <x v="9"/>
    <x v="2"/>
    <x v="2"/>
    <n v="44"/>
    <n v="95"/>
    <x v="0"/>
    <n v="12000"/>
    <n v="12160"/>
    <n v="2000"/>
    <x v="0"/>
    <x v="0"/>
    <d v="2025-07-29T00:00:00"/>
    <d v="2026-01-25T00:00:00"/>
    <d v="1899-12-30T09:58:00"/>
    <d v="1899-12-30T14:06:00"/>
    <s v="D"/>
    <s v="09:58 AM"/>
    <s v="Delayed"/>
    <s v="4 Hours 8 Minutes"/>
    <x v="1"/>
  </r>
  <r>
    <x v="854"/>
    <x v="206"/>
    <n v="28"/>
    <x v="0"/>
    <x v="3"/>
    <x v="0"/>
    <x v="0"/>
    <n v="75"/>
    <n v="84"/>
    <x v="1"/>
    <n v="12000"/>
    <n v="10160"/>
    <n v="4000"/>
    <x v="0"/>
    <x v="0"/>
    <d v="2025-10-09T00:00:00"/>
    <d v="2026-01-07T00:00:00"/>
    <d v="1899-12-30T09:52:00"/>
    <d v="1899-12-30T11:53:00"/>
    <s v="B"/>
    <s v="09:52 AM"/>
    <s v="On Time"/>
    <s v="2 Hours 1 Minutes"/>
    <x v="1"/>
  </r>
  <r>
    <x v="855"/>
    <x v="163"/>
    <n v="22"/>
    <x v="1"/>
    <x v="3"/>
    <x v="5"/>
    <x v="5"/>
    <n v="87"/>
    <n v="82"/>
    <x v="1"/>
    <n v="18000"/>
    <n v="18650"/>
    <n v="2000"/>
    <x v="0"/>
    <x v="0"/>
    <d v="2025-07-10T00:00:00"/>
    <d v="2025-09-08T00:00:00"/>
    <d v="1899-12-30T09:12:00"/>
    <d v="1899-12-30T10:35:00"/>
    <s v="B"/>
    <s v="09:12 AM"/>
    <s v="On Time"/>
    <s v="1 Hours 23 Minutes"/>
    <x v="1"/>
  </r>
  <r>
    <x v="856"/>
    <x v="232"/>
    <n v="26"/>
    <x v="0"/>
    <x v="7"/>
    <x v="0"/>
    <x v="0"/>
    <n v="40"/>
    <n v="88"/>
    <x v="0"/>
    <n v="15000"/>
    <n v="16520"/>
    <n v="0"/>
    <x v="1"/>
    <x v="0"/>
    <d v="2025-07-30T00:00:00"/>
    <d v="2025-09-28T00:00:00"/>
    <d v="1899-12-30T09:50:00"/>
    <d v="1899-12-30T14:43:00"/>
    <s v="D"/>
    <s v="09:50 AM"/>
    <s v="On Time"/>
    <s v="4 Hours 53 Minutes"/>
    <x v="1"/>
  </r>
  <r>
    <x v="857"/>
    <x v="226"/>
    <n v="24"/>
    <x v="1"/>
    <x v="5"/>
    <x v="3"/>
    <x v="3"/>
    <n v="90"/>
    <n v="86"/>
    <x v="2"/>
    <n v="20000"/>
    <n v="17830"/>
    <n v="4000"/>
    <x v="0"/>
    <x v="0"/>
    <d v="2025-03-15T00:00:00"/>
    <d v="2025-09-11T00:00:00"/>
    <d v="1899-12-30T10:17:00"/>
    <d v="1899-12-30T13:09:00"/>
    <s v="A"/>
    <s v="10:17 AM"/>
    <s v="Delayed"/>
    <s v="2 Hours 52 Minutes"/>
    <x v="0"/>
  </r>
  <r>
    <x v="858"/>
    <x v="48"/>
    <n v="24"/>
    <x v="1"/>
    <x v="10"/>
    <x v="2"/>
    <x v="2"/>
    <n v="87"/>
    <n v="75"/>
    <x v="1"/>
    <n v="12000"/>
    <n v="13570"/>
    <n v="0"/>
    <x v="1"/>
    <x v="0"/>
    <d v="2025-12-08T00:00:00"/>
    <d v="2026-02-06T00:00:00"/>
    <d v="1899-12-30T10:14:00"/>
    <d v="1899-12-30T12:01:00"/>
    <s v="B"/>
    <s v="10:14 AM"/>
    <s v="On Time"/>
    <s v="1 Hours 47 Minutes"/>
    <x v="0"/>
  </r>
  <r>
    <x v="859"/>
    <x v="163"/>
    <n v="27"/>
    <x v="1"/>
    <x v="6"/>
    <x v="5"/>
    <x v="5"/>
    <n v="51"/>
    <n v="92"/>
    <x v="0"/>
    <n v="12000"/>
    <n v="9570"/>
    <n v="4000"/>
    <x v="0"/>
    <x v="0"/>
    <d v="2025-02-08T00:00:00"/>
    <d v="2025-03-10T00:00:00"/>
    <d v="1899-12-30T10:52:00"/>
    <d v="1899-12-30T12:37:00"/>
    <s v="D"/>
    <s v="10:52 AM"/>
    <s v="On Time"/>
    <s v="1 Hours 45 Minutes"/>
    <x v="0"/>
  </r>
  <r>
    <x v="860"/>
    <x v="42"/>
    <n v="27"/>
    <x v="0"/>
    <x v="7"/>
    <x v="0"/>
    <x v="0"/>
    <n v="60"/>
    <n v="75"/>
    <x v="3"/>
    <n v="12000"/>
    <n v="8980"/>
    <n v="4000"/>
    <x v="0"/>
    <x v="0"/>
    <d v="2025-02-27T00:00:00"/>
    <d v="2025-04-28T00:00:00"/>
    <d v="1899-12-30T10:06:00"/>
    <d v="1899-12-30T14:32:00"/>
    <s v="C"/>
    <s v="10:06 AM"/>
    <s v="On Time"/>
    <s v="4 Hours 26 Minutes"/>
    <x v="0"/>
  </r>
  <r>
    <x v="861"/>
    <x v="95"/>
    <n v="21"/>
    <x v="1"/>
    <x v="8"/>
    <x v="3"/>
    <x v="3"/>
    <n v="40"/>
    <n v="69"/>
    <x v="0"/>
    <n v="18000"/>
    <n v="15470"/>
    <n v="4000"/>
    <x v="0"/>
    <x v="0"/>
    <d v="2025-05-05T00:00:00"/>
    <d v="2025-11-01T00:00:00"/>
    <d v="1899-12-30T10:30:00"/>
    <d v="1899-12-30T12:49:00"/>
    <s v="D"/>
    <s v="10:30 AM"/>
    <s v="Delayed"/>
    <s v="2 Hours 19 Minutes"/>
    <x v="0"/>
  </r>
  <r>
    <x v="862"/>
    <x v="84"/>
    <n v="23"/>
    <x v="0"/>
    <x v="10"/>
    <x v="1"/>
    <x v="1"/>
    <n v="81"/>
    <n v="100"/>
    <x v="1"/>
    <n v="10000"/>
    <n v="9210"/>
    <n v="2000"/>
    <x v="0"/>
    <x v="0"/>
    <d v="2025-02-06T00:00:00"/>
    <d v="2025-04-07T00:00:00"/>
    <d v="1899-12-30T09:01:00"/>
    <d v="1899-12-30T10:23:00"/>
    <s v="B"/>
    <s v="09:01 AM"/>
    <s v="On Time"/>
    <s v="1 Hours 22 Minutes"/>
    <x v="1"/>
  </r>
  <r>
    <x v="863"/>
    <x v="152"/>
    <n v="26"/>
    <x v="0"/>
    <x v="9"/>
    <x v="3"/>
    <x v="3"/>
    <n v="96"/>
    <n v="74"/>
    <x v="2"/>
    <n v="20000"/>
    <n v="18420"/>
    <n v="4000"/>
    <x v="0"/>
    <x v="0"/>
    <d v="2025-03-26T00:00:00"/>
    <d v="2025-05-25T00:00:00"/>
    <d v="1899-12-30T09:50:00"/>
    <d v="1899-12-30T11:36:00"/>
    <s v="A"/>
    <s v="09:50 AM"/>
    <s v="On Time"/>
    <s v="1 Hours 46 Minutes"/>
    <x v="1"/>
  </r>
  <r>
    <x v="864"/>
    <x v="74"/>
    <n v="22"/>
    <x v="1"/>
    <x v="10"/>
    <x v="0"/>
    <x v="0"/>
    <n v="94"/>
    <n v="60"/>
    <x v="2"/>
    <n v="12000"/>
    <n v="8390"/>
    <n v="4000"/>
    <x v="0"/>
    <x v="0"/>
    <d v="2025-02-05T00:00:00"/>
    <d v="2025-03-07T00:00:00"/>
    <d v="1899-12-30T08:15:00"/>
    <d v="1899-12-30T10:51:00"/>
    <s v="A"/>
    <s v="08:15 AM"/>
    <s v="On Time"/>
    <s v="2 Hours 36 Minutes"/>
    <x v="1"/>
  </r>
  <r>
    <x v="865"/>
    <x v="197"/>
    <n v="23"/>
    <x v="1"/>
    <x v="11"/>
    <x v="5"/>
    <x v="5"/>
    <n v="77"/>
    <n v="63"/>
    <x v="1"/>
    <n v="10000"/>
    <n v="11210"/>
    <n v="0"/>
    <x v="1"/>
    <x v="1"/>
    <d v="2025-05-28T00:00:00"/>
    <d v="2025-06-27T00:00:00"/>
    <d v="1899-12-30T09:45:00"/>
    <d v="1899-12-30T13:39:00"/>
    <s v="B"/>
    <s v="09:45 AM"/>
    <s v="On Time"/>
    <s v="3 Hours 54 Minutes"/>
    <x v="1"/>
  </r>
  <r>
    <x v="866"/>
    <x v="69"/>
    <n v="26"/>
    <x v="1"/>
    <x v="3"/>
    <x v="5"/>
    <x v="5"/>
    <n v="45"/>
    <n v="94"/>
    <x v="0"/>
    <n v="12000"/>
    <n v="12390"/>
    <n v="0"/>
    <x v="1"/>
    <x v="0"/>
    <d v="2025-12-26T00:00:00"/>
    <d v="2026-01-25T00:00:00"/>
    <d v="1899-12-30T08:15:00"/>
    <d v="1899-12-30T10:06:00"/>
    <s v="D"/>
    <s v="08:15 AM"/>
    <s v="On Time"/>
    <s v="1 Hours 51 Minutes"/>
    <x v="1"/>
  </r>
  <r>
    <x v="867"/>
    <x v="199"/>
    <n v="19"/>
    <x v="1"/>
    <x v="10"/>
    <x v="5"/>
    <x v="5"/>
    <n v="89"/>
    <n v="61"/>
    <x v="1"/>
    <n v="15000"/>
    <n v="15930"/>
    <n v="0"/>
    <x v="1"/>
    <x v="1"/>
    <d v="2025-05-19T00:00:00"/>
    <d v="2025-08-17T00:00:00"/>
    <d v="1899-12-30T09:48:00"/>
    <d v="1899-12-30T11:23:00"/>
    <s v="B"/>
    <s v="09:48 AM"/>
    <s v="On Time"/>
    <s v="1 Hours 35 Minutes"/>
    <x v="1"/>
  </r>
  <r>
    <x v="868"/>
    <x v="146"/>
    <n v="27"/>
    <x v="0"/>
    <x v="8"/>
    <x v="4"/>
    <x v="4"/>
    <n v="69"/>
    <n v="91"/>
    <x v="3"/>
    <n v="20000"/>
    <n v="22420"/>
    <n v="0"/>
    <x v="1"/>
    <x v="0"/>
    <d v="2025-01-11T00:00:00"/>
    <d v="2025-07-10T00:00:00"/>
    <d v="1899-12-30T08:34:00"/>
    <d v="1899-12-30T12:40:00"/>
    <s v="C"/>
    <s v="08:34 AM"/>
    <s v="Delayed"/>
    <s v="4 Hours 6 Minutes"/>
    <x v="1"/>
  </r>
  <r>
    <x v="869"/>
    <x v="88"/>
    <n v="25"/>
    <x v="1"/>
    <x v="7"/>
    <x v="3"/>
    <x v="3"/>
    <n v="62"/>
    <n v="93"/>
    <x v="3"/>
    <n v="12000"/>
    <n v="11570"/>
    <n v="2000"/>
    <x v="0"/>
    <x v="0"/>
    <d v="2025-11-12T00:00:00"/>
    <d v="2026-05-11T00:00:00"/>
    <d v="1899-12-30T08:06:00"/>
    <d v="1899-12-30T10:54:00"/>
    <s v="C"/>
    <s v="08:06 AM"/>
    <s v="Delayed"/>
    <s v="2 Hours 48 Minutes"/>
    <x v="1"/>
  </r>
  <r>
    <x v="870"/>
    <x v="100"/>
    <n v="28"/>
    <x v="1"/>
    <x v="4"/>
    <x v="1"/>
    <x v="1"/>
    <n v="62"/>
    <n v="60"/>
    <x v="3"/>
    <n v="15000"/>
    <n v="13700"/>
    <n v="4000"/>
    <x v="0"/>
    <x v="1"/>
    <d v="2025-02-19T00:00:00"/>
    <d v="2025-08-18T00:00:00"/>
    <d v="1899-12-30T08:53:00"/>
    <d v="1899-12-30T09:57:00"/>
    <s v="C"/>
    <s v="08:53 AM"/>
    <s v="Delayed"/>
    <s v="1 Hours 4 Minutes"/>
    <x v="1"/>
  </r>
  <r>
    <x v="871"/>
    <x v="54"/>
    <n v="22"/>
    <x v="0"/>
    <x v="11"/>
    <x v="5"/>
    <x v="5"/>
    <n v="97"/>
    <n v="96"/>
    <x v="2"/>
    <n v="15000"/>
    <n v="11930"/>
    <n v="4000"/>
    <x v="0"/>
    <x v="0"/>
    <d v="2025-09-01T00:00:00"/>
    <d v="2026-02-28T00:00:00"/>
    <d v="1899-12-30T09:49:00"/>
    <d v="1899-12-30T14:06:00"/>
    <s v="A"/>
    <s v="09:49 AM"/>
    <s v="Delayed"/>
    <s v="4 Hours 17 Minutes"/>
    <x v="1"/>
  </r>
  <r>
    <x v="872"/>
    <x v="44"/>
    <n v="28"/>
    <x v="0"/>
    <x v="2"/>
    <x v="6"/>
    <x v="6"/>
    <n v="37"/>
    <n v="68"/>
    <x v="0"/>
    <n v="18000"/>
    <n v="19240"/>
    <n v="2000"/>
    <x v="0"/>
    <x v="1"/>
    <d v="2025-04-12T00:00:00"/>
    <d v="2025-08-10T00:00:00"/>
    <d v="1899-12-30T08:55:00"/>
    <d v="1899-12-30T13:38:00"/>
    <s v="D"/>
    <s v="08:55 AM"/>
    <s v="Delayed"/>
    <s v="4 Hours 43 Minutes"/>
    <x v="1"/>
  </r>
  <r>
    <x v="873"/>
    <x v="230"/>
    <n v="18"/>
    <x v="0"/>
    <x v="4"/>
    <x v="4"/>
    <x v="4"/>
    <n v="48"/>
    <n v="61"/>
    <x v="0"/>
    <n v="12000"/>
    <n v="10160"/>
    <n v="4000"/>
    <x v="0"/>
    <x v="0"/>
    <d v="2025-03-20T00:00:00"/>
    <d v="2025-04-19T00:00:00"/>
    <d v="1899-12-30T10:46:00"/>
    <d v="1899-12-30T14:36:00"/>
    <s v="D"/>
    <s v="10:46 AM"/>
    <s v="On Time"/>
    <s v="3 Hours 50 Minutes"/>
    <x v="0"/>
  </r>
  <r>
    <x v="874"/>
    <x v="115"/>
    <n v="20"/>
    <x v="1"/>
    <x v="11"/>
    <x v="4"/>
    <x v="4"/>
    <n v="73"/>
    <n v="74"/>
    <x v="3"/>
    <n v="18000"/>
    <n v="17240"/>
    <n v="4000"/>
    <x v="0"/>
    <x v="0"/>
    <d v="2025-05-06T00:00:00"/>
    <d v="2025-11-02T00:00:00"/>
    <d v="1899-12-30T09:16:00"/>
    <d v="1899-12-30T12:25:00"/>
    <s v="C"/>
    <s v="09:16 AM"/>
    <s v="Delayed"/>
    <s v="3 Hours 9 Minutes"/>
    <x v="1"/>
  </r>
  <r>
    <x v="875"/>
    <x v="178"/>
    <n v="21"/>
    <x v="0"/>
    <x v="1"/>
    <x v="3"/>
    <x v="3"/>
    <n v="59"/>
    <n v="65"/>
    <x v="0"/>
    <n v="18000"/>
    <n v="20060"/>
    <n v="0"/>
    <x v="1"/>
    <x v="0"/>
    <d v="2025-02-23T00:00:00"/>
    <d v="2025-04-24T00:00:00"/>
    <d v="1899-12-30T08:15:00"/>
    <d v="1899-12-30T10:20:00"/>
    <s v="D"/>
    <s v="08:15 AM"/>
    <s v="On Time"/>
    <s v="2 Hours 5 Minutes"/>
    <x v="1"/>
  </r>
  <r>
    <x v="876"/>
    <x v="200"/>
    <n v="21"/>
    <x v="0"/>
    <x v="3"/>
    <x v="1"/>
    <x v="1"/>
    <n v="64"/>
    <n v="88"/>
    <x v="3"/>
    <n v="15000"/>
    <n v="15110"/>
    <n v="2000"/>
    <x v="0"/>
    <x v="0"/>
    <d v="2025-07-05T00:00:00"/>
    <d v="2025-08-04T00:00:00"/>
    <d v="1899-12-30T10:16:00"/>
    <d v="1899-12-30T12:46:00"/>
    <s v="C"/>
    <s v="10:16 AM"/>
    <s v="On Time"/>
    <s v="2 Hours 30 Minutes"/>
    <x v="0"/>
  </r>
  <r>
    <x v="877"/>
    <x v="46"/>
    <n v="23"/>
    <x v="0"/>
    <x v="1"/>
    <x v="5"/>
    <x v="5"/>
    <n v="67"/>
    <n v="89"/>
    <x v="3"/>
    <n v="10000"/>
    <n v="8620"/>
    <n v="2000"/>
    <x v="0"/>
    <x v="0"/>
    <d v="2025-05-15T00:00:00"/>
    <d v="2025-06-14T00:00:00"/>
    <d v="1899-12-30T10:17:00"/>
    <d v="1899-12-30T11:24:00"/>
    <s v="C"/>
    <s v="10:17 AM"/>
    <s v="On Time"/>
    <s v="1 Hours 7 Minutes"/>
    <x v="0"/>
  </r>
  <r>
    <x v="878"/>
    <x v="32"/>
    <n v="18"/>
    <x v="0"/>
    <x v="0"/>
    <x v="6"/>
    <x v="6"/>
    <n v="50"/>
    <n v="79"/>
    <x v="0"/>
    <n v="12000"/>
    <n v="13570"/>
    <n v="0"/>
    <x v="1"/>
    <x v="0"/>
    <d v="2025-01-28T00:00:00"/>
    <d v="2025-04-28T00:00:00"/>
    <d v="1899-12-30T10:59:00"/>
    <d v="1899-12-30T13:01:00"/>
    <s v="D"/>
    <s v="10:59 AM"/>
    <s v="On Time"/>
    <s v="2 Hours 2 Minutes"/>
    <x v="0"/>
  </r>
  <r>
    <x v="879"/>
    <x v="31"/>
    <n v="19"/>
    <x v="1"/>
    <x v="3"/>
    <x v="6"/>
    <x v="6"/>
    <n v="68"/>
    <n v="97"/>
    <x v="3"/>
    <n v="20000"/>
    <n v="22420"/>
    <n v="0"/>
    <x v="1"/>
    <x v="0"/>
    <d v="2025-01-13T00:00:00"/>
    <d v="2025-02-12T00:00:00"/>
    <d v="1899-12-30T09:02:00"/>
    <d v="1899-12-30T12:10:00"/>
    <s v="C"/>
    <s v="09:02 AM"/>
    <s v="On Time"/>
    <s v="3 Hours 8 Minutes"/>
    <x v="1"/>
  </r>
  <r>
    <x v="880"/>
    <x v="231"/>
    <n v="20"/>
    <x v="1"/>
    <x v="9"/>
    <x v="3"/>
    <x v="3"/>
    <n v="70"/>
    <n v="93"/>
    <x v="3"/>
    <n v="15000"/>
    <n v="12520"/>
    <n v="4000"/>
    <x v="0"/>
    <x v="0"/>
    <d v="2025-08-25T00:00:00"/>
    <d v="2025-12-23T00:00:00"/>
    <d v="1899-12-30T09:52:00"/>
    <d v="1899-12-30T11:11:00"/>
    <s v="C"/>
    <s v="09:52 AM"/>
    <s v="Delayed"/>
    <s v="1 Hours 19 Minutes"/>
    <x v="1"/>
  </r>
  <r>
    <x v="881"/>
    <x v="118"/>
    <n v="21"/>
    <x v="0"/>
    <x v="2"/>
    <x v="0"/>
    <x v="0"/>
    <n v="62"/>
    <n v="85"/>
    <x v="3"/>
    <n v="20000"/>
    <n v="21010"/>
    <n v="2000"/>
    <x v="0"/>
    <x v="0"/>
    <d v="2025-10-21T00:00:00"/>
    <d v="2026-01-19T00:00:00"/>
    <d v="1899-12-30T10:28:00"/>
    <d v="1899-12-30T12:46:00"/>
    <s v="C"/>
    <s v="10:28 AM"/>
    <s v="On Time"/>
    <s v="2 Hours 18 Minutes"/>
    <x v="0"/>
  </r>
  <r>
    <x v="882"/>
    <x v="168"/>
    <n v="21"/>
    <x v="1"/>
    <x v="4"/>
    <x v="7"/>
    <x v="7"/>
    <n v="97"/>
    <n v="81"/>
    <x v="2"/>
    <n v="15000"/>
    <n v="13700"/>
    <n v="4000"/>
    <x v="0"/>
    <x v="0"/>
    <d v="2025-08-27T00:00:00"/>
    <d v="2026-02-23T00:00:00"/>
    <d v="1899-12-30T08:50:00"/>
    <d v="1899-12-30T11:04:00"/>
    <s v="A"/>
    <s v="08:50 AM"/>
    <s v="Delayed"/>
    <s v="2 Hours 14 Minutes"/>
    <x v="1"/>
  </r>
  <r>
    <x v="883"/>
    <x v="201"/>
    <n v="26"/>
    <x v="1"/>
    <x v="8"/>
    <x v="2"/>
    <x v="2"/>
    <n v="77"/>
    <n v="87"/>
    <x v="1"/>
    <n v="18000"/>
    <n v="16650"/>
    <n v="4000"/>
    <x v="0"/>
    <x v="0"/>
    <d v="2025-05-29T00:00:00"/>
    <d v="2025-11-25T00:00:00"/>
    <d v="1899-12-30T10:36:00"/>
    <d v="1899-12-30T13:18:00"/>
    <s v="B"/>
    <s v="10:36 AM"/>
    <s v="Delayed"/>
    <s v="2 Hours 42 Minutes"/>
    <x v="0"/>
  </r>
  <r>
    <x v="884"/>
    <x v="95"/>
    <n v="23"/>
    <x v="1"/>
    <x v="11"/>
    <x v="2"/>
    <x v="2"/>
    <n v="84"/>
    <n v="69"/>
    <x v="1"/>
    <n v="18000"/>
    <n v="18650"/>
    <n v="2000"/>
    <x v="0"/>
    <x v="1"/>
    <d v="2025-02-26T00:00:00"/>
    <d v="2025-06-26T00:00:00"/>
    <d v="1899-12-30T10:43:00"/>
    <d v="1899-12-30T13:55:00"/>
    <s v="B"/>
    <s v="10:43 AM"/>
    <s v="Delayed"/>
    <s v="3 Hours 12 Minutes"/>
    <x v="0"/>
  </r>
  <r>
    <x v="885"/>
    <x v="157"/>
    <n v="18"/>
    <x v="0"/>
    <x v="3"/>
    <x v="7"/>
    <x v="7"/>
    <n v="82"/>
    <n v="85"/>
    <x v="1"/>
    <n v="10000"/>
    <n v="6620"/>
    <n v="4000"/>
    <x v="0"/>
    <x v="0"/>
    <d v="2025-07-03T00:00:00"/>
    <d v="2025-09-01T00:00:00"/>
    <d v="1899-12-30T10:26:00"/>
    <d v="1899-12-30T14:34:00"/>
    <s v="B"/>
    <s v="10:26 AM"/>
    <s v="On Time"/>
    <s v="4 Hours 8 Minutes"/>
    <x v="0"/>
  </r>
  <r>
    <x v="886"/>
    <x v="16"/>
    <n v="28"/>
    <x v="1"/>
    <x v="10"/>
    <x v="6"/>
    <x v="6"/>
    <n v="84"/>
    <n v="97"/>
    <x v="1"/>
    <n v="10000"/>
    <n v="8030"/>
    <n v="2000"/>
    <x v="0"/>
    <x v="0"/>
    <d v="2025-02-18T00:00:00"/>
    <d v="2025-05-19T00:00:00"/>
    <d v="1899-12-30T09:03:00"/>
    <d v="1899-12-30T12:25:00"/>
    <s v="B"/>
    <s v="09:03 AM"/>
    <s v="On Time"/>
    <s v="3 Hours 22 Minutes"/>
    <x v="1"/>
  </r>
  <r>
    <x v="887"/>
    <x v="95"/>
    <n v="18"/>
    <x v="1"/>
    <x v="2"/>
    <x v="4"/>
    <x v="4"/>
    <n v="36"/>
    <n v="89"/>
    <x v="0"/>
    <n v="20000"/>
    <n v="19830"/>
    <n v="2000"/>
    <x v="0"/>
    <x v="0"/>
    <d v="2025-11-09T00:00:00"/>
    <d v="2026-03-09T00:00:00"/>
    <d v="1899-12-30T10:54:00"/>
    <d v="1899-12-30T14:29:00"/>
    <s v="D"/>
    <s v="10:54 AM"/>
    <s v="Delayed"/>
    <s v="3 Hours 35 Minutes"/>
    <x v="0"/>
  </r>
  <r>
    <x v="888"/>
    <x v="56"/>
    <n v="20"/>
    <x v="0"/>
    <x v="8"/>
    <x v="2"/>
    <x v="2"/>
    <n v="98"/>
    <n v="81"/>
    <x v="2"/>
    <n v="20000"/>
    <n v="23010"/>
    <n v="0"/>
    <x v="1"/>
    <x v="0"/>
    <d v="2025-02-17T00:00:00"/>
    <d v="2025-08-16T00:00:00"/>
    <d v="1899-12-30T09:02:00"/>
    <d v="1899-12-30T10:52:00"/>
    <s v="A"/>
    <s v="09:02 AM"/>
    <s v="Delayed"/>
    <s v="1 Hours 50 Minutes"/>
    <x v="1"/>
  </r>
  <r>
    <x v="889"/>
    <x v="39"/>
    <n v="20"/>
    <x v="0"/>
    <x v="3"/>
    <x v="0"/>
    <x v="0"/>
    <n v="92"/>
    <n v="93"/>
    <x v="2"/>
    <n v="20000"/>
    <n v="21010"/>
    <n v="2000"/>
    <x v="0"/>
    <x v="0"/>
    <d v="2025-12-26T00:00:00"/>
    <d v="2026-02-24T00:00:00"/>
    <d v="1899-12-30T08:34:00"/>
    <d v="1899-12-30T13:03:00"/>
    <s v="A"/>
    <s v="08:34 AM"/>
    <s v="On Time"/>
    <s v="4 Hours 29 Minutes"/>
    <x v="1"/>
  </r>
  <r>
    <x v="890"/>
    <x v="233"/>
    <n v="27"/>
    <x v="0"/>
    <x v="10"/>
    <x v="5"/>
    <x v="5"/>
    <n v="67"/>
    <n v="94"/>
    <x v="3"/>
    <n v="20000"/>
    <n v="21600"/>
    <n v="2000"/>
    <x v="0"/>
    <x v="0"/>
    <d v="2025-12-13T00:00:00"/>
    <d v="2026-01-12T00:00:00"/>
    <d v="1899-12-30T10:16:00"/>
    <d v="1899-12-30T14:43:00"/>
    <s v="C"/>
    <s v="10:16 AM"/>
    <s v="On Time"/>
    <s v="4 Hours 27 Minutes"/>
    <x v="0"/>
  </r>
  <r>
    <x v="891"/>
    <x v="227"/>
    <n v="18"/>
    <x v="0"/>
    <x v="1"/>
    <x v="3"/>
    <x v="3"/>
    <n v="48"/>
    <n v="63"/>
    <x v="0"/>
    <n v="18000"/>
    <n v="19240"/>
    <n v="2000"/>
    <x v="0"/>
    <x v="0"/>
    <d v="2025-12-10T00:00:00"/>
    <d v="2026-06-08T00:00:00"/>
    <d v="1899-12-30T09:34:00"/>
    <d v="1899-12-30T14:00:00"/>
    <s v="D"/>
    <s v="09:34 AM"/>
    <s v="Delayed"/>
    <s v="4 Hours 26 Minutes"/>
    <x v="1"/>
  </r>
  <r>
    <x v="892"/>
    <x v="25"/>
    <n v="20"/>
    <x v="1"/>
    <x v="10"/>
    <x v="1"/>
    <x v="1"/>
    <n v="94"/>
    <n v="94"/>
    <x v="2"/>
    <n v="15000"/>
    <n v="11930"/>
    <n v="4000"/>
    <x v="0"/>
    <x v="0"/>
    <d v="2025-05-31T00:00:00"/>
    <d v="2025-11-27T00:00:00"/>
    <d v="1899-12-30T10:08:00"/>
    <d v="1899-12-30T15:01:00"/>
    <s v="A"/>
    <s v="10:08 AM"/>
    <s v="Delayed"/>
    <s v="4 Hours 53 Minutes"/>
    <x v="0"/>
  </r>
  <r>
    <x v="893"/>
    <x v="182"/>
    <n v="18"/>
    <x v="1"/>
    <x v="10"/>
    <x v="2"/>
    <x v="2"/>
    <n v="91"/>
    <n v="93"/>
    <x v="2"/>
    <n v="12000"/>
    <n v="9570"/>
    <n v="4000"/>
    <x v="0"/>
    <x v="0"/>
    <d v="2025-12-25T00:00:00"/>
    <d v="2026-06-23T00:00:00"/>
    <d v="1899-12-30T10:44:00"/>
    <d v="1899-12-30T12:10:00"/>
    <s v="A"/>
    <s v="10:44 AM"/>
    <s v="Delayed"/>
    <s v="1 Hours 26 Minutes"/>
    <x v="0"/>
  </r>
  <r>
    <x v="894"/>
    <x v="19"/>
    <n v="24"/>
    <x v="1"/>
    <x v="6"/>
    <x v="3"/>
    <x v="3"/>
    <n v="92"/>
    <n v="82"/>
    <x v="2"/>
    <n v="12000"/>
    <n v="12390"/>
    <n v="0"/>
    <x v="1"/>
    <x v="0"/>
    <d v="2025-06-14T00:00:00"/>
    <d v="2025-10-12T00:00:00"/>
    <d v="1899-12-30T10:57:00"/>
    <d v="1899-12-30T14:05:00"/>
    <s v="A"/>
    <s v="10:57 AM"/>
    <s v="Delayed"/>
    <s v="3 Hours 8 Minutes"/>
    <x v="0"/>
  </r>
  <r>
    <x v="895"/>
    <x v="168"/>
    <n v="23"/>
    <x v="0"/>
    <x v="4"/>
    <x v="5"/>
    <x v="5"/>
    <n v="50"/>
    <n v="68"/>
    <x v="0"/>
    <n v="20000"/>
    <n v="18420"/>
    <n v="4000"/>
    <x v="0"/>
    <x v="0"/>
    <d v="2025-03-10T00:00:00"/>
    <d v="2025-05-09T00:00:00"/>
    <d v="1899-12-30T11:00:00"/>
    <d v="1899-12-30T15:17:00"/>
    <s v="D"/>
    <s v="11:00 AM"/>
    <s v="On Time"/>
    <s v="4 Hours 17 Minutes"/>
    <x v="0"/>
  </r>
  <r>
    <x v="896"/>
    <x v="16"/>
    <n v="18"/>
    <x v="0"/>
    <x v="2"/>
    <x v="4"/>
    <x v="4"/>
    <n v="99"/>
    <n v="97"/>
    <x v="2"/>
    <n v="10000"/>
    <n v="6030"/>
    <n v="4000"/>
    <x v="0"/>
    <x v="0"/>
    <d v="2025-11-15T00:00:00"/>
    <d v="2026-02-13T00:00:00"/>
    <d v="1899-12-30T08:26:00"/>
    <d v="1899-12-30T12:06:00"/>
    <s v="A"/>
    <s v="08:26 AM"/>
    <s v="On Time"/>
    <s v="3 Hours 40 Minutes"/>
    <x v="1"/>
  </r>
  <r>
    <x v="897"/>
    <x v="83"/>
    <n v="26"/>
    <x v="1"/>
    <x v="9"/>
    <x v="3"/>
    <x v="3"/>
    <n v="90"/>
    <n v="63"/>
    <x v="2"/>
    <n v="10000"/>
    <n v="10030"/>
    <n v="0"/>
    <x v="1"/>
    <x v="0"/>
    <d v="2025-04-09T00:00:00"/>
    <d v="2025-05-09T00:00:00"/>
    <d v="1899-12-30T09:47:00"/>
    <d v="1899-12-30T14:45:00"/>
    <s v="A"/>
    <s v="09:47 AM"/>
    <s v="On Time"/>
    <s v="4 Hours 58 Minutes"/>
    <x v="1"/>
  </r>
  <r>
    <x v="898"/>
    <x v="35"/>
    <n v="23"/>
    <x v="0"/>
    <x v="0"/>
    <x v="4"/>
    <x v="4"/>
    <n v="59"/>
    <n v="92"/>
    <x v="0"/>
    <n v="10000"/>
    <n v="11210"/>
    <n v="0"/>
    <x v="1"/>
    <x v="0"/>
    <d v="2025-08-15T00:00:00"/>
    <d v="2025-11-13T00:00:00"/>
    <d v="1899-12-30T09:12:00"/>
    <d v="1899-12-30T13:30:00"/>
    <s v="D"/>
    <s v="09:12 AM"/>
    <s v="On Time"/>
    <s v="4 Hours 18 Minutes"/>
    <x v="1"/>
  </r>
  <r>
    <x v="899"/>
    <x v="191"/>
    <n v="28"/>
    <x v="1"/>
    <x v="8"/>
    <x v="4"/>
    <x v="4"/>
    <n v="35"/>
    <n v="67"/>
    <x v="0"/>
    <n v="18000"/>
    <n v="17240"/>
    <n v="4000"/>
    <x v="0"/>
    <x v="0"/>
    <d v="2025-07-22T00:00:00"/>
    <d v="2025-10-20T00:00:00"/>
    <d v="1899-12-30T08:55:00"/>
    <d v="1899-12-30T12:41:00"/>
    <s v="D"/>
    <s v="08:55 AM"/>
    <s v="On Time"/>
    <s v="3 Hours 46 Minutes"/>
    <x v="1"/>
  </r>
  <r>
    <x v="900"/>
    <x v="0"/>
    <n v="28"/>
    <x v="0"/>
    <x v="2"/>
    <x v="7"/>
    <x v="7"/>
    <n v="82"/>
    <n v="76"/>
    <x v="1"/>
    <n v="10000"/>
    <n v="9210"/>
    <n v="2000"/>
    <x v="0"/>
    <x v="0"/>
    <d v="2025-09-06T00:00:00"/>
    <d v="2026-03-05T00:00:00"/>
    <d v="1899-12-30T08:14:00"/>
    <d v="1899-12-30T12:01:00"/>
    <s v="B"/>
    <s v="08:14 AM"/>
    <s v="Delayed"/>
    <s v="3 Hours 47 Minutes"/>
    <x v="1"/>
  </r>
  <r>
    <x v="901"/>
    <x v="200"/>
    <n v="23"/>
    <x v="0"/>
    <x v="8"/>
    <x v="2"/>
    <x v="2"/>
    <n v="58"/>
    <n v="71"/>
    <x v="0"/>
    <n v="12000"/>
    <n v="10160"/>
    <n v="4000"/>
    <x v="0"/>
    <x v="0"/>
    <d v="2025-12-12T00:00:00"/>
    <d v="2026-04-11T00:00:00"/>
    <d v="1899-12-30T10:58:00"/>
    <d v="1899-12-30T14:43:00"/>
    <s v="D"/>
    <s v="10:58 AM"/>
    <s v="Delayed"/>
    <s v="3 Hours 45 Minutes"/>
    <x v="0"/>
  </r>
  <r>
    <x v="902"/>
    <x v="226"/>
    <n v="27"/>
    <x v="1"/>
    <x v="9"/>
    <x v="1"/>
    <x v="1"/>
    <n v="51"/>
    <n v="62"/>
    <x v="0"/>
    <n v="10000"/>
    <n v="6030"/>
    <n v="4000"/>
    <x v="0"/>
    <x v="0"/>
    <d v="2025-08-19T00:00:00"/>
    <d v="2026-02-15T00:00:00"/>
    <d v="1899-12-30T10:38:00"/>
    <d v="1899-12-30T14:21:00"/>
    <s v="D"/>
    <s v="10:38 AM"/>
    <s v="Delayed"/>
    <s v="3 Hours 43 Minutes"/>
    <x v="0"/>
  </r>
  <r>
    <x v="903"/>
    <x v="231"/>
    <n v="27"/>
    <x v="1"/>
    <x v="7"/>
    <x v="7"/>
    <x v="7"/>
    <n v="75"/>
    <n v="88"/>
    <x v="1"/>
    <n v="18000"/>
    <n v="20650"/>
    <n v="0"/>
    <x v="1"/>
    <x v="0"/>
    <d v="2025-01-19T00:00:00"/>
    <d v="2025-03-20T00:00:00"/>
    <d v="1899-12-30T09:31:00"/>
    <d v="1899-12-30T13:00:00"/>
    <s v="B"/>
    <s v="09:31 AM"/>
    <s v="On Time"/>
    <s v="3 Hours 29 Minutes"/>
    <x v="1"/>
  </r>
  <r>
    <x v="904"/>
    <x v="221"/>
    <n v="25"/>
    <x v="0"/>
    <x v="0"/>
    <x v="1"/>
    <x v="1"/>
    <n v="37"/>
    <n v="80"/>
    <x v="0"/>
    <n v="10000"/>
    <n v="8030"/>
    <n v="2000"/>
    <x v="0"/>
    <x v="0"/>
    <d v="2025-04-17T00:00:00"/>
    <d v="2025-06-16T00:00:00"/>
    <d v="1899-12-30T10:33:00"/>
    <d v="1899-12-30T11:55:00"/>
    <s v="D"/>
    <s v="10:33 AM"/>
    <s v="On Time"/>
    <s v="1 Hours 22 Minutes"/>
    <x v="0"/>
  </r>
  <r>
    <x v="905"/>
    <x v="153"/>
    <n v="18"/>
    <x v="1"/>
    <x v="3"/>
    <x v="5"/>
    <x v="5"/>
    <n v="97"/>
    <n v="77"/>
    <x v="2"/>
    <n v="12000"/>
    <n v="10980"/>
    <n v="2000"/>
    <x v="0"/>
    <x v="0"/>
    <d v="2025-10-26T00:00:00"/>
    <d v="2025-11-25T00:00:00"/>
    <d v="1899-12-30T09:39:00"/>
    <d v="1899-12-30T12:31:00"/>
    <s v="A"/>
    <s v="09:39 AM"/>
    <s v="On Time"/>
    <s v="2 Hours 52 Minutes"/>
    <x v="1"/>
  </r>
  <r>
    <x v="906"/>
    <x v="102"/>
    <n v="20"/>
    <x v="1"/>
    <x v="10"/>
    <x v="0"/>
    <x v="0"/>
    <n v="70"/>
    <n v="62"/>
    <x v="3"/>
    <n v="20000"/>
    <n v="19600"/>
    <n v="4000"/>
    <x v="0"/>
    <x v="0"/>
    <d v="2025-09-04T00:00:00"/>
    <d v="2025-11-03T00:00:00"/>
    <d v="1899-12-30T10:13:00"/>
    <d v="1899-12-30T13:14:00"/>
    <s v="C"/>
    <s v="10:13 AM"/>
    <s v="On Time"/>
    <s v="3 Hours 1 Minutes"/>
    <x v="0"/>
  </r>
  <r>
    <x v="907"/>
    <x v="94"/>
    <n v="26"/>
    <x v="1"/>
    <x v="0"/>
    <x v="3"/>
    <x v="3"/>
    <n v="71"/>
    <n v="96"/>
    <x v="3"/>
    <n v="20000"/>
    <n v="23010"/>
    <n v="0"/>
    <x v="1"/>
    <x v="0"/>
    <d v="2025-01-30T00:00:00"/>
    <d v="2025-04-30T00:00:00"/>
    <d v="1899-12-30T08:57:00"/>
    <d v="1899-12-30T11:13:00"/>
    <s v="C"/>
    <s v="08:57 AM"/>
    <s v="On Time"/>
    <s v="2 Hours 16 Minutes"/>
    <x v="1"/>
  </r>
  <r>
    <x v="908"/>
    <x v="203"/>
    <n v="28"/>
    <x v="0"/>
    <x v="8"/>
    <x v="1"/>
    <x v="1"/>
    <n v="59"/>
    <n v="90"/>
    <x v="0"/>
    <n v="10000"/>
    <n v="11210"/>
    <n v="0"/>
    <x v="1"/>
    <x v="0"/>
    <d v="2025-09-16T00:00:00"/>
    <d v="2026-03-15T00:00:00"/>
    <d v="1899-12-30T10:57:00"/>
    <d v="1899-12-30T15:32:00"/>
    <s v="D"/>
    <s v="10:57 AM"/>
    <s v="Delayed"/>
    <s v="4 Hours 35 Minutes"/>
    <x v="0"/>
  </r>
  <r>
    <x v="909"/>
    <x v="112"/>
    <n v="23"/>
    <x v="1"/>
    <x v="3"/>
    <x v="5"/>
    <x v="5"/>
    <n v="95"/>
    <n v="91"/>
    <x v="2"/>
    <n v="20000"/>
    <n v="19010"/>
    <n v="4000"/>
    <x v="0"/>
    <x v="0"/>
    <d v="2025-09-03T00:00:00"/>
    <d v="2025-10-03T00:00:00"/>
    <d v="1899-12-30T10:17:00"/>
    <d v="1899-12-30T14:29:00"/>
    <s v="A"/>
    <s v="10:17 AM"/>
    <s v="On Time"/>
    <s v="4 Hours 12 Minutes"/>
    <x v="0"/>
  </r>
  <r>
    <x v="910"/>
    <x v="17"/>
    <n v="21"/>
    <x v="1"/>
    <x v="9"/>
    <x v="6"/>
    <x v="6"/>
    <n v="60"/>
    <n v="99"/>
    <x v="3"/>
    <n v="15000"/>
    <n v="13110"/>
    <n v="4000"/>
    <x v="0"/>
    <x v="0"/>
    <d v="2025-10-26T00:00:00"/>
    <d v="2025-11-25T00:00:00"/>
    <d v="1899-12-30T10:22:00"/>
    <d v="1899-12-30T12:17:00"/>
    <s v="C"/>
    <s v="10:22 AM"/>
    <s v="On Time"/>
    <s v="1 Hours 55 Minutes"/>
    <x v="0"/>
  </r>
  <r>
    <x v="911"/>
    <x v="39"/>
    <n v="23"/>
    <x v="0"/>
    <x v="9"/>
    <x v="5"/>
    <x v="5"/>
    <n v="72"/>
    <n v="75"/>
    <x v="3"/>
    <n v="15000"/>
    <n v="13700"/>
    <n v="4000"/>
    <x v="0"/>
    <x v="0"/>
    <d v="2025-07-26T00:00:00"/>
    <d v="2025-10-24T00:00:00"/>
    <d v="1899-12-30T09:05:00"/>
    <d v="1899-12-30T13:33:00"/>
    <s v="C"/>
    <s v="09:05 AM"/>
    <s v="On Time"/>
    <s v="4 Hours 28 Minutes"/>
    <x v="1"/>
  </r>
  <r>
    <x v="912"/>
    <x v="120"/>
    <n v="28"/>
    <x v="1"/>
    <x v="10"/>
    <x v="1"/>
    <x v="1"/>
    <n v="36"/>
    <n v="73"/>
    <x v="0"/>
    <n v="12000"/>
    <n v="14160"/>
    <n v="0"/>
    <x v="1"/>
    <x v="0"/>
    <d v="2025-11-27T00:00:00"/>
    <d v="2026-02-25T00:00:00"/>
    <d v="1899-12-30T10:15:00"/>
    <d v="1899-12-30T14:24:00"/>
    <s v="D"/>
    <s v="10:15 AM"/>
    <s v="On Time"/>
    <s v="4 Hours 9 Minutes"/>
    <x v="0"/>
  </r>
  <r>
    <x v="913"/>
    <x v="121"/>
    <n v="25"/>
    <x v="1"/>
    <x v="3"/>
    <x v="3"/>
    <x v="3"/>
    <n v="76"/>
    <n v="90"/>
    <x v="1"/>
    <n v="10000"/>
    <n v="11210"/>
    <n v="0"/>
    <x v="1"/>
    <x v="0"/>
    <d v="2025-12-26T00:00:00"/>
    <d v="2026-03-26T00:00:00"/>
    <d v="1899-12-30T10:20:00"/>
    <d v="1899-12-30T14:17:00"/>
    <s v="B"/>
    <s v="10:20 AM"/>
    <s v="On Time"/>
    <s v="3 Hours 57 Minutes"/>
    <x v="0"/>
  </r>
  <r>
    <x v="914"/>
    <x v="174"/>
    <n v="18"/>
    <x v="1"/>
    <x v="8"/>
    <x v="5"/>
    <x v="5"/>
    <n v="85"/>
    <n v="80"/>
    <x v="1"/>
    <n v="20000"/>
    <n v="19600"/>
    <n v="4000"/>
    <x v="0"/>
    <x v="0"/>
    <d v="2025-04-23T00:00:00"/>
    <d v="2025-10-20T00:00:00"/>
    <d v="1899-12-30T09:17:00"/>
    <d v="1899-12-30T10:29:00"/>
    <s v="B"/>
    <s v="09:17 AM"/>
    <s v="Delayed"/>
    <s v="1 Hours 12 Minutes"/>
    <x v="1"/>
  </r>
  <r>
    <x v="915"/>
    <x v="118"/>
    <n v="21"/>
    <x v="0"/>
    <x v="2"/>
    <x v="6"/>
    <x v="6"/>
    <n v="97"/>
    <n v="95"/>
    <x v="2"/>
    <n v="15000"/>
    <n v="15700"/>
    <n v="2000"/>
    <x v="0"/>
    <x v="0"/>
    <d v="2025-04-20T00:00:00"/>
    <d v="2025-07-19T00:00:00"/>
    <d v="1899-12-30T10:57:00"/>
    <d v="1899-12-30T13:43:00"/>
    <s v="A"/>
    <s v="10:57 AM"/>
    <s v="On Time"/>
    <s v="2 Hours 46 Minutes"/>
    <x v="0"/>
  </r>
  <r>
    <x v="916"/>
    <x v="195"/>
    <n v="19"/>
    <x v="1"/>
    <x v="11"/>
    <x v="3"/>
    <x v="3"/>
    <n v="73"/>
    <n v="71"/>
    <x v="3"/>
    <n v="10000"/>
    <n v="8030"/>
    <n v="2000"/>
    <x v="0"/>
    <x v="0"/>
    <d v="2025-08-17T00:00:00"/>
    <d v="2025-12-15T00:00:00"/>
    <d v="1899-12-30T10:49:00"/>
    <d v="1899-12-30T14:23:00"/>
    <s v="C"/>
    <s v="10:49 AM"/>
    <s v="Delayed"/>
    <s v="3 Hours 34 Minutes"/>
    <x v="0"/>
  </r>
  <r>
    <x v="917"/>
    <x v="230"/>
    <n v="22"/>
    <x v="0"/>
    <x v="7"/>
    <x v="0"/>
    <x v="0"/>
    <n v="78"/>
    <n v="84"/>
    <x v="1"/>
    <n v="18000"/>
    <n v="19470"/>
    <n v="0"/>
    <x v="1"/>
    <x v="0"/>
    <d v="2025-12-11T00:00:00"/>
    <d v="2026-02-09T00:00:00"/>
    <d v="1899-12-30T09:10:00"/>
    <d v="1899-12-30T11:43:00"/>
    <s v="B"/>
    <s v="09:10 AM"/>
    <s v="On Time"/>
    <s v="2 Hours 33 Minutes"/>
    <x v="1"/>
  </r>
  <r>
    <x v="918"/>
    <x v="234"/>
    <n v="20"/>
    <x v="1"/>
    <x v="6"/>
    <x v="2"/>
    <x v="2"/>
    <n v="54"/>
    <n v="74"/>
    <x v="0"/>
    <n v="18000"/>
    <n v="18060"/>
    <n v="2000"/>
    <x v="0"/>
    <x v="0"/>
    <d v="2025-06-08T00:00:00"/>
    <d v="2025-10-06T00:00:00"/>
    <d v="1899-12-30T09:20:00"/>
    <d v="1899-12-30T10:52:00"/>
    <s v="D"/>
    <s v="09:20 AM"/>
    <s v="Delayed"/>
    <s v="1 Hours 32 Minutes"/>
    <x v="1"/>
  </r>
  <r>
    <x v="919"/>
    <x v="119"/>
    <n v="27"/>
    <x v="1"/>
    <x v="2"/>
    <x v="4"/>
    <x v="4"/>
    <n v="84"/>
    <n v="90"/>
    <x v="1"/>
    <n v="15000"/>
    <n v="17700"/>
    <n v="0"/>
    <x v="1"/>
    <x v="0"/>
    <d v="2025-05-15T00:00:00"/>
    <d v="2025-09-12T00:00:00"/>
    <d v="1899-12-30T10:47:00"/>
    <d v="1899-12-30T13:19:00"/>
    <s v="B"/>
    <s v="10:47 AM"/>
    <s v="Delayed"/>
    <s v="2 Hours 32 Minutes"/>
    <x v="0"/>
  </r>
  <r>
    <x v="920"/>
    <x v="126"/>
    <n v="23"/>
    <x v="0"/>
    <x v="9"/>
    <x v="4"/>
    <x v="4"/>
    <n v="65"/>
    <n v="85"/>
    <x v="3"/>
    <n v="12000"/>
    <n v="12980"/>
    <n v="0"/>
    <x v="1"/>
    <x v="0"/>
    <d v="2025-01-11T00:00:00"/>
    <d v="2025-02-10T00:00:00"/>
    <d v="1899-12-30T08:11:00"/>
    <d v="1899-12-30T13:00:00"/>
    <s v="C"/>
    <s v="08:11 AM"/>
    <s v="On Time"/>
    <s v="4 Hours 49 Minutes"/>
    <x v="1"/>
  </r>
  <r>
    <x v="921"/>
    <x v="93"/>
    <n v="27"/>
    <x v="0"/>
    <x v="10"/>
    <x v="2"/>
    <x v="2"/>
    <n v="52"/>
    <n v="85"/>
    <x v="0"/>
    <n v="12000"/>
    <n v="12980"/>
    <n v="0"/>
    <x v="1"/>
    <x v="0"/>
    <d v="2025-06-01T00:00:00"/>
    <d v="2025-07-01T00:00:00"/>
    <d v="1899-12-30T08:49:00"/>
    <d v="1899-12-30T11:36:00"/>
    <s v="D"/>
    <s v="08:49 AM"/>
    <s v="On Time"/>
    <s v="2 Hours 47 Minutes"/>
    <x v="1"/>
  </r>
  <r>
    <x v="922"/>
    <x v="6"/>
    <n v="21"/>
    <x v="0"/>
    <x v="9"/>
    <x v="7"/>
    <x v="7"/>
    <n v="81"/>
    <n v="70"/>
    <x v="1"/>
    <n v="10000"/>
    <n v="8620"/>
    <n v="2000"/>
    <x v="0"/>
    <x v="0"/>
    <d v="2025-04-18T00:00:00"/>
    <d v="2025-10-15T00:00:00"/>
    <d v="1899-12-30T10:14:00"/>
    <d v="1899-12-30T13:16:00"/>
    <s v="B"/>
    <s v="10:14 AM"/>
    <s v="Delayed"/>
    <s v="3 Hours 2 Minutes"/>
    <x v="0"/>
  </r>
  <r>
    <x v="923"/>
    <x v="235"/>
    <n v="24"/>
    <x v="1"/>
    <x v="3"/>
    <x v="6"/>
    <x v="6"/>
    <n v="63"/>
    <n v="63"/>
    <x v="3"/>
    <n v="20000"/>
    <n v="21600"/>
    <n v="2000"/>
    <x v="0"/>
    <x v="1"/>
    <d v="2025-06-11T00:00:00"/>
    <d v="2025-08-10T00:00:00"/>
    <d v="1899-12-30T09:50:00"/>
    <d v="1899-12-30T13:10:00"/>
    <s v="C"/>
    <s v="09:50 AM"/>
    <s v="On Time"/>
    <s v="3 Hours 20 Minutes"/>
    <x v="1"/>
  </r>
  <r>
    <x v="924"/>
    <x v="222"/>
    <n v="22"/>
    <x v="1"/>
    <x v="8"/>
    <x v="1"/>
    <x v="1"/>
    <n v="58"/>
    <n v="82"/>
    <x v="0"/>
    <n v="10000"/>
    <n v="11210"/>
    <n v="0"/>
    <x v="1"/>
    <x v="0"/>
    <d v="2025-01-14T00:00:00"/>
    <d v="2025-07-13T00:00:00"/>
    <d v="1899-12-30T09:17:00"/>
    <d v="1899-12-30T12:07:00"/>
    <s v="D"/>
    <s v="09:17 AM"/>
    <s v="Delayed"/>
    <s v="2 Hours 50 Minutes"/>
    <x v="1"/>
  </r>
  <r>
    <x v="925"/>
    <x v="70"/>
    <n v="28"/>
    <x v="0"/>
    <x v="2"/>
    <x v="2"/>
    <x v="2"/>
    <n v="90"/>
    <n v="87"/>
    <x v="2"/>
    <n v="10000"/>
    <n v="10620"/>
    <n v="0"/>
    <x v="1"/>
    <x v="0"/>
    <d v="2025-03-18T00:00:00"/>
    <d v="2025-06-16T00:00:00"/>
    <d v="1899-12-30T08:22:00"/>
    <d v="1899-12-30T10:51:00"/>
    <s v="A"/>
    <s v="08:22 AM"/>
    <s v="On Time"/>
    <s v="2 Hours 29 Minutes"/>
    <x v="1"/>
  </r>
  <r>
    <x v="926"/>
    <x v="28"/>
    <n v="24"/>
    <x v="0"/>
    <x v="5"/>
    <x v="6"/>
    <x v="6"/>
    <n v="86"/>
    <n v="82"/>
    <x v="1"/>
    <n v="18000"/>
    <n v="17470"/>
    <n v="2000"/>
    <x v="0"/>
    <x v="0"/>
    <d v="2025-10-13T00:00:00"/>
    <d v="2026-04-11T00:00:00"/>
    <d v="1899-12-30T08:42:00"/>
    <d v="1899-12-30T10:45:00"/>
    <s v="B"/>
    <s v="08:42 AM"/>
    <s v="Delayed"/>
    <s v="2 Hours 3 Minutes"/>
    <x v="1"/>
  </r>
  <r>
    <x v="927"/>
    <x v="100"/>
    <n v="25"/>
    <x v="1"/>
    <x v="3"/>
    <x v="7"/>
    <x v="7"/>
    <n v="89"/>
    <n v="99"/>
    <x v="1"/>
    <n v="15000"/>
    <n v="15110"/>
    <n v="2000"/>
    <x v="0"/>
    <x v="0"/>
    <d v="2025-05-07T00:00:00"/>
    <d v="2025-11-03T00:00:00"/>
    <d v="1899-12-30T08:19:00"/>
    <d v="1899-12-30T09:20:00"/>
    <s v="B"/>
    <s v="08:19 AM"/>
    <s v="Delayed"/>
    <s v="1 Hours 1 Minutes"/>
    <x v="1"/>
  </r>
  <r>
    <x v="928"/>
    <x v="102"/>
    <n v="26"/>
    <x v="0"/>
    <x v="11"/>
    <x v="5"/>
    <x v="5"/>
    <n v="39"/>
    <n v="88"/>
    <x v="0"/>
    <n v="10000"/>
    <n v="8620"/>
    <n v="2000"/>
    <x v="0"/>
    <x v="0"/>
    <d v="2025-09-17T00:00:00"/>
    <d v="2025-10-17T00:00:00"/>
    <d v="1899-12-30T10:45:00"/>
    <d v="1899-12-30T11:47:00"/>
    <s v="D"/>
    <s v="10:45 AM"/>
    <s v="On Time"/>
    <s v="1 Hours 2 Minutes"/>
    <x v="0"/>
  </r>
  <r>
    <x v="929"/>
    <x v="147"/>
    <n v="19"/>
    <x v="0"/>
    <x v="8"/>
    <x v="1"/>
    <x v="1"/>
    <n v="100"/>
    <n v="72"/>
    <x v="2"/>
    <n v="20000"/>
    <n v="23600"/>
    <n v="0"/>
    <x v="1"/>
    <x v="0"/>
    <d v="2025-09-28T00:00:00"/>
    <d v="2026-01-26T00:00:00"/>
    <d v="1899-12-30T09:31:00"/>
    <d v="1899-12-30T13:10:00"/>
    <s v="A"/>
    <s v="09:31 AM"/>
    <s v="Delayed"/>
    <s v="3 Hours 39 Minutes"/>
    <x v="1"/>
  </r>
  <r>
    <x v="930"/>
    <x v="107"/>
    <n v="19"/>
    <x v="1"/>
    <x v="10"/>
    <x v="5"/>
    <x v="5"/>
    <n v="69"/>
    <n v="87"/>
    <x v="3"/>
    <n v="12000"/>
    <n v="10160"/>
    <n v="4000"/>
    <x v="0"/>
    <x v="0"/>
    <d v="2025-12-23T00:00:00"/>
    <d v="2026-04-22T00:00:00"/>
    <d v="1899-12-30T08:04:00"/>
    <d v="1899-12-30T09:16:00"/>
    <s v="C"/>
    <s v="08:04 AM"/>
    <s v="Delayed"/>
    <s v="1 Hours 12 Minutes"/>
    <x v="1"/>
  </r>
  <r>
    <x v="931"/>
    <x v="133"/>
    <n v="25"/>
    <x v="0"/>
    <x v="11"/>
    <x v="4"/>
    <x v="4"/>
    <n v="93"/>
    <n v="97"/>
    <x v="2"/>
    <n v="10000"/>
    <n v="10030"/>
    <n v="0"/>
    <x v="1"/>
    <x v="0"/>
    <d v="2025-06-09T00:00:00"/>
    <d v="2025-12-06T00:00:00"/>
    <d v="1899-12-30T09:37:00"/>
    <d v="1899-12-30T13:49:00"/>
    <s v="A"/>
    <s v="09:37 AM"/>
    <s v="Delayed"/>
    <s v="4 Hours 12 Minutes"/>
    <x v="1"/>
  </r>
  <r>
    <x v="932"/>
    <x v="229"/>
    <n v="20"/>
    <x v="1"/>
    <x v="11"/>
    <x v="3"/>
    <x v="3"/>
    <n v="63"/>
    <n v="97"/>
    <x v="3"/>
    <n v="10000"/>
    <n v="8620"/>
    <n v="2000"/>
    <x v="0"/>
    <x v="0"/>
    <d v="2025-11-18T00:00:00"/>
    <d v="2025-12-18T00:00:00"/>
    <d v="1899-12-30T08:19:00"/>
    <d v="1899-12-30T09:52:00"/>
    <s v="C"/>
    <s v="08:19 AM"/>
    <s v="On Time"/>
    <s v="1 Hours 33 Minutes"/>
    <x v="1"/>
  </r>
  <r>
    <x v="933"/>
    <x v="33"/>
    <n v="25"/>
    <x v="1"/>
    <x v="8"/>
    <x v="7"/>
    <x v="7"/>
    <n v="43"/>
    <n v="93"/>
    <x v="0"/>
    <n v="18000"/>
    <n v="18650"/>
    <n v="2000"/>
    <x v="0"/>
    <x v="0"/>
    <d v="2025-10-28T00:00:00"/>
    <d v="2025-11-27T00:00:00"/>
    <d v="1899-12-30T09:17:00"/>
    <d v="1899-12-30T13:31:00"/>
    <s v="D"/>
    <s v="09:17 AM"/>
    <s v="On Time"/>
    <s v="4 Hours 14 Minutes"/>
    <x v="1"/>
  </r>
  <r>
    <x v="934"/>
    <x v="18"/>
    <n v="23"/>
    <x v="1"/>
    <x v="7"/>
    <x v="4"/>
    <x v="4"/>
    <n v="79"/>
    <n v="77"/>
    <x v="1"/>
    <n v="15000"/>
    <n v="15930"/>
    <n v="0"/>
    <x v="1"/>
    <x v="0"/>
    <d v="2025-03-17T00:00:00"/>
    <d v="2025-06-15T00:00:00"/>
    <d v="1899-12-30T09:50:00"/>
    <d v="1899-12-30T11:46:00"/>
    <s v="B"/>
    <s v="09:50 AM"/>
    <s v="On Time"/>
    <s v="1 Hours 56 Minutes"/>
    <x v="1"/>
  </r>
  <r>
    <x v="935"/>
    <x v="233"/>
    <n v="25"/>
    <x v="0"/>
    <x v="3"/>
    <x v="3"/>
    <x v="3"/>
    <n v="86"/>
    <n v="89"/>
    <x v="1"/>
    <n v="15000"/>
    <n v="13110"/>
    <n v="4000"/>
    <x v="0"/>
    <x v="0"/>
    <d v="2025-03-04T00:00:00"/>
    <d v="2025-06-02T00:00:00"/>
    <d v="1899-12-30T09:53:00"/>
    <d v="1899-12-30T14:31:00"/>
    <s v="B"/>
    <s v="09:53 AM"/>
    <s v="On Time"/>
    <s v="4 Hours 38 Minutes"/>
    <x v="1"/>
  </r>
  <r>
    <x v="936"/>
    <x v="178"/>
    <n v="24"/>
    <x v="1"/>
    <x v="9"/>
    <x v="4"/>
    <x v="4"/>
    <n v="92"/>
    <n v="72"/>
    <x v="2"/>
    <n v="10000"/>
    <n v="7210"/>
    <n v="4000"/>
    <x v="0"/>
    <x v="0"/>
    <d v="2025-06-19T00:00:00"/>
    <d v="2025-12-16T00:00:00"/>
    <d v="1899-12-30T08:19:00"/>
    <d v="1899-12-30T13:03:00"/>
    <s v="A"/>
    <s v="08:19 AM"/>
    <s v="Delayed"/>
    <s v="4 Hours 44 Minutes"/>
    <x v="1"/>
  </r>
  <r>
    <x v="937"/>
    <x v="116"/>
    <n v="18"/>
    <x v="0"/>
    <x v="5"/>
    <x v="3"/>
    <x v="3"/>
    <n v="84"/>
    <n v="98"/>
    <x v="1"/>
    <n v="15000"/>
    <n v="13110"/>
    <n v="4000"/>
    <x v="0"/>
    <x v="0"/>
    <d v="2025-03-26T00:00:00"/>
    <d v="2025-09-22T00:00:00"/>
    <d v="1899-12-30T10:23:00"/>
    <d v="1899-12-30T11:37:00"/>
    <s v="B"/>
    <s v="10:23 AM"/>
    <s v="Delayed"/>
    <s v="1 Hours 14 Minutes"/>
    <x v="0"/>
  </r>
  <r>
    <x v="938"/>
    <x v="39"/>
    <n v="25"/>
    <x v="1"/>
    <x v="1"/>
    <x v="4"/>
    <x v="4"/>
    <n v="88"/>
    <n v="76"/>
    <x v="1"/>
    <n v="12000"/>
    <n v="8390"/>
    <n v="4000"/>
    <x v="0"/>
    <x v="0"/>
    <d v="2025-02-13T00:00:00"/>
    <d v="2025-03-15T00:00:00"/>
    <d v="1899-12-30T08:35:00"/>
    <d v="1899-12-30T13:20:00"/>
    <s v="B"/>
    <s v="08:35 AM"/>
    <s v="On Time"/>
    <s v="4 Hours 45 Minutes"/>
    <x v="1"/>
  </r>
  <r>
    <x v="939"/>
    <x v="193"/>
    <n v="24"/>
    <x v="1"/>
    <x v="10"/>
    <x v="5"/>
    <x v="5"/>
    <n v="71"/>
    <n v="85"/>
    <x v="3"/>
    <n v="18000"/>
    <n v="16650"/>
    <n v="4000"/>
    <x v="0"/>
    <x v="0"/>
    <d v="2025-11-27T00:00:00"/>
    <d v="2026-03-27T00:00:00"/>
    <d v="1899-12-30T10:36:00"/>
    <d v="1899-12-30T12:48:00"/>
    <s v="C"/>
    <s v="10:36 AM"/>
    <s v="Delayed"/>
    <s v="2 Hours 12 Minutes"/>
    <x v="0"/>
  </r>
  <r>
    <x v="940"/>
    <x v="30"/>
    <n v="19"/>
    <x v="1"/>
    <x v="4"/>
    <x v="5"/>
    <x v="5"/>
    <n v="69"/>
    <n v="68"/>
    <x v="3"/>
    <n v="12000"/>
    <n v="14160"/>
    <n v="0"/>
    <x v="1"/>
    <x v="0"/>
    <d v="2025-09-11T00:00:00"/>
    <d v="2026-03-10T00:00:00"/>
    <d v="1899-12-30T10:52:00"/>
    <d v="1899-12-30T15:01:00"/>
    <s v="C"/>
    <s v="10:52 AM"/>
    <s v="Delayed"/>
    <s v="4 Hours 9 Minutes"/>
    <x v="0"/>
  </r>
  <r>
    <x v="941"/>
    <x v="96"/>
    <n v="25"/>
    <x v="0"/>
    <x v="0"/>
    <x v="0"/>
    <x v="0"/>
    <n v="43"/>
    <n v="70"/>
    <x v="0"/>
    <n v="20000"/>
    <n v="22420"/>
    <n v="0"/>
    <x v="1"/>
    <x v="0"/>
    <d v="2025-08-26T00:00:00"/>
    <d v="2025-10-25T00:00:00"/>
    <d v="1899-12-30T08:51:00"/>
    <d v="1899-12-30T13:19:00"/>
    <s v="D"/>
    <s v="08:51 AM"/>
    <s v="On Time"/>
    <s v="4 Hours 28 Minutes"/>
    <x v="1"/>
  </r>
  <r>
    <x v="942"/>
    <x v="71"/>
    <n v="18"/>
    <x v="0"/>
    <x v="5"/>
    <x v="5"/>
    <x v="5"/>
    <n v="70"/>
    <n v="81"/>
    <x v="3"/>
    <n v="20000"/>
    <n v="20420"/>
    <n v="2000"/>
    <x v="0"/>
    <x v="0"/>
    <d v="2025-11-08T00:00:00"/>
    <d v="2026-05-07T00:00:00"/>
    <d v="1899-12-30T09:24:00"/>
    <d v="1899-12-30T13:28:00"/>
    <s v="C"/>
    <s v="09:24 AM"/>
    <s v="Delayed"/>
    <s v="4 Hours 4 Minutes"/>
    <x v="1"/>
  </r>
  <r>
    <x v="943"/>
    <x v="106"/>
    <n v="23"/>
    <x v="1"/>
    <x v="2"/>
    <x v="6"/>
    <x v="6"/>
    <n v="55"/>
    <n v="93"/>
    <x v="0"/>
    <n v="20000"/>
    <n v="21600"/>
    <n v="2000"/>
    <x v="0"/>
    <x v="0"/>
    <d v="2025-07-21T00:00:00"/>
    <d v="2026-01-17T00:00:00"/>
    <d v="1899-12-30T10:36:00"/>
    <d v="1899-12-30T12:24:00"/>
    <s v="D"/>
    <s v="10:36 AM"/>
    <s v="Delayed"/>
    <s v="1 Hours 48 Minutes"/>
    <x v="0"/>
  </r>
  <r>
    <x v="944"/>
    <x v="120"/>
    <n v="18"/>
    <x v="1"/>
    <x v="10"/>
    <x v="0"/>
    <x v="0"/>
    <n v="90"/>
    <n v="64"/>
    <x v="2"/>
    <n v="12000"/>
    <n v="12160"/>
    <n v="2000"/>
    <x v="0"/>
    <x v="0"/>
    <d v="2025-09-11T00:00:00"/>
    <d v="2026-03-10T00:00:00"/>
    <d v="1899-12-30T09:15:00"/>
    <d v="1899-12-30T13:19:00"/>
    <s v="A"/>
    <s v="09:15 AM"/>
    <s v="Delayed"/>
    <s v="4 Hours 4 Minutes"/>
    <x v="1"/>
  </r>
  <r>
    <x v="945"/>
    <x v="104"/>
    <n v="24"/>
    <x v="1"/>
    <x v="1"/>
    <x v="3"/>
    <x v="3"/>
    <n v="66"/>
    <n v="88"/>
    <x v="3"/>
    <n v="10000"/>
    <n v="8620"/>
    <n v="2000"/>
    <x v="0"/>
    <x v="0"/>
    <d v="2025-12-09T00:00:00"/>
    <d v="2026-01-08T00:00:00"/>
    <d v="1899-12-30T09:15:00"/>
    <d v="1899-12-30T11:56:00"/>
    <s v="C"/>
    <s v="09:15 AM"/>
    <s v="On Time"/>
    <s v="2 Hours 41 Minutes"/>
    <x v="1"/>
  </r>
  <r>
    <x v="946"/>
    <x v="126"/>
    <n v="26"/>
    <x v="1"/>
    <x v="0"/>
    <x v="3"/>
    <x v="3"/>
    <n v="56"/>
    <n v="78"/>
    <x v="0"/>
    <n v="15000"/>
    <n v="17110"/>
    <n v="0"/>
    <x v="1"/>
    <x v="0"/>
    <d v="2025-10-15T00:00:00"/>
    <d v="2026-04-13T00:00:00"/>
    <d v="1899-12-30T10:41:00"/>
    <d v="1899-12-30T15:09:00"/>
    <s v="D"/>
    <s v="10:41 AM"/>
    <s v="Delayed"/>
    <s v="4 Hours 28 Minutes"/>
    <x v="0"/>
  </r>
  <r>
    <x v="947"/>
    <x v="178"/>
    <n v="23"/>
    <x v="0"/>
    <x v="3"/>
    <x v="7"/>
    <x v="7"/>
    <n v="40"/>
    <n v="68"/>
    <x v="0"/>
    <n v="10000"/>
    <n v="6620"/>
    <n v="4000"/>
    <x v="0"/>
    <x v="0"/>
    <d v="2025-06-09T00:00:00"/>
    <d v="2025-09-07T00:00:00"/>
    <d v="1899-12-30T08:41:00"/>
    <d v="1899-12-30T13:01:00"/>
    <s v="D"/>
    <s v="08:41 AM"/>
    <s v="On Time"/>
    <s v="4 Hours 20 Minutes"/>
    <x v="1"/>
  </r>
  <r>
    <x v="948"/>
    <x v="192"/>
    <n v="27"/>
    <x v="1"/>
    <x v="9"/>
    <x v="5"/>
    <x v="5"/>
    <n v="57"/>
    <n v="95"/>
    <x v="0"/>
    <n v="12000"/>
    <n v="8390"/>
    <n v="4000"/>
    <x v="0"/>
    <x v="0"/>
    <d v="2025-10-07T00:00:00"/>
    <d v="2025-12-06T00:00:00"/>
    <d v="1899-12-30T08:17:00"/>
    <d v="1899-12-30T09:25:00"/>
    <s v="D"/>
    <s v="08:17 AM"/>
    <s v="On Time"/>
    <s v="1 Hours 8 Minutes"/>
    <x v="1"/>
  </r>
  <r>
    <x v="949"/>
    <x v="202"/>
    <n v="23"/>
    <x v="0"/>
    <x v="11"/>
    <x v="0"/>
    <x v="0"/>
    <n v="89"/>
    <n v="68"/>
    <x v="1"/>
    <n v="12000"/>
    <n v="10390"/>
    <n v="2000"/>
    <x v="0"/>
    <x v="1"/>
    <d v="2025-05-27T00:00:00"/>
    <d v="2025-11-23T00:00:00"/>
    <d v="1899-12-30T09:08:00"/>
    <d v="1899-12-30T13:28:00"/>
    <s v="B"/>
    <s v="09:08 AM"/>
    <s v="Delayed"/>
    <s v="4 Hours 20 Minutes"/>
    <x v="1"/>
  </r>
  <r>
    <x v="950"/>
    <x v="142"/>
    <n v="20"/>
    <x v="0"/>
    <x v="6"/>
    <x v="6"/>
    <x v="6"/>
    <n v="69"/>
    <n v="99"/>
    <x v="3"/>
    <n v="18000"/>
    <n v="19470"/>
    <n v="0"/>
    <x v="1"/>
    <x v="0"/>
    <d v="2025-01-28T00:00:00"/>
    <d v="2025-04-28T00:00:00"/>
    <d v="1899-12-30T10:09:00"/>
    <d v="1899-12-30T11:58:00"/>
    <s v="C"/>
    <s v="10:09 AM"/>
    <s v="On Time"/>
    <s v="1 Hours 49 Minutes"/>
    <x v="0"/>
  </r>
  <r>
    <x v="951"/>
    <x v="140"/>
    <n v="22"/>
    <x v="0"/>
    <x v="10"/>
    <x v="7"/>
    <x v="7"/>
    <n v="81"/>
    <n v="97"/>
    <x v="1"/>
    <n v="15000"/>
    <n v="13110"/>
    <n v="4000"/>
    <x v="0"/>
    <x v="0"/>
    <d v="2025-06-09T00:00:00"/>
    <d v="2025-08-08T00:00:00"/>
    <d v="1899-12-30T10:05:00"/>
    <d v="1899-12-30T12:16:00"/>
    <s v="B"/>
    <s v="10:05 AM"/>
    <s v="On Time"/>
    <s v="2 Hours 11 Minutes"/>
    <x v="0"/>
  </r>
  <r>
    <x v="952"/>
    <x v="96"/>
    <n v="20"/>
    <x v="0"/>
    <x v="6"/>
    <x v="3"/>
    <x v="3"/>
    <n v="89"/>
    <n v="72"/>
    <x v="1"/>
    <n v="15000"/>
    <n v="12520"/>
    <n v="4000"/>
    <x v="0"/>
    <x v="0"/>
    <d v="2025-01-21T00:00:00"/>
    <d v="2025-02-20T00:00:00"/>
    <d v="1899-12-30T10:02:00"/>
    <d v="1899-12-30T14:25:00"/>
    <s v="B"/>
    <s v="10:02 AM"/>
    <s v="On Time"/>
    <s v="4 Hours 23 Minutes"/>
    <x v="0"/>
  </r>
  <r>
    <x v="953"/>
    <x v="82"/>
    <n v="23"/>
    <x v="1"/>
    <x v="8"/>
    <x v="6"/>
    <x v="6"/>
    <n v="97"/>
    <n v="70"/>
    <x v="2"/>
    <n v="15000"/>
    <n v="17110"/>
    <n v="0"/>
    <x v="1"/>
    <x v="0"/>
    <d v="2025-12-06T00:00:00"/>
    <d v="2026-01-05T00:00:00"/>
    <d v="1899-12-30T08:11:00"/>
    <d v="1899-12-30T09:47:00"/>
    <s v="A"/>
    <s v="08:11 AM"/>
    <s v="On Time"/>
    <s v="1 Hours 36 Minutes"/>
    <x v="1"/>
  </r>
  <r>
    <x v="954"/>
    <x v="195"/>
    <n v="20"/>
    <x v="0"/>
    <x v="4"/>
    <x v="0"/>
    <x v="0"/>
    <n v="39"/>
    <n v="67"/>
    <x v="0"/>
    <n v="15000"/>
    <n v="15930"/>
    <n v="0"/>
    <x v="1"/>
    <x v="1"/>
    <d v="2025-01-24T00:00:00"/>
    <d v="2025-07-23T00:00:00"/>
    <d v="1899-12-30T10:53:00"/>
    <d v="1899-12-30T13:57:00"/>
    <s v="D"/>
    <s v="10:53 AM"/>
    <s v="Delayed"/>
    <s v="3 Hours 4 Minutes"/>
    <x v="0"/>
  </r>
  <r>
    <x v="955"/>
    <x v="31"/>
    <n v="22"/>
    <x v="0"/>
    <x v="5"/>
    <x v="2"/>
    <x v="2"/>
    <n v="82"/>
    <n v="69"/>
    <x v="1"/>
    <n v="12000"/>
    <n v="12390"/>
    <n v="0"/>
    <x v="1"/>
    <x v="0"/>
    <d v="2025-01-07T00:00:00"/>
    <d v="2025-05-07T00:00:00"/>
    <d v="1899-12-30T10:01:00"/>
    <d v="1899-12-30T13:04:00"/>
    <s v="B"/>
    <s v="10:01 AM"/>
    <s v="Delayed"/>
    <s v="3 Hours 3 Minutes"/>
    <x v="0"/>
  </r>
  <r>
    <x v="956"/>
    <x v="128"/>
    <n v="21"/>
    <x v="0"/>
    <x v="10"/>
    <x v="4"/>
    <x v="4"/>
    <n v="95"/>
    <n v="82"/>
    <x v="2"/>
    <n v="12000"/>
    <n v="12390"/>
    <n v="0"/>
    <x v="1"/>
    <x v="0"/>
    <d v="2025-11-27T00:00:00"/>
    <d v="2025-12-27T00:00:00"/>
    <d v="1899-12-30T08:05:00"/>
    <d v="1899-12-30T12:24:00"/>
    <s v="A"/>
    <s v="08:05 AM"/>
    <s v="On Time"/>
    <s v="4 Hours 19 Minutes"/>
    <x v="1"/>
  </r>
  <r>
    <x v="957"/>
    <x v="54"/>
    <n v="18"/>
    <x v="0"/>
    <x v="6"/>
    <x v="6"/>
    <x v="6"/>
    <n v="83"/>
    <n v="78"/>
    <x v="1"/>
    <n v="15000"/>
    <n v="17700"/>
    <n v="0"/>
    <x v="1"/>
    <x v="0"/>
    <d v="2025-07-21T00:00:00"/>
    <d v="2026-01-17T00:00:00"/>
    <d v="1899-12-30T09:49:00"/>
    <d v="1899-12-30T12:52:00"/>
    <s v="B"/>
    <s v="09:49 AM"/>
    <s v="Delayed"/>
    <s v="3 Hours 3 Minutes"/>
    <x v="1"/>
  </r>
  <r>
    <x v="958"/>
    <x v="105"/>
    <n v="27"/>
    <x v="1"/>
    <x v="6"/>
    <x v="3"/>
    <x v="3"/>
    <n v="84"/>
    <n v="87"/>
    <x v="1"/>
    <n v="18000"/>
    <n v="19470"/>
    <n v="0"/>
    <x v="1"/>
    <x v="0"/>
    <d v="2025-08-25T00:00:00"/>
    <d v="2025-10-24T00:00:00"/>
    <d v="1899-12-30T09:58:00"/>
    <d v="1899-12-30T12:58:00"/>
    <s v="B"/>
    <s v="09:58 AM"/>
    <s v="On Time"/>
    <s v="3 Hours 0 Minutes"/>
    <x v="1"/>
  </r>
  <r>
    <x v="959"/>
    <x v="118"/>
    <n v="27"/>
    <x v="0"/>
    <x v="6"/>
    <x v="4"/>
    <x v="4"/>
    <n v="44"/>
    <n v="67"/>
    <x v="0"/>
    <n v="15000"/>
    <n v="17110"/>
    <n v="0"/>
    <x v="1"/>
    <x v="0"/>
    <d v="2025-08-09T00:00:00"/>
    <d v="2026-02-05T00:00:00"/>
    <d v="1899-12-30T10:35:00"/>
    <d v="1899-12-30T15:04:00"/>
    <s v="D"/>
    <s v="10:35 AM"/>
    <s v="Delayed"/>
    <s v="4 Hours 29 Minutes"/>
    <x v="0"/>
  </r>
  <r>
    <x v="960"/>
    <x v="50"/>
    <n v="18"/>
    <x v="0"/>
    <x v="0"/>
    <x v="1"/>
    <x v="1"/>
    <n v="43"/>
    <n v="82"/>
    <x v="0"/>
    <n v="15000"/>
    <n v="17700"/>
    <n v="0"/>
    <x v="1"/>
    <x v="0"/>
    <d v="2025-01-05T00:00:00"/>
    <d v="2025-02-04T00:00:00"/>
    <d v="1899-12-30T10:48:00"/>
    <d v="1899-12-30T11:48:00"/>
    <s v="D"/>
    <s v="10:48 AM"/>
    <s v="On Time"/>
    <s v="1 Hours 0 Minutes"/>
    <x v="0"/>
  </r>
  <r>
    <x v="961"/>
    <x v="198"/>
    <n v="28"/>
    <x v="1"/>
    <x v="2"/>
    <x v="6"/>
    <x v="6"/>
    <n v="50"/>
    <n v="61"/>
    <x v="0"/>
    <n v="20000"/>
    <n v="21830"/>
    <n v="0"/>
    <x v="1"/>
    <x v="0"/>
    <d v="2025-03-02T00:00:00"/>
    <d v="2025-08-29T00:00:00"/>
    <d v="1899-12-30T10:38:00"/>
    <d v="1899-12-30T12:42:00"/>
    <s v="D"/>
    <s v="10:38 AM"/>
    <s v="Delayed"/>
    <s v="2 Hours 4 Minutes"/>
    <x v="0"/>
  </r>
  <r>
    <x v="962"/>
    <x v="197"/>
    <n v="27"/>
    <x v="1"/>
    <x v="8"/>
    <x v="4"/>
    <x v="4"/>
    <n v="41"/>
    <n v="63"/>
    <x v="0"/>
    <n v="12000"/>
    <n v="10980"/>
    <n v="2000"/>
    <x v="0"/>
    <x v="0"/>
    <d v="2025-06-26T00:00:00"/>
    <d v="2025-09-24T00:00:00"/>
    <d v="1899-12-30T08:10:00"/>
    <d v="1899-12-30T09:26:00"/>
    <s v="D"/>
    <s v="08:10 AM"/>
    <s v="On Time"/>
    <s v="1 Hours 16 Minutes"/>
    <x v="1"/>
  </r>
  <r>
    <x v="963"/>
    <x v="60"/>
    <n v="28"/>
    <x v="0"/>
    <x v="0"/>
    <x v="1"/>
    <x v="1"/>
    <n v="66"/>
    <n v="98"/>
    <x v="3"/>
    <n v="12000"/>
    <n v="10160"/>
    <n v="4000"/>
    <x v="0"/>
    <x v="0"/>
    <d v="2025-09-05T00:00:00"/>
    <d v="2026-03-04T00:00:00"/>
    <d v="1899-12-30T09:04:00"/>
    <d v="1899-12-30T12:29:00"/>
    <s v="C"/>
    <s v="09:04 AM"/>
    <s v="Delayed"/>
    <s v="3 Hours 25 Minutes"/>
    <x v="1"/>
  </r>
  <r>
    <x v="964"/>
    <x v="223"/>
    <n v="25"/>
    <x v="1"/>
    <x v="7"/>
    <x v="1"/>
    <x v="1"/>
    <n v="60"/>
    <n v="60"/>
    <x v="3"/>
    <n v="20000"/>
    <n v="22420"/>
    <n v="0"/>
    <x v="1"/>
    <x v="1"/>
    <d v="2025-03-08T00:00:00"/>
    <d v="2025-07-06T00:00:00"/>
    <d v="1899-12-30T09:10:00"/>
    <d v="1899-12-30T13:46:00"/>
    <s v="C"/>
    <s v="09:10 AM"/>
    <s v="Delayed"/>
    <s v="4 Hours 36 Minutes"/>
    <x v="1"/>
  </r>
  <r>
    <x v="965"/>
    <x v="151"/>
    <n v="18"/>
    <x v="1"/>
    <x v="9"/>
    <x v="4"/>
    <x v="4"/>
    <n v="64"/>
    <n v="61"/>
    <x v="3"/>
    <n v="20000"/>
    <n v="21010"/>
    <n v="2000"/>
    <x v="0"/>
    <x v="0"/>
    <d v="2025-03-11T00:00:00"/>
    <d v="2025-05-10T00:00:00"/>
    <d v="1899-12-30T10:08:00"/>
    <d v="1899-12-30T11:47:00"/>
    <s v="C"/>
    <s v="10:08 AM"/>
    <s v="On Time"/>
    <s v="1 Hours 39 Minutes"/>
    <x v="0"/>
  </r>
  <r>
    <x v="966"/>
    <x v="96"/>
    <n v="28"/>
    <x v="1"/>
    <x v="7"/>
    <x v="1"/>
    <x v="1"/>
    <n v="57"/>
    <n v="65"/>
    <x v="0"/>
    <n v="12000"/>
    <n v="10160"/>
    <n v="4000"/>
    <x v="0"/>
    <x v="0"/>
    <d v="2025-03-01T00:00:00"/>
    <d v="2025-05-30T00:00:00"/>
    <d v="1899-12-30T10:57:00"/>
    <d v="1899-12-30T15:53:00"/>
    <s v="D"/>
    <s v="10:57 AM"/>
    <s v="On Time"/>
    <s v="4 Hours 56 Minutes"/>
    <x v="0"/>
  </r>
  <r>
    <x v="967"/>
    <x v="106"/>
    <n v="18"/>
    <x v="0"/>
    <x v="0"/>
    <x v="3"/>
    <x v="3"/>
    <n v="59"/>
    <n v="87"/>
    <x v="0"/>
    <n v="15000"/>
    <n v="13700"/>
    <n v="4000"/>
    <x v="0"/>
    <x v="0"/>
    <d v="2025-12-30T00:00:00"/>
    <d v="2026-01-29T00:00:00"/>
    <d v="1899-12-30T10:10:00"/>
    <d v="1899-12-30T14:05:00"/>
    <s v="D"/>
    <s v="10:10 AM"/>
    <s v="On Time"/>
    <s v="3 Hours 55 Minutes"/>
    <x v="0"/>
  </r>
  <r>
    <x v="968"/>
    <x v="90"/>
    <n v="24"/>
    <x v="0"/>
    <x v="2"/>
    <x v="2"/>
    <x v="2"/>
    <n v="85"/>
    <n v="90"/>
    <x v="1"/>
    <n v="18000"/>
    <n v="15470"/>
    <n v="4000"/>
    <x v="0"/>
    <x v="0"/>
    <d v="2025-11-04T00:00:00"/>
    <d v="2026-01-03T00:00:00"/>
    <d v="1899-12-30T10:03:00"/>
    <d v="1899-12-30T14:42:00"/>
    <s v="B"/>
    <s v="10:03 AM"/>
    <s v="On Time"/>
    <s v="4 Hours 39 Minutes"/>
    <x v="0"/>
  </r>
  <r>
    <x v="969"/>
    <x v="211"/>
    <n v="21"/>
    <x v="0"/>
    <x v="6"/>
    <x v="3"/>
    <x v="3"/>
    <n v="68"/>
    <n v="81"/>
    <x v="3"/>
    <n v="12000"/>
    <n v="10390"/>
    <n v="2000"/>
    <x v="0"/>
    <x v="0"/>
    <d v="2025-12-16T00:00:00"/>
    <d v="2026-02-14T00:00:00"/>
    <d v="1899-12-30T08:37:00"/>
    <d v="1899-12-30T10:20:00"/>
    <s v="C"/>
    <s v="08:37 AM"/>
    <s v="On Time"/>
    <s v="1 Hours 43 Minutes"/>
    <x v="1"/>
  </r>
  <r>
    <x v="970"/>
    <x v="158"/>
    <n v="22"/>
    <x v="0"/>
    <x v="10"/>
    <x v="1"/>
    <x v="1"/>
    <n v="76"/>
    <n v="81"/>
    <x v="1"/>
    <n v="18000"/>
    <n v="21240"/>
    <n v="0"/>
    <x v="1"/>
    <x v="0"/>
    <d v="2025-03-29T00:00:00"/>
    <d v="2025-07-27T00:00:00"/>
    <d v="1899-12-30T08:45:00"/>
    <d v="1899-12-30T10:56:00"/>
    <s v="B"/>
    <s v="08:45 AM"/>
    <s v="Delayed"/>
    <s v="2 Hours 11 Minutes"/>
    <x v="1"/>
  </r>
  <r>
    <x v="971"/>
    <x v="60"/>
    <n v="18"/>
    <x v="0"/>
    <x v="11"/>
    <x v="1"/>
    <x v="1"/>
    <n v="37"/>
    <n v="87"/>
    <x v="0"/>
    <n v="15000"/>
    <n v="13110"/>
    <n v="4000"/>
    <x v="0"/>
    <x v="0"/>
    <d v="2025-07-30T00:00:00"/>
    <d v="2025-08-29T00:00:00"/>
    <d v="1899-12-30T09:34:00"/>
    <d v="1899-12-30T13:44:00"/>
    <s v="D"/>
    <s v="09:34 AM"/>
    <s v="On Time"/>
    <s v="4 Hours 10 Minutes"/>
    <x v="1"/>
  </r>
  <r>
    <x v="972"/>
    <x v="5"/>
    <n v="27"/>
    <x v="0"/>
    <x v="11"/>
    <x v="6"/>
    <x v="6"/>
    <n v="95"/>
    <n v="72"/>
    <x v="2"/>
    <n v="12000"/>
    <n v="8390"/>
    <n v="4000"/>
    <x v="0"/>
    <x v="0"/>
    <d v="2025-08-11T00:00:00"/>
    <d v="2025-12-09T00:00:00"/>
    <d v="1899-12-30T08:48:00"/>
    <d v="1899-12-30T10:31:00"/>
    <s v="A"/>
    <s v="08:48 AM"/>
    <s v="Delayed"/>
    <s v="1 Hours 43 Minutes"/>
    <x v="1"/>
  </r>
  <r>
    <x v="973"/>
    <x v="83"/>
    <n v="19"/>
    <x v="1"/>
    <x v="2"/>
    <x v="1"/>
    <x v="1"/>
    <n v="38"/>
    <n v="92"/>
    <x v="0"/>
    <n v="20000"/>
    <n v="19600"/>
    <n v="4000"/>
    <x v="0"/>
    <x v="0"/>
    <d v="2025-07-18T00:00:00"/>
    <d v="2025-10-16T00:00:00"/>
    <d v="1899-12-30T08:59:00"/>
    <d v="1899-12-30T10:34:00"/>
    <s v="D"/>
    <s v="08:59 AM"/>
    <s v="On Time"/>
    <s v="1 Hours 35 Minutes"/>
    <x v="1"/>
  </r>
  <r>
    <x v="974"/>
    <x v="229"/>
    <n v="19"/>
    <x v="1"/>
    <x v="6"/>
    <x v="0"/>
    <x v="0"/>
    <n v="80"/>
    <n v="62"/>
    <x v="1"/>
    <n v="15000"/>
    <n v="11930"/>
    <n v="4000"/>
    <x v="0"/>
    <x v="0"/>
    <d v="2025-07-30T00:00:00"/>
    <d v="2026-01-26T00:00:00"/>
    <d v="1899-12-30T10:13:00"/>
    <d v="1899-12-30T11:37:00"/>
    <s v="B"/>
    <s v="10:13 AM"/>
    <s v="Delayed"/>
    <s v="1 Hours 24 Minutes"/>
    <x v="0"/>
  </r>
  <r>
    <x v="975"/>
    <x v="124"/>
    <n v="26"/>
    <x v="1"/>
    <x v="8"/>
    <x v="6"/>
    <x v="6"/>
    <n v="100"/>
    <n v="65"/>
    <x v="2"/>
    <n v="15000"/>
    <n v="13700"/>
    <n v="4000"/>
    <x v="0"/>
    <x v="0"/>
    <d v="2025-02-25T00:00:00"/>
    <d v="2025-08-24T00:00:00"/>
    <d v="1899-12-30T08:09:00"/>
    <d v="1899-12-30T10:48:00"/>
    <s v="A"/>
    <s v="08:09 AM"/>
    <s v="Delayed"/>
    <s v="2 Hours 39 Minutes"/>
    <x v="1"/>
  </r>
  <r>
    <x v="976"/>
    <x v="62"/>
    <n v="27"/>
    <x v="1"/>
    <x v="10"/>
    <x v="5"/>
    <x v="5"/>
    <n v="65"/>
    <n v="64"/>
    <x v="3"/>
    <n v="10000"/>
    <n v="7800"/>
    <n v="4000"/>
    <x v="0"/>
    <x v="0"/>
    <d v="2025-07-05T00:00:00"/>
    <d v="2025-08-04T00:00:00"/>
    <d v="1899-12-30T08:23:00"/>
    <d v="1899-12-30T12:10:00"/>
    <s v="C"/>
    <s v="08:23 AM"/>
    <s v="On Time"/>
    <s v="3 Hours 47 Minutes"/>
    <x v="1"/>
  </r>
  <r>
    <x v="977"/>
    <x v="31"/>
    <n v="23"/>
    <x v="1"/>
    <x v="5"/>
    <x v="1"/>
    <x v="1"/>
    <n v="95"/>
    <n v="77"/>
    <x v="2"/>
    <n v="12000"/>
    <n v="10160"/>
    <n v="4000"/>
    <x v="0"/>
    <x v="0"/>
    <d v="2025-08-24T00:00:00"/>
    <d v="2026-02-20T00:00:00"/>
    <d v="1899-12-30T10:16:00"/>
    <d v="1899-12-30T11:17:00"/>
    <s v="A"/>
    <s v="10:16 AM"/>
    <s v="Delayed"/>
    <s v="1 Hours 1 Minutes"/>
    <x v="0"/>
  </r>
  <r>
    <x v="978"/>
    <x v="202"/>
    <n v="23"/>
    <x v="1"/>
    <x v="9"/>
    <x v="2"/>
    <x v="2"/>
    <n v="69"/>
    <n v="60"/>
    <x v="3"/>
    <n v="18000"/>
    <n v="19470"/>
    <n v="0"/>
    <x v="1"/>
    <x v="1"/>
    <d v="2025-03-17T00:00:00"/>
    <d v="2025-09-13T00:00:00"/>
    <d v="1899-12-30T08:39:00"/>
    <d v="1899-12-30T12:50:00"/>
    <s v="C"/>
    <s v="08:39 AM"/>
    <s v="Delayed"/>
    <s v="4 Hours 11 Minutes"/>
    <x v="1"/>
  </r>
  <r>
    <x v="979"/>
    <x v="116"/>
    <n v="18"/>
    <x v="0"/>
    <x v="11"/>
    <x v="7"/>
    <x v="7"/>
    <n v="56"/>
    <n v="75"/>
    <x v="0"/>
    <n v="20000"/>
    <n v="17830"/>
    <n v="4000"/>
    <x v="0"/>
    <x v="0"/>
    <d v="2025-02-25T00:00:00"/>
    <d v="2025-04-26T00:00:00"/>
    <d v="1899-12-30T10:49:00"/>
    <d v="1899-12-30T13:51:00"/>
    <s v="D"/>
    <s v="10:49 AM"/>
    <s v="On Time"/>
    <s v="3 Hours 2 Minutes"/>
    <x v="0"/>
  </r>
  <r>
    <x v="980"/>
    <x v="236"/>
    <n v="25"/>
    <x v="1"/>
    <x v="10"/>
    <x v="7"/>
    <x v="7"/>
    <n v="66"/>
    <n v="95"/>
    <x v="3"/>
    <n v="18000"/>
    <n v="17240"/>
    <n v="4000"/>
    <x v="0"/>
    <x v="0"/>
    <d v="2025-06-26T00:00:00"/>
    <d v="2025-12-23T00:00:00"/>
    <d v="1899-12-30T08:16:00"/>
    <d v="1899-12-30T09:34:00"/>
    <s v="C"/>
    <s v="08:16 AM"/>
    <s v="Delayed"/>
    <s v="1 Hours 18 Minutes"/>
    <x v="1"/>
  </r>
  <r>
    <x v="981"/>
    <x v="220"/>
    <n v="19"/>
    <x v="0"/>
    <x v="4"/>
    <x v="0"/>
    <x v="0"/>
    <n v="84"/>
    <n v="62"/>
    <x v="1"/>
    <n v="15000"/>
    <n v="17700"/>
    <n v="0"/>
    <x v="1"/>
    <x v="1"/>
    <d v="2025-03-08T00:00:00"/>
    <d v="2025-06-06T00:00:00"/>
    <d v="1899-12-30T08:04:00"/>
    <d v="1899-12-30T12:04:00"/>
    <s v="B"/>
    <s v="08:04 AM"/>
    <s v="On Time"/>
    <s v="4 Hours 0 Minutes"/>
    <x v="1"/>
  </r>
  <r>
    <x v="982"/>
    <x v="207"/>
    <n v="18"/>
    <x v="0"/>
    <x v="11"/>
    <x v="3"/>
    <x v="3"/>
    <n v="52"/>
    <n v="75"/>
    <x v="0"/>
    <n v="18000"/>
    <n v="18650"/>
    <n v="2000"/>
    <x v="0"/>
    <x v="0"/>
    <d v="2025-04-21T00:00:00"/>
    <d v="2025-07-20T00:00:00"/>
    <d v="1899-12-30T08:59:00"/>
    <d v="1899-12-30T10:45:00"/>
    <s v="D"/>
    <s v="08:59 AM"/>
    <s v="On Time"/>
    <s v="1 Hours 46 Minutes"/>
    <x v="1"/>
  </r>
  <r>
    <x v="983"/>
    <x v="73"/>
    <n v="24"/>
    <x v="1"/>
    <x v="7"/>
    <x v="4"/>
    <x v="4"/>
    <n v="78"/>
    <n v="78"/>
    <x v="1"/>
    <n v="12000"/>
    <n v="13570"/>
    <n v="0"/>
    <x v="1"/>
    <x v="0"/>
    <d v="2025-04-01T00:00:00"/>
    <d v="2025-09-28T00:00:00"/>
    <d v="1899-12-30T10:30:00"/>
    <d v="1899-12-30T12:58:00"/>
    <s v="B"/>
    <s v="10:30 AM"/>
    <s v="Delayed"/>
    <s v="2 Hours 28 Minutes"/>
    <x v="0"/>
  </r>
  <r>
    <x v="984"/>
    <x v="54"/>
    <n v="22"/>
    <x v="1"/>
    <x v="4"/>
    <x v="7"/>
    <x v="7"/>
    <n v="50"/>
    <n v="72"/>
    <x v="0"/>
    <n v="18000"/>
    <n v="21240"/>
    <n v="0"/>
    <x v="1"/>
    <x v="0"/>
    <d v="2025-10-02T00:00:00"/>
    <d v="2026-01-30T00:00:00"/>
    <d v="1899-12-30T10:47:00"/>
    <d v="1899-12-30T13:21:00"/>
    <s v="D"/>
    <s v="10:47 AM"/>
    <s v="Delayed"/>
    <s v="2 Hours 34 Minutes"/>
    <x v="0"/>
  </r>
  <r>
    <x v="985"/>
    <x v="227"/>
    <n v="23"/>
    <x v="0"/>
    <x v="11"/>
    <x v="7"/>
    <x v="7"/>
    <n v="49"/>
    <n v="66"/>
    <x v="0"/>
    <n v="18000"/>
    <n v="19240"/>
    <n v="2000"/>
    <x v="0"/>
    <x v="0"/>
    <d v="2025-04-10T00:00:00"/>
    <d v="2025-07-09T00:00:00"/>
    <d v="1899-12-30T09:27:00"/>
    <d v="1899-12-30T11:17:00"/>
    <s v="D"/>
    <s v="09:27 AM"/>
    <s v="On Time"/>
    <s v="1 Hours 50 Minutes"/>
    <x v="1"/>
  </r>
  <r>
    <x v="986"/>
    <x v="16"/>
    <n v="19"/>
    <x v="1"/>
    <x v="8"/>
    <x v="6"/>
    <x v="6"/>
    <n v="67"/>
    <n v="96"/>
    <x v="3"/>
    <n v="12000"/>
    <n v="9570"/>
    <n v="4000"/>
    <x v="0"/>
    <x v="0"/>
    <d v="2025-11-08T00:00:00"/>
    <d v="2025-12-08T00:00:00"/>
    <d v="1899-12-30T10:35:00"/>
    <d v="1899-12-30T12:36:00"/>
    <s v="C"/>
    <s v="10:35 AM"/>
    <s v="On Time"/>
    <s v="2 Hours 1 Minutes"/>
    <x v="0"/>
  </r>
  <r>
    <x v="987"/>
    <x v="28"/>
    <n v="21"/>
    <x v="1"/>
    <x v="5"/>
    <x v="0"/>
    <x v="0"/>
    <n v="73"/>
    <n v="61"/>
    <x v="3"/>
    <n v="18000"/>
    <n v="20650"/>
    <n v="0"/>
    <x v="1"/>
    <x v="1"/>
    <d v="2025-08-06T00:00:00"/>
    <d v="2026-02-02T00:00:00"/>
    <d v="1899-12-30T09:49:00"/>
    <d v="1899-12-30T14:19:00"/>
    <s v="C"/>
    <s v="09:49 AM"/>
    <s v="Delayed"/>
    <s v="4 Hours 30 Minutes"/>
    <x v="1"/>
  </r>
  <r>
    <x v="988"/>
    <x v="93"/>
    <n v="21"/>
    <x v="1"/>
    <x v="3"/>
    <x v="2"/>
    <x v="2"/>
    <n v="56"/>
    <n v="88"/>
    <x v="0"/>
    <n v="15000"/>
    <n v="13930"/>
    <n v="2000"/>
    <x v="0"/>
    <x v="0"/>
    <d v="2025-12-08T00:00:00"/>
    <d v="2026-03-08T00:00:00"/>
    <d v="1899-12-30T10:21:00"/>
    <d v="1899-12-30T15:09:00"/>
    <s v="D"/>
    <s v="10:21 AM"/>
    <s v="On Time"/>
    <s v="4 Hours 48 Minutes"/>
    <x v="0"/>
  </r>
  <r>
    <x v="989"/>
    <x v="111"/>
    <n v="28"/>
    <x v="1"/>
    <x v="6"/>
    <x v="0"/>
    <x v="0"/>
    <n v="95"/>
    <n v="71"/>
    <x v="2"/>
    <n v="15000"/>
    <n v="14520"/>
    <n v="2000"/>
    <x v="0"/>
    <x v="0"/>
    <d v="2025-02-18T00:00:00"/>
    <d v="2025-06-18T00:00:00"/>
    <d v="1899-12-30T10:24:00"/>
    <d v="1899-12-30T12:24:00"/>
    <s v="A"/>
    <s v="10:24 AM"/>
    <s v="Delayed"/>
    <s v="2 Hours 0 Minutes"/>
    <x v="0"/>
  </r>
  <r>
    <x v="990"/>
    <x v="169"/>
    <n v="22"/>
    <x v="0"/>
    <x v="10"/>
    <x v="7"/>
    <x v="7"/>
    <n v="35"/>
    <n v="95"/>
    <x v="0"/>
    <n v="15000"/>
    <n v="16520"/>
    <n v="0"/>
    <x v="1"/>
    <x v="0"/>
    <d v="2025-10-01T00:00:00"/>
    <d v="2026-03-30T00:00:00"/>
    <d v="1899-12-30T09:26:00"/>
    <d v="1899-12-30T11:24:00"/>
    <s v="D"/>
    <s v="09:26 AM"/>
    <s v="Delayed"/>
    <s v="1 Hours 58 Minutes"/>
    <x v="1"/>
  </r>
  <r>
    <x v="991"/>
    <x v="228"/>
    <n v="28"/>
    <x v="1"/>
    <x v="3"/>
    <x v="1"/>
    <x v="1"/>
    <n v="43"/>
    <n v="79"/>
    <x v="0"/>
    <n v="18000"/>
    <n v="17240"/>
    <n v="4000"/>
    <x v="0"/>
    <x v="0"/>
    <d v="2025-06-21T00:00:00"/>
    <d v="2025-09-19T00:00:00"/>
    <d v="1899-12-30T09:01:00"/>
    <d v="1899-12-30T13:43:00"/>
    <s v="D"/>
    <s v="09:01 AM"/>
    <s v="On Time"/>
    <s v="4 Hours 42 Minutes"/>
    <x v="1"/>
  </r>
  <r>
    <x v="992"/>
    <x v="2"/>
    <n v="23"/>
    <x v="1"/>
    <x v="0"/>
    <x v="1"/>
    <x v="1"/>
    <n v="84"/>
    <n v="62"/>
    <x v="1"/>
    <n v="18000"/>
    <n v="17470"/>
    <n v="2000"/>
    <x v="0"/>
    <x v="0"/>
    <d v="2025-07-06T00:00:00"/>
    <d v="2025-10-04T00:00:00"/>
    <d v="1899-12-30T08:26:00"/>
    <d v="1899-12-30T09:39:00"/>
    <s v="B"/>
    <s v="08:26 AM"/>
    <s v="On Time"/>
    <s v="1 Hours 13 Minutes"/>
    <x v="1"/>
  </r>
  <r>
    <x v="993"/>
    <x v="166"/>
    <n v="27"/>
    <x v="0"/>
    <x v="1"/>
    <x v="6"/>
    <x v="6"/>
    <n v="100"/>
    <n v="83"/>
    <x v="2"/>
    <n v="20000"/>
    <n v="17830"/>
    <n v="4000"/>
    <x v="0"/>
    <x v="0"/>
    <d v="2025-05-26T00:00:00"/>
    <d v="2025-09-23T00:00:00"/>
    <d v="1899-12-30T08:26:00"/>
    <d v="1899-12-30T10:04:00"/>
    <s v="A"/>
    <s v="08:26 AM"/>
    <s v="Delayed"/>
    <s v="1 Hours 38 Minutes"/>
    <x v="1"/>
  </r>
  <r>
    <x v="994"/>
    <x v="4"/>
    <n v="22"/>
    <x v="0"/>
    <x v="11"/>
    <x v="2"/>
    <x v="2"/>
    <n v="82"/>
    <n v="100"/>
    <x v="1"/>
    <n v="15000"/>
    <n v="16520"/>
    <n v="0"/>
    <x v="1"/>
    <x v="0"/>
    <d v="2025-09-20T00:00:00"/>
    <d v="2026-03-19T00:00:00"/>
    <d v="1899-12-30T09:25:00"/>
    <d v="1899-12-30T10:30:00"/>
    <s v="B"/>
    <s v="09:25 AM"/>
    <s v="Delayed"/>
    <s v="1 Hours 5 Minutes"/>
    <x v="1"/>
  </r>
  <r>
    <x v="995"/>
    <x v="123"/>
    <n v="22"/>
    <x v="0"/>
    <x v="7"/>
    <x v="2"/>
    <x v="2"/>
    <n v="80"/>
    <n v="67"/>
    <x v="1"/>
    <n v="12000"/>
    <n v="8390"/>
    <n v="4000"/>
    <x v="0"/>
    <x v="0"/>
    <d v="2025-12-22T00:00:00"/>
    <d v="2026-03-22T00:00:00"/>
    <d v="1899-12-30T10:27:00"/>
    <d v="1899-12-30T13:54:00"/>
    <s v="B"/>
    <s v="10:27 AM"/>
    <s v="On Time"/>
    <s v="3 Hours 27 Minutes"/>
    <x v="0"/>
  </r>
  <r>
    <x v="996"/>
    <x v="3"/>
    <n v="20"/>
    <x v="1"/>
    <x v="0"/>
    <x v="4"/>
    <x v="4"/>
    <n v="62"/>
    <n v="63"/>
    <x v="3"/>
    <n v="12000"/>
    <n v="12980"/>
    <n v="0"/>
    <x v="1"/>
    <x v="0"/>
    <d v="2025-02-25T00:00:00"/>
    <d v="2025-05-26T00:00:00"/>
    <d v="1899-12-30T08:17:00"/>
    <d v="1899-12-30T12:22:00"/>
    <s v="C"/>
    <s v="08:17 AM"/>
    <s v="On Time"/>
    <s v="4 Hours 5 Minutes"/>
    <x v="1"/>
  </r>
  <r>
    <x v="997"/>
    <x v="11"/>
    <n v="20"/>
    <x v="0"/>
    <x v="4"/>
    <x v="4"/>
    <x v="4"/>
    <n v="56"/>
    <n v="86"/>
    <x v="0"/>
    <n v="15000"/>
    <n v="16520"/>
    <n v="0"/>
    <x v="1"/>
    <x v="0"/>
    <d v="2025-01-20T00:00:00"/>
    <d v="2025-02-19T00:00:00"/>
    <d v="1899-12-30T08:49:00"/>
    <d v="1899-12-30T13:13:00"/>
    <s v="D"/>
    <s v="08:49 AM"/>
    <s v="On Time"/>
    <s v="4 Hours 24 Minutes"/>
    <x v="1"/>
  </r>
  <r>
    <x v="998"/>
    <x v="170"/>
    <n v="19"/>
    <x v="1"/>
    <x v="9"/>
    <x v="4"/>
    <x v="4"/>
    <n v="55"/>
    <n v="95"/>
    <x v="0"/>
    <n v="15000"/>
    <n v="13110"/>
    <n v="4000"/>
    <x v="0"/>
    <x v="0"/>
    <d v="2025-01-25T00:00:00"/>
    <d v="2025-04-25T00:00:00"/>
    <d v="1899-12-30T09:51:00"/>
    <d v="1899-12-30T13:11:00"/>
    <s v="D"/>
    <s v="09:51 AM"/>
    <s v="On Time"/>
    <s v="3 Hours 20 Minutes"/>
    <x v="1"/>
  </r>
  <r>
    <x v="999"/>
    <x v="147"/>
    <n v="24"/>
    <x v="1"/>
    <x v="1"/>
    <x v="3"/>
    <x v="3"/>
    <n v="45"/>
    <n v="82"/>
    <x v="0"/>
    <n v="10000"/>
    <n v="10030"/>
    <n v="0"/>
    <x v="1"/>
    <x v="0"/>
    <d v="2025-04-10T00:00:00"/>
    <d v="2025-10-07T00:00:00"/>
    <d v="1899-12-30T10:08:00"/>
    <d v="1899-12-30T13:45:00"/>
    <s v="D"/>
    <s v="10:08 AM"/>
    <s v="Delayed"/>
    <s v="3 Hours 37 Minut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7061A-FA11-4BD8-9D99-FBB5AE864A63}"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7:E30"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axis="axisRow" showAll="0">
      <items count="3">
        <item x="0"/>
        <item x="1"/>
        <item t="default"/>
      </items>
    </pivotField>
  </pivotFields>
  <rowFields count="1">
    <field x="23"/>
  </rowFields>
  <rowItems count="3">
    <i>
      <x/>
    </i>
    <i>
      <x v="1"/>
    </i>
    <i t="grand">
      <x/>
    </i>
  </rowItems>
  <colItems count="1">
    <i/>
  </colItems>
  <dataFields count="1">
    <dataField name="Count of Student_ID" fld="0"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F4600-7759-4BC2-92EC-4657DE60223E}"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D5:E10"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axis="axisRow" showAll="0">
      <items count="9">
        <item x="5"/>
        <item x="3"/>
        <item x="6"/>
        <item x="0"/>
        <item h="1" x="4"/>
        <item h="1" x="1"/>
        <item h="1" x="7"/>
        <item h="1"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Student_ID" fld="0" subtotal="count" baseField="0" baseItem="0"/>
  </dataFields>
  <chartFormats count="3">
    <chartFormat chart="2"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43050D-BD50-4280-B89A-0498954DF6C8}" name="PivotTable2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3:B35" firstHeaderRow="1" firstDataRow="1" firstDataCol="1"/>
  <pivotFields count="24">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3"/>
  </rowFields>
  <rowItems count="2">
    <i>
      <x/>
    </i>
    <i>
      <x v="1"/>
    </i>
  </rowItems>
  <colItems count="1">
    <i/>
  </colItems>
  <dataFields count="1">
    <dataField name="Max of Quiz_Score" fld="7" subtotal="max" baseField="3" baseItem="0"/>
  </dataFields>
  <chartFormats count="1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3" count="1" selected="0">
            <x v="0"/>
          </reference>
        </references>
      </pivotArea>
    </chartFormat>
    <chartFormat chart="11" format="18">
      <pivotArea type="data" outline="0" fieldPosition="0">
        <references count="2">
          <reference field="4294967294" count="1" selected="0">
            <x v="0"/>
          </reference>
          <reference field="3" count="1" selected="0">
            <x v="1"/>
          </reference>
        </references>
      </pivotArea>
    </chartFormat>
    <chartFormat chart="15" format="19" series="1">
      <pivotArea type="data" outline="0" fieldPosition="0">
        <references count="1">
          <reference field="4294967294" count="1" selected="0">
            <x v="0"/>
          </reference>
        </references>
      </pivotArea>
    </chartFormat>
    <chartFormat chart="15" format="20">
      <pivotArea type="data" outline="0" fieldPosition="0">
        <references count="2">
          <reference field="4294967294" count="1" selected="0">
            <x v="0"/>
          </reference>
          <reference field="3" count="1" selected="0">
            <x v="0"/>
          </reference>
        </references>
      </pivotArea>
    </chartFormat>
    <chartFormat chart="15" format="21">
      <pivotArea type="data" outline="0" fieldPosition="0">
        <references count="2">
          <reference field="4294967294" count="1" selected="0">
            <x v="0"/>
          </reference>
          <reference field="3" count="1" selected="0">
            <x v="1"/>
          </reference>
        </references>
      </pivotArea>
    </chartFormat>
    <chartFormat chart="17" format="25" series="1">
      <pivotArea type="data" outline="0" fieldPosition="0">
        <references count="1">
          <reference field="4294967294" count="1" selected="0">
            <x v="0"/>
          </reference>
        </references>
      </pivotArea>
    </chartFormat>
    <chartFormat chart="17" format="26">
      <pivotArea type="data" outline="0" fieldPosition="0">
        <references count="2">
          <reference field="4294967294" count="1" selected="0">
            <x v="0"/>
          </reference>
          <reference field="3" count="1" selected="0">
            <x v="0"/>
          </reference>
        </references>
      </pivotArea>
    </chartFormat>
    <chartFormat chart="17" format="27">
      <pivotArea type="data" outline="0" fieldPosition="0">
        <references count="2">
          <reference field="4294967294" count="1" selected="0">
            <x v="0"/>
          </reference>
          <reference field="3" count="1" selected="0">
            <x v="1"/>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3" count="1" selected="0">
            <x v="0"/>
          </reference>
        </references>
      </pivotArea>
    </chartFormat>
    <chartFormat chart="19" format="2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27700-C0A5-4AC4-95D5-991FAA3F7B5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5:N11" firstHeaderRow="1" firstDataRow="1" firstDataCol="1"/>
  <pivotFields count="24">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238">
        <item sd="0" x="155"/>
        <item sd="0" x="109"/>
        <item sd="0" x="82"/>
        <item h="1" sd="0" x="99"/>
        <item sd="0" x="233"/>
        <item sd="0" x="8"/>
        <item h="1" sd="0" x="28"/>
        <item h="1" sd="0" x="222"/>
        <item h="1" sd="0" x="193"/>
        <item h="1" sd="0" x="51"/>
        <item h="1" sd="0" x="44"/>
        <item h="1" sd="0" x="124"/>
        <item h="1" sd="0" x="232"/>
        <item h="1" sd="0" x="170"/>
        <item h="1" sd="0" x="125"/>
        <item h="1" sd="0" x="4"/>
        <item h="1" sd="0" x="60"/>
        <item h="1" sd="0" x="31"/>
        <item h="1" sd="0" x="25"/>
        <item h="1" sd="0" x="211"/>
        <item h="1" sd="0" x="224"/>
        <item h="1" sd="0" x="174"/>
        <item h="1" sd="0" x="64"/>
        <item h="1" sd="0" x="185"/>
        <item h="1" sd="0" x="210"/>
        <item h="1" sd="0" x="73"/>
        <item h="1" sd="0" x="208"/>
        <item h="1" sd="0" x="133"/>
        <item h="1" sd="0" x="152"/>
        <item h="1" sd="0" x="87"/>
        <item h="1" sd="0" x="214"/>
        <item h="1" sd="0" x="142"/>
        <item h="1" sd="0" x="80"/>
        <item h="1" sd="0" x="65"/>
        <item h="1" sd="0" x="50"/>
        <item h="1" sd="0" x="166"/>
        <item h="1" sd="0" x="49"/>
        <item h="1" sd="0" x="130"/>
        <item h="1" sd="0" x="195"/>
        <item h="1" sd="0" x="15"/>
        <item h="1" sd="0" x="120"/>
        <item h="1" sd="0" x="0"/>
        <item h="1" sd="0" x="33"/>
        <item h="1" sd="0" x="159"/>
        <item h="1" sd="0" x="207"/>
        <item h="1" sd="0" x="157"/>
        <item h="1" sd="0" x="135"/>
        <item h="1" sd="0" x="84"/>
        <item h="1" sd="0" x="83"/>
        <item h="1" sd="0" x="75"/>
        <item h="1" sd="0" x="41"/>
        <item h="1" sd="0" x="121"/>
        <item h="1" sd="0" x="191"/>
        <item h="1" sd="0" x="32"/>
        <item h="1" sd="0" x="62"/>
        <item h="1" sd="0" x="127"/>
        <item h="1" sd="0" x="183"/>
        <item h="1" sd="0" x="111"/>
        <item h="1" sd="0" x="22"/>
        <item h="1" sd="0" x="77"/>
        <item h="1" sd="0" x="20"/>
        <item h="1" sd="0" x="138"/>
        <item h="1" sd="0" x="34"/>
        <item h="1" sd="0" x="187"/>
        <item h="1" sd="0" x="9"/>
        <item h="1" sd="0" x="213"/>
        <item h="1" sd="0" x="151"/>
        <item h="1" sd="0" x="13"/>
        <item h="1" sd="0" x="114"/>
        <item h="1" sd="0" x="206"/>
        <item h="1" sd="0" x="5"/>
        <item h="1" sd="0" x="171"/>
        <item h="1" sd="0" x="118"/>
        <item h="1" sd="0" x="105"/>
        <item h="1" sd="0" x="230"/>
        <item h="1" sd="0" x="205"/>
        <item h="1" sd="0" x="156"/>
        <item h="1" sd="0" x="196"/>
        <item h="1" sd="0" x="199"/>
        <item h="1" sd="0" x="10"/>
        <item h="1" sd="0" x="177"/>
        <item h="1" sd="0" x="153"/>
        <item h="1" sd="0" x="192"/>
        <item h="1" sd="0" x="215"/>
        <item h="1" sd="0" x="108"/>
        <item h="1" sd="0" x="201"/>
        <item h="1" sd="0" x="132"/>
        <item h="1" sd="0" x="186"/>
        <item h="1" sd="0" x="228"/>
        <item h="1" sd="0" x="63"/>
        <item h="1" sd="0" x="147"/>
        <item h="1" sd="0" x="149"/>
        <item h="1" sd="0" x="197"/>
        <item h="1" sd="0" x="116"/>
        <item h="1" sd="0" x="40"/>
        <item h="1" sd="0" x="61"/>
        <item h="1" sd="0" x="72"/>
        <item h="1" sd="0" x="94"/>
        <item h="1" sd="0" x="102"/>
        <item h="1" sd="0" x="55"/>
        <item h="1" sd="0" x="202"/>
        <item h="1" sd="0" x="46"/>
        <item h="1" sd="0" x="158"/>
        <item h="1" sd="0" x="131"/>
        <item h="1" sd="0" x="190"/>
        <item h="1" sd="0" x="216"/>
        <item h="1" sd="0" x="79"/>
        <item h="1" sd="0" x="175"/>
        <item h="1" sd="0" x="154"/>
        <item h="1" sd="0" x="66"/>
        <item h="1" sd="0" x="101"/>
        <item h="1" sd="0" x="122"/>
        <item h="1" sd="0" x="86"/>
        <item h="1" sd="0" x="48"/>
        <item h="1" sd="0" x="163"/>
        <item h="1" sd="0" x="219"/>
        <item h="1" sd="0" x="52"/>
        <item h="1" sd="0" x="89"/>
        <item h="1" sd="0" x="234"/>
        <item h="1" sd="0" x="145"/>
        <item h="1" sd="0" x="136"/>
        <item h="1" sd="0" x="134"/>
        <item h="1" sd="0" x="162"/>
        <item h="1" sd="0" x="14"/>
        <item h="1" sd="0" x="54"/>
        <item h="1" sd="0" x="39"/>
        <item h="1" sd="0" x="3"/>
        <item h="1" sd="0" x="119"/>
        <item h="1" sd="0" x="218"/>
        <item h="1" sd="0" x="56"/>
        <item h="1" sd="0" x="42"/>
        <item h="1" sd="0" x="16"/>
        <item h="1" sd="0" x="200"/>
        <item h="1" sd="0" x="88"/>
        <item h="1" sd="0" x="37"/>
        <item h="1" sd="0" x="204"/>
        <item h="1" sd="0" x="17"/>
        <item h="1" sd="0" x="229"/>
        <item h="1" sd="0" x="7"/>
        <item h="1" sd="0" x="164"/>
        <item h="1" sd="0" x="92"/>
        <item h="1" sd="0" x="70"/>
        <item h="1" sd="0" x="220"/>
        <item h="1" sd="0" x="203"/>
        <item h="1" sd="0" x="36"/>
        <item h="1" sd="0" x="97"/>
        <item h="1" sd="0" x="57"/>
        <item h="1" sd="0" x="113"/>
        <item h="1" sd="0" x="81"/>
        <item h="1" sd="0" x="140"/>
        <item h="1" sd="0" x="26"/>
        <item h="1" sd="0" x="85"/>
        <item h="1" sd="0" x="235"/>
        <item h="1" sd="0" x="93"/>
        <item h="1" sd="0" x="2"/>
        <item h="1" sd="0" x="172"/>
        <item h="1" sd="0" x="144"/>
        <item h="1" sd="0" x="47"/>
        <item h="1" sd="0" x="231"/>
        <item h="1" sd="0" x="1"/>
        <item h="1" sd="0" x="178"/>
        <item h="1" sd="0" x="194"/>
        <item h="1" sd="0" x="137"/>
        <item h="1" sd="0" x="35"/>
        <item h="1" sd="0" x="181"/>
        <item h="1" sd="0" x="59"/>
        <item h="1" sd="0" x="115"/>
        <item h="1" sd="0" x="21"/>
        <item h="1" sd="0" x="12"/>
        <item h="1" sd="0" x="148"/>
        <item h="1" sd="0" x="23"/>
        <item h="1" sd="0" x="227"/>
        <item h="1" sd="0" x="212"/>
        <item h="1" sd="0" x="198"/>
        <item h="1" sd="0" x="110"/>
        <item h="1" sd="0" x="53"/>
        <item h="1" sd="0" x="71"/>
        <item h="1" sd="0" x="98"/>
        <item h="1" sd="0" x="11"/>
        <item h="1" sd="0" x="90"/>
        <item h="1" sd="0" x="100"/>
        <item h="1" sd="0" x="221"/>
        <item h="1" sd="0" x="106"/>
        <item h="1" sd="0" x="69"/>
        <item h="1" sd="0" x="76"/>
        <item h="1" sd="0" x="184"/>
        <item h="1" sd="0" x="19"/>
        <item h="1" sd="0" x="74"/>
        <item h="1" sd="0" x="160"/>
        <item h="1" sd="0" x="179"/>
        <item h="1" sd="0" x="168"/>
        <item h="1" sd="0" x="117"/>
        <item h="1" sd="0" x="18"/>
        <item h="1" sd="0" x="30"/>
        <item h="1" sd="0" x="141"/>
        <item h="1" sd="0" x="167"/>
        <item h="1" sd="0" x="143"/>
        <item h="1" sd="0" x="146"/>
        <item h="1" sd="0" x="188"/>
        <item h="1" sd="0" x="24"/>
        <item h="1" sd="0" x="165"/>
        <item h="1" sd="0" x="107"/>
        <item h="1" sd="0" x="67"/>
        <item h="1" sd="0" x="180"/>
        <item h="1" sd="0" x="29"/>
        <item h="1" sd="0" x="96"/>
        <item h="1" sd="0" x="129"/>
        <item h="1" sd="0" x="189"/>
        <item h="1" sd="0" x="103"/>
        <item h="1" sd="0" x="95"/>
        <item h="1" sd="0" x="139"/>
        <item h="1" sd="0" x="91"/>
        <item h="1" sd="0" x="150"/>
        <item h="1" sd="0" x="182"/>
        <item h="1" sd="0" x="236"/>
        <item h="1" sd="0" x="104"/>
        <item h="1" sd="0" x="209"/>
        <item h="1" sd="0" x="68"/>
        <item h="1" sd="0" x="226"/>
        <item h="1" sd="0" x="38"/>
        <item h="1" sd="0" x="27"/>
        <item h="1" sd="0" x="128"/>
        <item h="1" sd="0" x="45"/>
        <item h="1" sd="0" x="58"/>
        <item h="1" sd="0" x="225"/>
        <item h="1" sd="0" x="6"/>
        <item h="1" sd="0" x="78"/>
        <item h="1" sd="0" x="112"/>
        <item h="1" sd="0" x="161"/>
        <item h="1" sd="0" x="223"/>
        <item h="1" sd="0" x="123"/>
        <item h="1" sd="0" x="126"/>
        <item h="1" sd="0" x="173"/>
        <item h="1" sd="0" x="43"/>
        <item h="1" sd="0" x="169"/>
        <item h="1" sd="0" x="176"/>
        <item h="1" sd="0" x="217"/>
        <item t="default"/>
      </items>
    </pivotField>
    <pivotField showAll="0"/>
    <pivotField showAll="0"/>
    <pivotField showAll="0">
      <items count="13">
        <item x="4"/>
        <item x="8"/>
        <item x="3"/>
        <item x="6"/>
        <item x="0"/>
        <item x="10"/>
        <item x="2"/>
        <item x="7"/>
        <item x="9"/>
        <item x="1"/>
        <item x="5"/>
        <item x="11"/>
        <item t="default"/>
      </items>
    </pivotField>
    <pivotField showAll="0">
      <items count="9">
        <item x="5"/>
        <item x="3"/>
        <item x="6"/>
        <item x="0"/>
        <item x="4"/>
        <item x="1"/>
        <item x="7"/>
        <item x="2"/>
        <item t="default"/>
      </items>
    </pivotField>
    <pivotField name="student_name" showAll="0">
      <items count="9">
        <item sd="0" x="3"/>
        <item sd="0" x="0"/>
        <item sd="0" x="4"/>
        <item sd="0" x="6"/>
        <item sd="0" x="5"/>
        <item sd="0" x="1"/>
        <item sd="0" x="2"/>
        <item sd="0" x="7"/>
        <item t="default" sd="0"/>
      </items>
    </pivotField>
    <pivotField showAll="0"/>
    <pivotField showAll="0"/>
    <pivotField showAll="0"/>
    <pivotField showAll="0"/>
    <pivotField showAll="0"/>
    <pivotField dataField="1"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2">
    <field x="1"/>
    <field x="0"/>
  </rowFields>
  <rowItems count="6">
    <i>
      <x/>
    </i>
    <i>
      <x v="1"/>
    </i>
    <i>
      <x v="2"/>
    </i>
    <i>
      <x v="4"/>
    </i>
    <i>
      <x v="5"/>
    </i>
    <i t="grand">
      <x/>
    </i>
  </rowItems>
  <colItems count="1">
    <i/>
  </colItems>
  <dataFields count="1">
    <dataField name="Sum of Balance" fld="12" baseField="0" baseItem="0"/>
  </dataFields>
  <chartFormats count="1">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FACE5-4570-4AC5-8081-066CD67EC50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I6:J17" firstHeaderRow="1" firstDataRow="1" firstDataCol="1"/>
  <pivotFields count="24">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axis="axisRow" showAll="0">
      <items count="4">
        <item x="0"/>
        <item x="1"/>
        <item h="1" x="2"/>
        <item t="default"/>
      </items>
    </pivotField>
    <pivotField showAll="0"/>
    <pivotField axis="axisRow" showAll="0">
      <items count="10">
        <item x="5"/>
        <item x="3"/>
        <item x="6"/>
        <item h="1" x="0"/>
        <item h="1" x="4"/>
        <item x="1"/>
        <item h="1" x="7"/>
        <item h="1" x="2"/>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5"/>
  </rowFields>
  <rowItems count="11">
    <i>
      <x/>
    </i>
    <i r="1">
      <x/>
    </i>
    <i r="1">
      <x v="1"/>
    </i>
    <i r="1">
      <x v="2"/>
    </i>
    <i r="1">
      <x v="5"/>
    </i>
    <i>
      <x v="1"/>
    </i>
    <i r="1">
      <x/>
    </i>
    <i r="1">
      <x v="1"/>
    </i>
    <i r="1">
      <x v="2"/>
    </i>
    <i r="1">
      <x v="5"/>
    </i>
    <i t="grand">
      <x/>
    </i>
  </rowItems>
  <colItems count="1">
    <i/>
  </colItems>
  <dataFields count="1">
    <dataField name="Count of Student_ID" fld="0" subtotal="count" baseField="0" baseItem="0"/>
  </dataFields>
  <formats count="11">
    <format dxfId="47">
      <pivotArea field="3" type="button" dataOnly="0" labelOnly="1" outline="0" axis="axisRow" fieldPosition="0"/>
    </format>
    <format dxfId="46">
      <pivotArea dataOnly="0" labelOnly="1" outline="0" axis="axisValues" fieldPosition="0"/>
    </format>
    <format dxfId="45">
      <pivotArea dataOnly="0" grandRow="1" fieldPosition="0"/>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2">
            <x v="0"/>
            <x v="1"/>
          </reference>
        </references>
      </pivotArea>
    </format>
    <format dxfId="40">
      <pivotArea dataOnly="0" labelOnly="1" grandRow="1" outline="0" fieldPosition="0"/>
    </format>
    <format dxfId="39">
      <pivotArea dataOnly="0" labelOnly="1" fieldPosition="0">
        <references count="2">
          <reference field="3" count="1" selected="0">
            <x v="0"/>
          </reference>
          <reference field="5" count="0"/>
        </references>
      </pivotArea>
    </format>
    <format dxfId="38">
      <pivotArea dataOnly="0" labelOnly="1" fieldPosition="0">
        <references count="2">
          <reference field="3" count="1" selected="0">
            <x v="1"/>
          </reference>
          <reference field="5" count="0"/>
        </references>
      </pivotArea>
    </format>
    <format dxfId="37">
      <pivotArea dataOnly="0" labelOnly="1" outline="0" axis="axisValues" fieldPosition="0"/>
    </format>
  </formats>
  <conditionalFormats count="2">
    <conditionalFormat type="all" priority="2">
      <pivotAreas count="2">
        <pivotArea type="data" collapsedLevelsAreSubtotals="1" fieldPosition="0">
          <references count="2">
            <reference field="4294967294" count="1" selected="0">
              <x v="0"/>
            </reference>
            <reference field="3" count="1">
              <x v="0"/>
            </reference>
          </references>
        </pivotArea>
        <pivotArea type="data" collapsedLevelsAreSubtotals="1" fieldPosition="0">
          <references count="3">
            <reference field="4294967294" count="1" selected="0">
              <x v="0"/>
            </reference>
            <reference field="3" count="1" selected="0">
              <x v="0"/>
            </reference>
            <reference field="5" count="8">
              <x v="0"/>
              <x v="1"/>
              <x v="2"/>
              <x v="3"/>
              <x v="4"/>
              <x v="5"/>
              <x v="6"/>
              <x v="7"/>
            </reference>
          </references>
        </pivotArea>
      </pivotAreas>
    </conditionalFormat>
    <conditionalFormat type="all" priority="1">
      <pivotAreas count="2">
        <pivotArea type="data" collapsedLevelsAreSubtotals="1" fieldPosition="0">
          <references count="2">
            <reference field="4294967294" count="1" selected="0">
              <x v="0"/>
            </reference>
            <reference field="3" count="1">
              <x v="1"/>
            </reference>
          </references>
        </pivotArea>
        <pivotArea type="data" collapsedLevelsAreSubtotals="1" fieldPosition="0">
          <references count="3">
            <reference field="4294967294" count="1" selected="0">
              <x v="0"/>
            </reference>
            <reference field="3" count="1" selected="0">
              <x v="1"/>
            </reference>
            <reference field="5" count="8">
              <x v="0"/>
              <x v="1"/>
              <x v="2"/>
              <x v="3"/>
              <x v="4"/>
              <x v="5"/>
              <x v="6"/>
              <x v="7"/>
            </reference>
          </references>
        </pivotArea>
      </pivotAreas>
    </conditionalFormat>
  </conditional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30244-A533-45D4-BCB3-E7746FE6B3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33:G42" firstHeaderRow="1" firstDataRow="1" firstDataCol="1"/>
  <pivotFields count="24">
    <pivotField showAll="0"/>
    <pivotField showAll="0"/>
    <pivotField showAll="0"/>
    <pivotField showAll="0"/>
    <pivotField showAll="0"/>
    <pivotField axis="axisRow" showAll="0">
      <items count="9">
        <item x="5"/>
        <item x="3"/>
        <item x="6"/>
        <item x="0"/>
        <item x="4"/>
        <item x="1"/>
        <item x="7"/>
        <item x="2"/>
        <item t="default"/>
      </items>
    </pivotField>
    <pivotField showAll="0"/>
    <pivotField showAll="0"/>
    <pivotField showAll="0"/>
    <pivotField showAll="0"/>
    <pivotField showAll="0"/>
    <pivotField dataField="1"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Sum of Paid" fld="11" baseField="0" baseItem="0"/>
  </dataFields>
  <chartFormats count="1">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1E530D-8BF5-499D-94BC-238FE397E5C8}"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30"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Student_ID" fld="0" subtotal="count" baseField="13" baseItem="0"/>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C0110F-B527-48E7-AD2E-D5B3A2E0B926}"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1:B24"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numFmtId="14" showAll="0"/>
    <pivotField numFmtId="14" showAll="0"/>
    <pivotField numFmtId="164" showAll="0"/>
    <pivotField numFmtId="164" showAll="0"/>
    <pivotField showAll="0"/>
    <pivotField showAll="0"/>
    <pivotField showAll="0"/>
    <pivotField showAll="0"/>
    <pivotField showAll="0"/>
  </pivotFields>
  <rowFields count="1">
    <field x="14"/>
  </rowFields>
  <rowItems count="3">
    <i>
      <x/>
    </i>
    <i>
      <x v="1"/>
    </i>
    <i t="grand">
      <x/>
    </i>
  </rowItems>
  <colItems count="1">
    <i/>
  </colItems>
  <dataFields count="1">
    <dataField name="Count of Student_ID" fld="0" subtotal="count" baseField="0" baseItem="0"/>
  </dataFields>
  <chartFormats count="6">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4" count="1" selected="0">
            <x v="0"/>
          </reference>
        </references>
      </pivotArea>
    </chartFormat>
    <chartFormat chart="20" format="8">
      <pivotArea type="data" outline="0" fieldPosition="0">
        <references count="2">
          <reference field="4294967294" count="1" selected="0">
            <x v="0"/>
          </reference>
          <reference field="14"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4" count="1" selected="0">
            <x v="0"/>
          </reference>
        </references>
      </pivotArea>
    </chartFormat>
    <chartFormat chart="23"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B97B5E-F87E-46BE-9F56-E0C88B2E5BD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18:E22"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axis="axisRow" showAll="0">
      <items count="5">
        <item x="3"/>
        <item x="2"/>
        <item x="1"/>
        <item h="1" x="0"/>
        <item t="default"/>
      </items>
    </pivotField>
    <pivotField showAll="0"/>
    <pivotField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Student_ID" fld="0" subtotal="count" baseField="9" baseItem="0"/>
  </dataFields>
  <chartFormats count="13">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9" count="1" selected="0">
            <x v="0"/>
          </reference>
        </references>
      </pivotArea>
    </chartFormat>
    <chartFormat chart="19" format="12">
      <pivotArea type="data" outline="0" fieldPosition="0">
        <references count="2">
          <reference field="4294967294" count="1" selected="0">
            <x v="0"/>
          </reference>
          <reference field="9" count="1" selected="0">
            <x v="1"/>
          </reference>
        </references>
      </pivotArea>
    </chartFormat>
    <chartFormat chart="19" format="13">
      <pivotArea type="data" outline="0" fieldPosition="0">
        <references count="2">
          <reference field="4294967294" count="1" selected="0">
            <x v="0"/>
          </reference>
          <reference field="9" count="1" selected="0">
            <x v="2"/>
          </reference>
        </references>
      </pivotArea>
    </chartFormat>
    <chartFormat chart="19" format="14">
      <pivotArea type="data" outline="0" fieldPosition="0">
        <references count="2">
          <reference field="4294967294" count="1" selected="0">
            <x v="0"/>
          </reference>
          <reference field="9" count="1" selected="0">
            <x v="3"/>
          </reference>
        </references>
      </pivotArea>
    </chartFormat>
    <chartFormat chart="19" format="15" series="1">
      <pivotArea type="data" outline="0" fieldPosition="0">
        <references count="2">
          <reference field="4294967294" count="1" selected="0">
            <x v="0"/>
          </reference>
          <reference field="9" count="1" selected="0">
            <x v="1"/>
          </reference>
        </references>
      </pivotArea>
    </chartFormat>
    <chartFormat chart="19" format="16" series="1">
      <pivotArea type="data" outline="0" fieldPosition="0">
        <references count="2">
          <reference field="4294967294" count="1" selected="0">
            <x v="0"/>
          </reference>
          <reference field="9" count="1" selected="0">
            <x v="2"/>
          </reference>
        </references>
      </pivotArea>
    </chartFormat>
    <chartFormat chart="19" format="17" series="1">
      <pivotArea type="data" outline="0" fieldPosition="0">
        <references count="2">
          <reference field="4294967294" count="1" selected="0">
            <x v="0"/>
          </reference>
          <reference field="9" count="1" selected="0">
            <x v="3"/>
          </reference>
        </references>
      </pivotArea>
    </chartFormat>
    <chartFormat chart="27" format="23" series="1">
      <pivotArea type="data" outline="0" fieldPosition="0">
        <references count="1">
          <reference field="4294967294" count="1" selected="0">
            <x v="0"/>
          </reference>
        </references>
      </pivotArea>
    </chartFormat>
    <chartFormat chart="27" format="24">
      <pivotArea type="data" outline="0" fieldPosition="0">
        <references count="2">
          <reference field="4294967294" count="1" selected="0">
            <x v="0"/>
          </reference>
          <reference field="9" count="1" selected="0">
            <x v="0"/>
          </reference>
        </references>
      </pivotArea>
    </chartFormat>
    <chartFormat chart="27" format="25">
      <pivotArea type="data" outline="0" fieldPosition="0">
        <references count="2">
          <reference field="4294967294" count="1" selected="0">
            <x v="0"/>
          </reference>
          <reference field="9" count="1" selected="0">
            <x v="1"/>
          </reference>
        </references>
      </pivotArea>
    </chartFormat>
    <chartFormat chart="27" format="26">
      <pivotArea type="data" outline="0" fieldPosition="0">
        <references count="2">
          <reference field="4294967294" count="1" selected="0">
            <x v="0"/>
          </reference>
          <reference field="9" count="1" selected="0">
            <x v="2"/>
          </reference>
        </references>
      </pivotArea>
    </chartFormat>
    <chartFormat chart="27" format="2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7A8C2F-597F-4E74-9B6B-F843A33CB7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B8" firstHeaderRow="1" firstDataRow="1" firstDataCol="1"/>
  <pivotFields count="2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axis="axisRow" showAll="0">
      <items count="13">
        <item x="4"/>
        <item h="1" x="8"/>
        <item x="3"/>
        <item h="1" x="6"/>
        <item h="1" x="0"/>
        <item h="1" x="10"/>
        <item h="1" x="2"/>
        <item h="1" x="7"/>
        <item h="1" x="9"/>
        <item h="1" x="1"/>
        <item h="1" x="5"/>
        <item h="1" x="11"/>
        <item t="default"/>
      </items>
    </pivotField>
    <pivotField showAll="0"/>
    <pivotField showAll="0"/>
    <pivotField dataField="1" showAll="0"/>
    <pivotField showAll="0"/>
    <pivotField showAll="0"/>
    <pivotField showAll="0"/>
    <pivotField showAll="0"/>
    <pivotField showAll="0"/>
    <pivotField showAll="0"/>
    <pivotField showAll="0"/>
    <pivotField numFmtId="14" showAll="0"/>
    <pivotField numFmtId="14" showAll="0"/>
    <pivotField numFmtId="164" showAll="0"/>
    <pivotField numFmtId="164" showAll="0"/>
    <pivotField showAll="0"/>
    <pivotField showAll="0"/>
    <pivotField showAll="0"/>
    <pivotField showAll="0"/>
    <pivotField showAll="0"/>
  </pivotFields>
  <rowFields count="1">
    <field x="4"/>
  </rowFields>
  <rowItems count="3">
    <i>
      <x/>
    </i>
    <i>
      <x v="2"/>
    </i>
    <i t="grand">
      <x/>
    </i>
  </rowItems>
  <colItems count="1">
    <i/>
  </colItems>
  <dataFields count="1">
    <dataField name="Average of Quiz_Score" fld="7" subtotal="average" baseField="4" baseItem="0"/>
  </dataFields>
  <chartFormats count="2">
    <chartFormat chart="33" format="9" series="1">
      <pivotArea type="data" outline="0" fieldPosition="0">
        <references count="1">
          <reference field="4294967294" count="1" selected="0">
            <x v="0"/>
          </reference>
        </references>
      </pivotArea>
    </chartFormat>
    <chartFormat chart="3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EA8DAA9-97E2-4FB6-AFC2-B8D5724B62C2}" autoFormatId="16" applyNumberFormats="0" applyBorderFormats="0" applyFontFormats="0" applyPatternFormats="0" applyAlignmentFormats="0" applyWidthHeightFormats="0">
  <queryTableRefresh nextId="25" unboundColumnsRight="5">
    <queryTableFields count="24">
      <queryTableField id="1" name="Student_ID" tableColumnId="1"/>
      <queryTableField id="2" name="Student_Name" tableColumnId="2"/>
      <queryTableField id="3" name="Age" tableColumnId="3"/>
      <queryTableField id="4" name="Gender" tableColumnId="4"/>
      <queryTableField id="5" name="City" tableColumnId="5"/>
      <queryTableField id="6" name="Course_Name" tableColumnId="6"/>
      <queryTableField id="7" name="Instructor" tableColumnId="7"/>
      <queryTableField id="8" name="Quiz_Score" tableColumnId="8"/>
      <queryTableField id="9" name="Attendance_%" tableColumnId="9"/>
      <queryTableField id="10" name="Performance_Rating" tableColumnId="10"/>
      <queryTableField id="11" name="Course_Fee" tableColumnId="11"/>
      <queryTableField id="12" name="Paid" tableColumnId="12"/>
      <queryTableField id="13" name="Balance" tableColumnId="13"/>
      <queryTableField id="14" name="Payment_Status" tableColumnId="14"/>
      <queryTableField id="15" name="Dropout_Student" tableColumnId="15"/>
      <queryTableField id="16" name="Course_Start_Date" tableColumnId="16"/>
      <queryTableField id="17" name="Course_End_Date" tableColumnId="17"/>
      <queryTableField id="18" name="Login_Time" tableColumnId="18"/>
      <queryTableField id="19" name="Logout_Time" tableColumnId="19"/>
      <queryTableField id="20" dataBound="0" tableColumnId="20"/>
      <queryTableField id="21" dataBound="0"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B8EDFC7D-E39A-480A-8DE4-2EFEDF85709E}" sourceName="Course_Name">
  <pivotTables>
    <pivotTable tabId="10" name="PivotTable3"/>
  </pivotTables>
  <data>
    <tabular pivotCacheId="55806819">
      <items count="8">
        <i x="5" s="1"/>
        <i x="3" s="1"/>
        <i x="6" s="1"/>
        <i x="0" s="1"/>
        <i x="4"/>
        <i x="1"/>
        <i x="7"/>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3C2ED57B-9A25-43D0-98B8-8117272B3A80}" sourceName="Student_Name">
  <pivotTables>
    <pivotTable tabId="10" name="PivotTable12"/>
  </pivotTables>
  <data>
    <tabular pivotCacheId="55806819">
      <items count="237">
        <i x="155" s="1"/>
        <i x="109" s="1"/>
        <i x="82" s="1"/>
        <i x="99"/>
        <i x="233" s="1"/>
        <i x="8" s="1"/>
        <i x="28"/>
        <i x="222"/>
        <i x="193"/>
        <i x="51"/>
        <i x="44"/>
        <i x="124"/>
        <i x="232"/>
        <i x="170"/>
        <i x="125"/>
        <i x="4"/>
        <i x="60"/>
        <i x="31"/>
        <i x="25"/>
        <i x="211"/>
        <i x="224"/>
        <i x="174"/>
        <i x="64"/>
        <i x="185"/>
        <i x="210"/>
        <i x="73"/>
        <i x="208"/>
        <i x="133"/>
        <i x="152"/>
        <i x="87"/>
        <i x="214"/>
        <i x="142"/>
        <i x="80"/>
        <i x="65"/>
        <i x="50"/>
        <i x="166"/>
        <i x="49"/>
        <i x="130"/>
        <i x="195"/>
        <i x="15"/>
        <i x="120"/>
        <i x="0"/>
        <i x="33"/>
        <i x="159"/>
        <i x="207"/>
        <i x="157"/>
        <i x="135"/>
        <i x="84"/>
        <i x="83"/>
        <i x="75"/>
        <i x="41"/>
        <i x="121"/>
        <i x="191"/>
        <i x="32"/>
        <i x="62"/>
        <i x="127"/>
        <i x="183"/>
        <i x="111"/>
        <i x="22"/>
        <i x="77"/>
        <i x="20"/>
        <i x="138"/>
        <i x="34"/>
        <i x="187"/>
        <i x="9"/>
        <i x="213"/>
        <i x="151"/>
        <i x="13"/>
        <i x="114"/>
        <i x="206"/>
        <i x="5"/>
        <i x="171"/>
        <i x="118"/>
        <i x="105"/>
        <i x="230"/>
        <i x="205"/>
        <i x="156"/>
        <i x="196"/>
        <i x="199"/>
        <i x="10"/>
        <i x="177"/>
        <i x="153"/>
        <i x="192"/>
        <i x="215"/>
        <i x="108"/>
        <i x="201"/>
        <i x="132"/>
        <i x="186"/>
        <i x="228"/>
        <i x="63"/>
        <i x="147"/>
        <i x="149"/>
        <i x="197"/>
        <i x="116"/>
        <i x="40"/>
        <i x="61"/>
        <i x="72"/>
        <i x="94"/>
        <i x="102"/>
        <i x="55"/>
        <i x="202"/>
        <i x="46"/>
        <i x="158"/>
        <i x="131"/>
        <i x="190"/>
        <i x="216"/>
        <i x="79"/>
        <i x="175"/>
        <i x="154"/>
        <i x="66"/>
        <i x="101"/>
        <i x="122"/>
        <i x="86"/>
        <i x="48"/>
        <i x="163"/>
        <i x="219"/>
        <i x="52"/>
        <i x="89"/>
        <i x="234"/>
        <i x="145"/>
        <i x="136"/>
        <i x="134"/>
        <i x="162"/>
        <i x="14"/>
        <i x="54"/>
        <i x="39"/>
        <i x="3"/>
        <i x="119"/>
        <i x="218"/>
        <i x="56"/>
        <i x="42"/>
        <i x="16"/>
        <i x="200"/>
        <i x="88"/>
        <i x="37"/>
        <i x="204"/>
        <i x="17"/>
        <i x="229"/>
        <i x="7"/>
        <i x="164"/>
        <i x="92"/>
        <i x="70"/>
        <i x="220"/>
        <i x="203"/>
        <i x="36"/>
        <i x="97"/>
        <i x="57"/>
        <i x="113"/>
        <i x="81"/>
        <i x="140"/>
        <i x="26"/>
        <i x="85"/>
        <i x="235"/>
        <i x="93"/>
        <i x="2"/>
        <i x="172"/>
        <i x="144"/>
        <i x="47"/>
        <i x="231"/>
        <i x="1"/>
        <i x="178"/>
        <i x="194"/>
        <i x="137"/>
        <i x="35"/>
        <i x="181"/>
        <i x="59"/>
        <i x="115"/>
        <i x="21"/>
        <i x="12"/>
        <i x="148"/>
        <i x="23"/>
        <i x="227"/>
        <i x="212"/>
        <i x="198"/>
        <i x="110"/>
        <i x="53"/>
        <i x="71"/>
        <i x="98"/>
        <i x="11"/>
        <i x="90"/>
        <i x="100"/>
        <i x="221"/>
        <i x="106"/>
        <i x="69"/>
        <i x="76"/>
        <i x="184"/>
        <i x="19"/>
        <i x="74"/>
        <i x="160"/>
        <i x="179"/>
        <i x="168"/>
        <i x="117"/>
        <i x="18"/>
        <i x="30"/>
        <i x="141"/>
        <i x="167"/>
        <i x="143"/>
        <i x="146"/>
        <i x="188"/>
        <i x="24"/>
        <i x="165"/>
        <i x="107"/>
        <i x="67"/>
        <i x="180"/>
        <i x="29"/>
        <i x="96"/>
        <i x="129"/>
        <i x="189"/>
        <i x="103"/>
        <i x="95"/>
        <i x="139"/>
        <i x="91"/>
        <i x="150"/>
        <i x="182"/>
        <i x="236"/>
        <i x="104"/>
        <i x="209"/>
        <i x="68"/>
        <i x="226"/>
        <i x="38"/>
        <i x="27"/>
        <i x="128"/>
        <i x="45"/>
        <i x="58"/>
        <i x="225"/>
        <i x="6"/>
        <i x="78"/>
        <i x="112"/>
        <i x="161"/>
        <i x="223"/>
        <i x="123"/>
        <i x="126"/>
        <i x="173"/>
        <i x="43"/>
        <i x="169"/>
        <i x="176"/>
        <i x="21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DC61A60E-D8EC-486D-9BBB-FC322B10F240}" sourceName="Performance_Rating">
  <pivotTables>
    <pivotTable tabId="10" name="PivotTable14"/>
  </pivotTables>
  <data>
    <tabular pivotCacheId="55806819">
      <items count="4">
        <i x="3" s="1"/>
        <i x="2" s="1"/>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1D5BFDB-6B4B-4F99-97F8-9C72722691A9}" sourceName="City">
  <pivotTables>
    <pivotTable tabId="10" name="PivotTable1"/>
  </pivotTables>
  <data>
    <tabular pivotCacheId="55806819">
      <items count="12">
        <i x="4" s="1"/>
        <i x="8"/>
        <i x="3" s="1"/>
        <i x="6"/>
        <i x="0"/>
        <i x="10"/>
        <i x="2"/>
        <i x="7"/>
        <i x="9"/>
        <i x="1"/>
        <i x="5"/>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xr10:uid="{2547BEF4-ED80-4498-A7C9-833E9E0EC9FB}" cache="Slicer_Course_Name" caption="Course_Name" rowHeight="247650"/>
  <slicer name="Student_Name" xr10:uid="{1431A039-F1F9-4924-BF83-703E7EF13F5B}" cache="Slicer_Student_Name" caption="Student_Name" rowHeight="247650"/>
  <slicer name="Performance_Rating" xr10:uid="{E5093687-C2A7-47F8-9B0C-A6C83CEB8755}" cache="Slicer_Performance_Rating" caption="Performance_Rating" rowHeight="247650"/>
  <slicer name="City" xr10:uid="{08AE03E8-18BB-4826-B280-0C7361CDA6E8}"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1" xr10:uid="{E5BDB435-E22E-4359-B5C4-10FE495F280A}" cache="Slicer_Course_Name" caption="Course_Name" style="SlicerStyleDark5" rowHeight="247650"/>
  <slicer name="Performance_Rating 1" xr10:uid="{F37170BA-AB03-43DF-942B-6823E4E492A9}" cache="Slicer_Performance_Rating" caption="Performance_Rating" style="SlicerStyleDark5" rowHeight="247650"/>
  <slicer name="City 1" xr10:uid="{67506CAD-7E1C-417E-9351-D0B478B2B14D}" cache="Slicer_City" caption="City"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5BF81F-93A6-4547-987C-C40F4D94C276}" name="Dataset" displayName="Dataset" ref="A1:X1001" tableType="queryTable" totalsRowShown="0">
  <tableColumns count="24">
    <tableColumn id="1" xr3:uid="{7DFD3013-8DAC-4F50-A948-D5A2E042BE12}" uniqueName="1" name="Student_ID" queryTableFieldId="1" dataDxfId="36"/>
    <tableColumn id="2" xr3:uid="{A7511FDF-6936-49C2-94DA-0D64C8F83732}" uniqueName="2" name="Student_Name" queryTableFieldId="2" dataDxfId="35"/>
    <tableColumn id="3" xr3:uid="{62755F0A-8DA2-4865-870B-E1B254FC42FE}" uniqueName="3" name="Age" queryTableFieldId="3"/>
    <tableColumn id="4" xr3:uid="{8F0679D7-E2C1-4700-A183-4811680F2CB9}" uniqueName="4" name="Gender" queryTableFieldId="4" dataDxfId="34"/>
    <tableColumn id="5" xr3:uid="{8D85C3CF-FC0E-49DC-B38C-9AB1B8BAC5A0}" uniqueName="5" name="City" queryTableFieldId="5" dataDxfId="33"/>
    <tableColumn id="6" xr3:uid="{107DC7C3-8486-4CE4-871F-D32BFB18E5AE}" uniqueName="6" name="Course_Name" queryTableFieldId="6" dataDxfId="32"/>
    <tableColumn id="7" xr3:uid="{9ADD9CA1-96D5-45DB-9909-EC4968EB18ED}" uniqueName="7" name="Instructor" queryTableFieldId="7" dataDxfId="31"/>
    <tableColumn id="8" xr3:uid="{0D862AA4-5BCA-4754-AFED-3DDC09275448}" uniqueName="8" name="Quiz_Score" queryTableFieldId="8"/>
    <tableColumn id="9" xr3:uid="{4D7907EE-2B62-4470-ADA4-C880F86C32D4}" uniqueName="9" name="Attendance_%" queryTableFieldId="9"/>
    <tableColumn id="10" xr3:uid="{E41845A2-CBC5-4D30-BFA1-5EC5ECB394CF}" uniqueName="10" name="Performance_Rating" queryTableFieldId="10" dataDxfId="30"/>
    <tableColumn id="11" xr3:uid="{16068B6B-D13F-4682-8A3D-0BE956066158}" uniqueName="11" name="Course_Fee" queryTableFieldId="11"/>
    <tableColumn id="12" xr3:uid="{832B32EE-3644-4F20-9C2D-834B276BC28E}" uniqueName="12" name="Paid" queryTableFieldId="12"/>
    <tableColumn id="13" xr3:uid="{F43D4A14-58E8-4127-9DF4-F3490E2D2766}" uniqueName="13" name="Balance" queryTableFieldId="13"/>
    <tableColumn id="14" xr3:uid="{744D6F5A-79AC-4CC5-959F-BE262AC44A5E}" uniqueName="14" name="Payment_Status" queryTableFieldId="14" dataDxfId="29"/>
    <tableColumn id="15" xr3:uid="{CC25FA95-A84A-4C62-B2A1-3A3D7E0C4530}" uniqueName="15" name="Dropout_Student" queryTableFieldId="15" dataDxfId="28"/>
    <tableColumn id="16" xr3:uid="{71249092-2121-419C-834E-50092EAA25CB}" uniqueName="16" name="Course_Start_Date" queryTableFieldId="16" dataDxfId="27"/>
    <tableColumn id="17" xr3:uid="{22FFB4B1-3102-48AE-AA01-66DEC2DEA44F}" uniqueName="17" name="Course_End_Date" queryTableFieldId="17" dataDxfId="26"/>
    <tableColumn id="18" xr3:uid="{B2A09DA9-B020-499F-90FF-7F8AA81D0E4E}" uniqueName="18" name="Login_Time" queryTableFieldId="18" dataDxfId="25"/>
    <tableColumn id="19" xr3:uid="{6BB01C85-DD1D-4286-97DE-7AE8051E7FB3}" uniqueName="19" name="Logout_Time" queryTableFieldId="19" dataDxfId="24"/>
    <tableColumn id="20" xr3:uid="{9547B409-0935-4D64-9704-ADBC76B8A754}" uniqueName="20" name="Grade" queryTableFieldId="20" dataDxfId="23">
      <calculatedColumnFormula array="1">_xlfn.IFS(H2&gt;=90,"A",H2&gt;=75,"B",H2&gt;=60,"C",H2&lt;60,"D")</calculatedColumnFormula>
    </tableColumn>
    <tableColumn id="21" xr3:uid="{97F55851-B6AA-433C-9065-FF2F02C7221D}" uniqueName="21" name="Convert_Login_Time" queryTableFieldId="21" dataDxfId="22">
      <calculatedColumnFormula>TEXT(R2,"hh:mm AM/PM")</calculatedColumnFormula>
    </tableColumn>
    <tableColumn id="22" xr3:uid="{5189F9B8-989E-477B-80D3-1ED56CE70C9F}" uniqueName="22" name="Course_Deadline_Check" queryTableFieldId="22" dataDxfId="21">
      <calculatedColumnFormula>IF(_xlfn.DAYS(Q2,P2)&lt;=90,"On Time","Delayed")</calculatedColumnFormula>
    </tableColumn>
    <tableColumn id="23" xr3:uid="{3A743346-91AC-4FBC-A974-61C30E410D79}" uniqueName="23" name="HOUR_and_MINUTE" queryTableFieldId="23" dataDxfId="20">
      <calculatedColumnFormula>HOUR(S2-R2)&amp;" Hours "&amp;MINUTE(S2-R2)&amp;" Minutes"</calculatedColumnFormula>
    </tableColumn>
    <tableColumn id="24" xr3:uid="{25A6C146-21EC-47C4-BE84-BF691188C73A}" uniqueName="24" name="Login_Status" queryTableFieldId="24" dataDxfId="19">
      <calculatedColumnFormula>IF(R2&gt;TIME(10,0,0),"Long Time Login","Short Time Login")</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D9D7-9055-42E0-84D5-2042A2B4DC84}">
  <dimension ref="A1:U22"/>
  <sheetViews>
    <sheetView showGridLines="0" zoomScale="128" zoomScaleNormal="96" workbookViewId="0">
      <selection activeCell="B6" sqref="B6"/>
    </sheetView>
  </sheetViews>
  <sheetFormatPr defaultRowHeight="14.4"/>
  <cols>
    <col min="1" max="1" width="32" customWidth="1"/>
    <col min="2" max="2" width="17.21875" customWidth="1"/>
    <col min="3" max="3" width="55.33203125" customWidth="1"/>
    <col min="4" max="4" width="51" customWidth="1"/>
  </cols>
  <sheetData>
    <row r="1" spans="1:21" ht="18.600000000000001" thickBot="1">
      <c r="A1" s="49" t="s">
        <v>1381</v>
      </c>
      <c r="B1" s="50"/>
      <c r="C1" s="50"/>
      <c r="D1" s="51"/>
      <c r="E1" s="52"/>
      <c r="F1" s="52"/>
      <c r="G1" s="52"/>
      <c r="H1" s="52"/>
      <c r="I1" s="52"/>
      <c r="J1" s="52"/>
      <c r="K1" s="52"/>
      <c r="L1" s="52"/>
      <c r="M1" s="52"/>
      <c r="N1" s="52"/>
      <c r="O1" s="52"/>
      <c r="P1" s="52"/>
      <c r="Q1" s="52"/>
      <c r="R1" s="52"/>
      <c r="S1" s="52"/>
      <c r="T1" s="52"/>
      <c r="U1" s="52"/>
    </row>
    <row r="3" spans="1:21">
      <c r="A3" s="45" t="s">
        <v>1308</v>
      </c>
      <c r="B3" s="45"/>
      <c r="C3" s="45"/>
      <c r="D3" s="45"/>
      <c r="E3" s="10"/>
      <c r="F3" s="10"/>
      <c r="G3" s="10"/>
      <c r="H3" s="10"/>
      <c r="I3" s="10"/>
      <c r="J3" s="10"/>
      <c r="K3" s="10"/>
      <c r="L3" s="10"/>
      <c r="M3" s="10"/>
      <c r="N3" s="10"/>
      <c r="O3" s="10"/>
      <c r="P3" s="10"/>
      <c r="Q3" s="10"/>
      <c r="R3" s="10"/>
      <c r="S3" s="10"/>
      <c r="T3" s="10"/>
      <c r="U3" s="10"/>
    </row>
    <row r="4" spans="1:21">
      <c r="A4" s="11" t="s">
        <v>1309</v>
      </c>
      <c r="B4" s="11" t="s">
        <v>1310</v>
      </c>
      <c r="C4" s="11" t="s">
        <v>1311</v>
      </c>
      <c r="D4" s="11" t="s">
        <v>1312</v>
      </c>
    </row>
    <row r="5" spans="1:21">
      <c r="A5" s="12" t="s">
        <v>1313</v>
      </c>
      <c r="B5" s="12">
        <f>COUNTA(RAW_DATA!A:A)-1</f>
        <v>1000</v>
      </c>
      <c r="C5" s="24" t="s">
        <v>1338</v>
      </c>
      <c r="D5" s="12" t="s">
        <v>1319</v>
      </c>
    </row>
    <row r="6" spans="1:21">
      <c r="A6" s="12" t="s">
        <v>1320</v>
      </c>
      <c r="B6" s="12">
        <f>AVERAGE(Dataset[[#All],[Attendance_%]])</f>
        <v>80.296999999999997</v>
      </c>
      <c r="C6" s="24" t="s">
        <v>1339</v>
      </c>
      <c r="D6" s="12" t="s">
        <v>1321</v>
      </c>
    </row>
    <row r="7" spans="1:21">
      <c r="A7" s="12" t="s">
        <v>1314</v>
      </c>
      <c r="B7" s="12">
        <f>AVERAGE(Dataset[[#All],[Quiz_Score]])</f>
        <v>68.007000000000005</v>
      </c>
      <c r="C7" s="24" t="s">
        <v>1340</v>
      </c>
      <c r="D7" s="12" t="s">
        <v>1322</v>
      </c>
    </row>
    <row r="8" spans="1:21">
      <c r="A8" s="12" t="s">
        <v>1315</v>
      </c>
      <c r="B8" s="13">
        <f>SUM(Dataset[[#All],[Paid]])</f>
        <v>14597400</v>
      </c>
      <c r="C8" s="24" t="s">
        <v>1341</v>
      </c>
      <c r="D8" s="12" t="s">
        <v>1323</v>
      </c>
    </row>
    <row r="9" spans="1:21">
      <c r="A9" s="12" t="s">
        <v>1316</v>
      </c>
      <c r="B9" s="12">
        <f>COUNTIF(Dataset[[#All],[Payment_Status]],"Paid")</f>
        <v>321</v>
      </c>
      <c r="C9" s="24" t="s">
        <v>1342</v>
      </c>
      <c r="D9" s="12" t="s">
        <v>1324</v>
      </c>
    </row>
    <row r="10" spans="1:21">
      <c r="A10" s="12" t="s">
        <v>1317</v>
      </c>
      <c r="B10" s="12">
        <f>COUNTIF(Dataset[[#All],[Payment_Status]],"Pending")</f>
        <v>679</v>
      </c>
      <c r="C10" s="24" t="s">
        <v>1343</v>
      </c>
      <c r="D10" s="12" t="s">
        <v>1325</v>
      </c>
    </row>
    <row r="11" spans="1:21">
      <c r="A11" s="12" t="s">
        <v>1318</v>
      </c>
      <c r="B11" s="12">
        <f>COUNTIF(Dataset[[#All],[Dropout_Student]],"Yes")</f>
        <v>58</v>
      </c>
      <c r="C11" s="24" t="s">
        <v>1344</v>
      </c>
      <c r="D11" s="14" t="s">
        <v>1326</v>
      </c>
    </row>
    <row r="13" spans="1:21" ht="15" thickBot="1"/>
    <row r="14" spans="1:21">
      <c r="A14" s="46" t="s">
        <v>1337</v>
      </c>
      <c r="B14" s="47"/>
      <c r="C14" s="47"/>
      <c r="D14" s="48"/>
    </row>
    <row r="15" spans="1:21">
      <c r="A15" s="17" t="s">
        <v>1309</v>
      </c>
      <c r="B15" s="16" t="s">
        <v>1310</v>
      </c>
      <c r="C15" s="16" t="s">
        <v>1311</v>
      </c>
      <c r="D15" s="18" t="s">
        <v>1312</v>
      </c>
    </row>
    <row r="16" spans="1:21" ht="24" customHeight="1">
      <c r="A16" s="19" t="s">
        <v>1327</v>
      </c>
      <c r="B16" s="15">
        <f>COUNTIF(Dataset[[#All],[Login_Status]],"Long Time Login")</f>
        <v>345</v>
      </c>
      <c r="C16" s="25" t="s">
        <v>1345</v>
      </c>
      <c r="D16" s="20" t="s">
        <v>1328</v>
      </c>
    </row>
    <row r="17" spans="1:4" ht="19.8" customHeight="1">
      <c r="A17" s="19" t="s">
        <v>1329</v>
      </c>
      <c r="B17" s="12">
        <f>COUNTIF(Dataset[Login_Status],"Short Time Login")</f>
        <v>655</v>
      </c>
      <c r="C17" s="25" t="s">
        <v>1346</v>
      </c>
      <c r="D17" s="20" t="s">
        <v>1330</v>
      </c>
    </row>
    <row r="18" spans="1:4">
      <c r="A18" s="19" t="s">
        <v>1331</v>
      </c>
      <c r="B18" s="12">
        <f>COUNTIF(Dataset[[#All],[Gender]],"Female")</f>
        <v>468</v>
      </c>
      <c r="C18" s="25" t="s">
        <v>1347</v>
      </c>
      <c r="D18" s="20" t="s">
        <v>1332</v>
      </c>
    </row>
    <row r="19" spans="1:4">
      <c r="A19" s="19" t="s">
        <v>1333</v>
      </c>
      <c r="B19" s="14">
        <f>COUNTIF(Dataset[Gender],"Male")</f>
        <v>532</v>
      </c>
      <c r="C19" s="25" t="s">
        <v>1348</v>
      </c>
      <c r="D19" s="20" t="s">
        <v>1334</v>
      </c>
    </row>
    <row r="20" spans="1:4" ht="27" thickBot="1">
      <c r="A20" s="21" t="s">
        <v>1335</v>
      </c>
      <c r="B20" s="22" t="str">
        <f>INDEX(RAW_DATA!F:F,MATCH(MAX(Dataset[[#All],[Paid]]),Dataset[[#All],[Paid]],0))</f>
        <v>Tableau</v>
      </c>
      <c r="C20" s="26" t="s">
        <v>1349</v>
      </c>
      <c r="D20" s="23" t="s">
        <v>1336</v>
      </c>
    </row>
    <row r="21" spans="1:4">
      <c r="A21" s="8"/>
      <c r="B21" s="8"/>
      <c r="C21" s="9"/>
      <c r="D21" s="8"/>
    </row>
    <row r="22" spans="1:4">
      <c r="A22" s="8"/>
      <c r="C22" s="9"/>
      <c r="D22" s="8"/>
    </row>
  </sheetData>
  <mergeCells count="4">
    <mergeCell ref="A3:D3"/>
    <mergeCell ref="A14:D14"/>
    <mergeCell ref="A1:D1"/>
    <mergeCell ref="E1:U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65EF-2A6C-4B02-911F-9B558E2E2D39}">
  <dimension ref="A1:T42"/>
  <sheetViews>
    <sheetView showGridLines="0" zoomScale="92" zoomScaleNormal="77" workbookViewId="0">
      <selection activeCell="A5" sqref="A5:B18"/>
    </sheetView>
  </sheetViews>
  <sheetFormatPr defaultRowHeight="14.4"/>
  <cols>
    <col min="1" max="1" width="13.21875" bestFit="1" customWidth="1"/>
    <col min="2" max="2" width="20.109375" bestFit="1" customWidth="1"/>
    <col min="3" max="3" width="7.109375" customWidth="1"/>
    <col min="4" max="4" width="13.21875" bestFit="1" customWidth="1"/>
    <col min="5" max="5" width="18.21875" bestFit="1" customWidth="1"/>
    <col min="6" max="6" width="22" customWidth="1"/>
    <col min="7" max="7" width="16.21875" customWidth="1"/>
    <col min="8" max="8" width="11.44140625" customWidth="1"/>
    <col min="9" max="9" width="10.88671875" bestFit="1" customWidth="1"/>
    <col min="10" max="10" width="26.21875" customWidth="1"/>
    <col min="11" max="11" width="9.5546875" bestFit="1" customWidth="1"/>
    <col min="12" max="12" width="23.109375" customWidth="1"/>
    <col min="13" max="13" width="15.5546875" bestFit="1" customWidth="1"/>
    <col min="14" max="14" width="14.21875" bestFit="1" customWidth="1"/>
    <col min="15" max="15" width="9.109375" bestFit="1" customWidth="1"/>
    <col min="16" max="16" width="12.33203125" bestFit="1" customWidth="1"/>
    <col min="17" max="17" width="11.77734375" bestFit="1" customWidth="1"/>
    <col min="18" max="18" width="13.109375" bestFit="1" customWidth="1"/>
    <col min="19" max="19" width="11.21875" bestFit="1" customWidth="1"/>
    <col min="20" max="20" width="10.44140625" bestFit="1" customWidth="1"/>
    <col min="21" max="21" width="9.33203125" bestFit="1" customWidth="1"/>
    <col min="22" max="22" width="8.6640625" bestFit="1" customWidth="1"/>
    <col min="23" max="23" width="8.109375" bestFit="1" customWidth="1"/>
    <col min="24" max="24" width="23.88671875" customWidth="1"/>
    <col min="25" max="25" width="22.5546875" customWidth="1"/>
    <col min="26" max="26" width="12" bestFit="1" customWidth="1"/>
    <col min="27" max="27" width="7.5546875" bestFit="1" customWidth="1"/>
    <col min="28" max="28" width="10.77734375" bestFit="1" customWidth="1"/>
    <col min="29" max="29" width="10.21875" bestFit="1" customWidth="1"/>
    <col min="30" max="30" width="11.5546875" bestFit="1" customWidth="1"/>
    <col min="31" max="31" width="9.6640625" bestFit="1" customWidth="1"/>
    <col min="32" max="32" width="12" bestFit="1" customWidth="1"/>
    <col min="33" max="33" width="10.88671875" bestFit="1" customWidth="1"/>
    <col min="34" max="34" width="10.33203125" bestFit="1" customWidth="1"/>
    <col min="35" max="35" width="9.6640625" bestFit="1" customWidth="1"/>
    <col min="36" max="36" width="14.33203125" bestFit="1" customWidth="1"/>
    <col min="37" max="37" width="12.109375" bestFit="1" customWidth="1"/>
    <col min="38" max="38" width="13.77734375" bestFit="1" customWidth="1"/>
    <col min="39" max="39" width="9.21875" bestFit="1" customWidth="1"/>
    <col min="40" max="40" width="12.44140625" bestFit="1" customWidth="1"/>
    <col min="41" max="41" width="11.88671875" bestFit="1" customWidth="1"/>
    <col min="42" max="42" width="13.21875" bestFit="1" customWidth="1"/>
    <col min="43" max="43" width="11.33203125" bestFit="1" customWidth="1"/>
    <col min="44" max="44" width="12.33203125" bestFit="1" customWidth="1"/>
    <col min="45" max="45" width="11.21875" bestFit="1" customWidth="1"/>
    <col min="46" max="46" width="10.5546875" bestFit="1" customWidth="1"/>
    <col min="47" max="47" width="14.5546875" bestFit="1" customWidth="1"/>
    <col min="48" max="48" width="12.44140625" bestFit="1" customWidth="1"/>
    <col min="49" max="49" width="14.109375" bestFit="1" customWidth="1"/>
    <col min="50" max="50" width="9.44140625" bestFit="1" customWidth="1"/>
    <col min="51" max="51" width="12.77734375" bestFit="1" customWidth="1"/>
    <col min="52" max="52" width="12.109375" bestFit="1" customWidth="1"/>
    <col min="53" max="53" width="13.5546875" bestFit="1" customWidth="1"/>
    <col min="54" max="54" width="11.6640625" bestFit="1" customWidth="1"/>
    <col min="55" max="55" width="10.88671875" bestFit="1" customWidth="1"/>
    <col min="56" max="56" width="9.77734375" bestFit="1" customWidth="1"/>
    <col min="57" max="57" width="9.21875" bestFit="1" customWidth="1"/>
    <col min="58" max="58" width="8.5546875" bestFit="1" customWidth="1"/>
    <col min="59" max="59" width="13.109375" bestFit="1" customWidth="1"/>
    <col min="60" max="60" width="11" bestFit="1" customWidth="1"/>
    <col min="61" max="61" width="12.5546875" bestFit="1" customWidth="1"/>
    <col min="62" max="62" width="8.109375" bestFit="1" customWidth="1"/>
    <col min="63" max="63" width="11.33203125" bestFit="1" customWidth="1"/>
    <col min="64" max="64" width="10.6640625" bestFit="1" customWidth="1"/>
    <col min="65" max="65" width="10.21875" bestFit="1" customWidth="1"/>
    <col min="66" max="66" width="14" bestFit="1" customWidth="1"/>
    <col min="67" max="67" width="12.77734375" bestFit="1" customWidth="1"/>
    <col min="68" max="68" width="12.109375" bestFit="1" customWidth="1"/>
    <col min="69" max="69" width="11.5546875" bestFit="1" customWidth="1"/>
    <col min="70" max="70" width="16.109375" bestFit="1" customWidth="1"/>
    <col min="71" max="71" width="14.109375" bestFit="1" customWidth="1"/>
    <col min="72" max="72" width="15.5546875" bestFit="1" customWidth="1"/>
    <col min="73" max="73" width="14.33203125" bestFit="1" customWidth="1"/>
    <col min="74" max="74" width="13.77734375" bestFit="1" customWidth="1"/>
    <col min="75" max="75" width="15.109375" bestFit="1" customWidth="1"/>
    <col min="76" max="76" width="13.21875" bestFit="1" customWidth="1"/>
    <col min="77" max="77" width="11.5546875" bestFit="1" customWidth="1"/>
    <col min="78" max="78" width="10.44140625" bestFit="1" customWidth="1"/>
    <col min="79" max="79" width="9.77734375" bestFit="1" customWidth="1"/>
    <col min="80" max="80" width="9.21875" bestFit="1" customWidth="1"/>
    <col min="81" max="81" width="13.77734375" bestFit="1" customWidth="1"/>
    <col min="82" max="82" width="11.6640625" bestFit="1" customWidth="1"/>
    <col min="83" max="83" width="13.21875" bestFit="1" customWidth="1"/>
    <col min="84" max="84" width="8.6640625" bestFit="1" customWidth="1"/>
    <col min="85" max="85" width="11.88671875" bestFit="1" customWidth="1"/>
    <col min="86" max="86" width="11.33203125" bestFit="1" customWidth="1"/>
    <col min="87" max="87" width="12.6640625" bestFit="1" customWidth="1"/>
    <col min="88" max="88" width="10.77734375" bestFit="1" customWidth="1"/>
    <col min="89" max="89" width="12.44140625" bestFit="1" customWidth="1"/>
    <col min="90" max="90" width="11.33203125" bestFit="1" customWidth="1"/>
    <col min="91" max="91" width="10.6640625" bestFit="1" customWidth="1"/>
    <col min="92" max="92" width="10.109375" bestFit="1" customWidth="1"/>
    <col min="93" max="93" width="14.6640625" bestFit="1" customWidth="1"/>
    <col min="94" max="94" width="12.5546875" bestFit="1" customWidth="1"/>
    <col min="95" max="95" width="14.21875" bestFit="1" customWidth="1"/>
    <col min="96" max="96" width="9.5546875" bestFit="1" customWidth="1"/>
    <col min="97" max="97" width="12.88671875" bestFit="1" customWidth="1"/>
    <col min="98" max="98" width="12.21875" bestFit="1" customWidth="1"/>
    <col min="99" max="99" width="13.6640625" bestFit="1" customWidth="1"/>
    <col min="100" max="100" width="11.77734375" bestFit="1" customWidth="1"/>
    <col min="101" max="101" width="11.5546875" bestFit="1" customWidth="1"/>
    <col min="102" max="102" width="10.44140625" bestFit="1" customWidth="1"/>
    <col min="103" max="103" width="9.77734375" bestFit="1" customWidth="1"/>
    <col min="104" max="104" width="9.21875" bestFit="1" customWidth="1"/>
    <col min="105" max="105" width="13.77734375" bestFit="1" customWidth="1"/>
    <col min="106" max="106" width="11.6640625" bestFit="1" customWidth="1"/>
    <col min="107" max="107" width="13.21875" bestFit="1" customWidth="1"/>
    <col min="108" max="108" width="8.6640625" bestFit="1" customWidth="1"/>
    <col min="109" max="109" width="11.88671875" bestFit="1" customWidth="1"/>
    <col min="110" max="110" width="11.33203125" bestFit="1" customWidth="1"/>
    <col min="111" max="111" width="12.6640625" bestFit="1" customWidth="1"/>
    <col min="112" max="112" width="10.77734375" bestFit="1" customWidth="1"/>
    <col min="113" max="113" width="13" bestFit="1" customWidth="1"/>
    <col min="114" max="114" width="11.88671875" bestFit="1" customWidth="1"/>
    <col min="115" max="115" width="11.21875" bestFit="1" customWidth="1"/>
    <col min="116" max="116" width="10.5546875" bestFit="1" customWidth="1"/>
    <col min="117" max="117" width="15.21875" bestFit="1" customWidth="1"/>
    <col min="118" max="118" width="13.109375" bestFit="1" customWidth="1"/>
    <col min="119" max="119" width="14.6640625" bestFit="1" customWidth="1"/>
    <col min="120" max="120" width="10.109375" bestFit="1" customWidth="1"/>
    <col min="121" max="121" width="13.44140625" bestFit="1" customWidth="1"/>
    <col min="122" max="122" width="12.77734375" bestFit="1" customWidth="1"/>
    <col min="123" max="123" width="14.21875" bestFit="1" customWidth="1"/>
    <col min="124" max="124" width="12.21875" bestFit="1" customWidth="1"/>
    <col min="125" max="125" width="13.88671875" bestFit="1" customWidth="1"/>
    <col min="126" max="126" width="12.6640625" bestFit="1" customWidth="1"/>
    <col min="127" max="127" width="12" bestFit="1" customWidth="1"/>
    <col min="128" max="128" width="11.44140625" bestFit="1" customWidth="1"/>
    <col min="129" max="129" width="16" bestFit="1" customWidth="1"/>
    <col min="130" max="130" width="14" bestFit="1" customWidth="1"/>
    <col min="131" max="131" width="15.5546875" bestFit="1" customWidth="1"/>
    <col min="132" max="132" width="10.88671875" bestFit="1" customWidth="1"/>
    <col min="133" max="133" width="14.33203125" bestFit="1" customWidth="1"/>
    <col min="134" max="134" width="13.6640625" bestFit="1" customWidth="1"/>
    <col min="135" max="135" width="15" bestFit="1" customWidth="1"/>
    <col min="136" max="136" width="13.109375" bestFit="1" customWidth="1"/>
    <col min="137" max="137" width="12.5546875" bestFit="1" customWidth="1"/>
    <col min="138" max="138" width="11.44140625" bestFit="1" customWidth="1"/>
    <col min="139" max="139" width="10.77734375" bestFit="1" customWidth="1"/>
    <col min="140" max="140" width="10.21875" bestFit="1" customWidth="1"/>
    <col min="141" max="141" width="14.77734375" bestFit="1" customWidth="1"/>
    <col min="142" max="142" width="12.6640625" bestFit="1" customWidth="1"/>
    <col min="143" max="143" width="14.33203125" bestFit="1" customWidth="1"/>
    <col min="144" max="144" width="9.6640625" bestFit="1" customWidth="1"/>
    <col min="145" max="145" width="13" bestFit="1" customWidth="1"/>
    <col min="146" max="146" width="12.33203125" bestFit="1" customWidth="1"/>
    <col min="147" max="147" width="13.77734375" bestFit="1" customWidth="1"/>
    <col min="148" max="148" width="11.88671875" bestFit="1" customWidth="1"/>
    <col min="149" max="149" width="11.77734375" bestFit="1" customWidth="1"/>
    <col min="150" max="150" width="10.5546875" bestFit="1" customWidth="1"/>
    <col min="151" max="151" width="10" bestFit="1" customWidth="1"/>
    <col min="152" max="152" width="9.33203125" bestFit="1" customWidth="1"/>
    <col min="153" max="153" width="14" bestFit="1" customWidth="1"/>
    <col min="154" max="154" width="11.88671875" bestFit="1" customWidth="1"/>
    <col min="155" max="155" width="13.44140625" bestFit="1" customWidth="1"/>
    <col min="157" max="157" width="12.109375" bestFit="1" customWidth="1"/>
    <col min="158" max="158" width="11.5546875" bestFit="1" customWidth="1"/>
    <col min="159" max="159" width="12.88671875" bestFit="1" customWidth="1"/>
    <col min="160" max="160" width="11" bestFit="1" customWidth="1"/>
    <col min="161" max="161" width="11.109375" bestFit="1" customWidth="1"/>
    <col min="162" max="162" width="10" bestFit="1" customWidth="1"/>
    <col min="163" max="163" width="9.33203125" bestFit="1" customWidth="1"/>
    <col min="164" max="164" width="8.77734375" bestFit="1" customWidth="1"/>
    <col min="165" max="165" width="13.33203125" bestFit="1" customWidth="1"/>
    <col min="166" max="166" width="11.21875" bestFit="1" customWidth="1"/>
    <col min="167" max="167" width="12.77734375" bestFit="1" customWidth="1"/>
    <col min="168" max="168" width="8.21875" bestFit="1" customWidth="1"/>
    <col min="169" max="169" width="11.5546875" bestFit="1" customWidth="1"/>
    <col min="170" max="170" width="10.88671875" bestFit="1" customWidth="1"/>
    <col min="171" max="171" width="12.21875" bestFit="1" customWidth="1"/>
    <col min="172" max="172" width="10.44140625" bestFit="1" customWidth="1"/>
    <col min="173" max="173" width="11.77734375" bestFit="1" customWidth="1"/>
    <col min="174" max="174" width="10.5546875" bestFit="1" customWidth="1"/>
    <col min="175" max="175" width="10" bestFit="1" customWidth="1"/>
    <col min="176" max="176" width="9.33203125" bestFit="1" customWidth="1"/>
    <col min="177" max="177" width="14" bestFit="1" customWidth="1"/>
    <col min="178" max="178" width="11.88671875" bestFit="1" customWidth="1"/>
    <col min="179" max="179" width="13.44140625" bestFit="1" customWidth="1"/>
    <col min="181" max="181" width="12.109375" bestFit="1" customWidth="1"/>
    <col min="182" max="182" width="11.5546875" bestFit="1" customWidth="1"/>
    <col min="183" max="183" width="12.88671875" bestFit="1" customWidth="1"/>
    <col min="184" max="184" width="11" bestFit="1" customWidth="1"/>
    <col min="185" max="185" width="11.21875" bestFit="1" customWidth="1"/>
    <col min="186" max="186" width="10.109375" bestFit="1" customWidth="1"/>
    <col min="187" max="187" width="9.44140625" bestFit="1" customWidth="1"/>
    <col min="189" max="189" width="13.44140625" bestFit="1" customWidth="1"/>
    <col min="190" max="190" width="11.33203125" bestFit="1" customWidth="1"/>
    <col min="191" max="191" width="12.88671875" bestFit="1" customWidth="1"/>
    <col min="192" max="192" width="8.33203125" bestFit="1" customWidth="1"/>
    <col min="193" max="193" width="11.6640625" bestFit="1" customWidth="1"/>
    <col min="194" max="194" width="11" bestFit="1" customWidth="1"/>
    <col min="195" max="195" width="12.33203125" bestFit="1" customWidth="1"/>
    <col min="196" max="196" width="10.5546875" bestFit="1" customWidth="1"/>
    <col min="197" max="197" width="12.21875" bestFit="1" customWidth="1"/>
    <col min="198" max="198" width="11.109375" bestFit="1" customWidth="1"/>
    <col min="199" max="199" width="10.5546875" bestFit="1" customWidth="1"/>
    <col min="200" max="200" width="9.88671875" bestFit="1" customWidth="1"/>
    <col min="201" max="201" width="14.44140625" bestFit="1" customWidth="1"/>
    <col min="202" max="202" width="12.33203125" bestFit="1" customWidth="1"/>
    <col min="203" max="203" width="14" bestFit="1" customWidth="1"/>
    <col min="204" max="204" width="9.33203125" bestFit="1" customWidth="1"/>
    <col min="205" max="205" width="12.6640625" bestFit="1" customWidth="1"/>
    <col min="206" max="206" width="12" bestFit="1" customWidth="1"/>
    <col min="207" max="207" width="13.44140625" bestFit="1" customWidth="1"/>
    <col min="208" max="208" width="11.5546875" bestFit="1" customWidth="1"/>
    <col min="209" max="209" width="11.77734375" bestFit="1" customWidth="1"/>
    <col min="210" max="210" width="10.5546875" bestFit="1" customWidth="1"/>
    <col min="211" max="211" width="10" bestFit="1" customWidth="1"/>
    <col min="212" max="212" width="9.33203125" bestFit="1" customWidth="1"/>
    <col min="213" max="213" width="14" bestFit="1" customWidth="1"/>
    <col min="214" max="214" width="11.88671875" bestFit="1" customWidth="1"/>
    <col min="215" max="215" width="13.44140625" bestFit="1" customWidth="1"/>
    <col min="217" max="217" width="12.109375" bestFit="1" customWidth="1"/>
    <col min="218" max="218" width="11.5546875" bestFit="1" customWidth="1"/>
    <col min="219" max="219" width="12.88671875" bestFit="1" customWidth="1"/>
    <col min="220" max="220" width="11" bestFit="1" customWidth="1"/>
    <col min="221" max="221" width="13.6640625" bestFit="1" customWidth="1"/>
    <col min="222" max="222" width="12.44140625" bestFit="1" customWidth="1"/>
    <col min="223" max="223" width="11.88671875" bestFit="1" customWidth="1"/>
    <col min="224" max="224" width="11.21875" bestFit="1" customWidth="1"/>
    <col min="225" max="225" width="15.77734375" bestFit="1" customWidth="1"/>
    <col min="226" max="226" width="13.77734375" bestFit="1" customWidth="1"/>
    <col min="227" max="227" width="15.33203125" bestFit="1" customWidth="1"/>
    <col min="228" max="228" width="10.6640625" bestFit="1" customWidth="1"/>
    <col min="229" max="229" width="14.109375" bestFit="1" customWidth="1"/>
    <col min="230" max="230" width="13.44140625" bestFit="1" customWidth="1"/>
    <col min="231" max="231" width="14.77734375" bestFit="1" customWidth="1"/>
    <col min="232" max="232" width="12.88671875" bestFit="1" customWidth="1"/>
    <col min="233" max="233" width="11.6640625" bestFit="1" customWidth="1"/>
    <col min="234" max="234" width="10.5546875" bestFit="1" customWidth="1"/>
    <col min="235" max="235" width="9.88671875" bestFit="1" customWidth="1"/>
    <col min="236" max="236" width="9.33203125" bestFit="1" customWidth="1"/>
    <col min="237" max="237" width="13.88671875" bestFit="1" customWidth="1"/>
    <col min="238" max="238" width="11.77734375" bestFit="1" customWidth="1"/>
    <col min="239" max="239" width="13.33203125" bestFit="1" customWidth="1"/>
    <col min="241" max="241" width="12" bestFit="1" customWidth="1"/>
    <col min="242" max="242" width="11.44140625" bestFit="1" customWidth="1"/>
    <col min="243" max="243" width="12.77734375" bestFit="1" customWidth="1"/>
    <col min="244" max="244" width="10.88671875" bestFit="1" customWidth="1"/>
    <col min="245" max="245" width="10.6640625" bestFit="1" customWidth="1"/>
  </cols>
  <sheetData>
    <row r="1" spans="1:20" ht="29.4" thickBot="1">
      <c r="A1" s="58" t="s">
        <v>1380</v>
      </c>
      <c r="B1" s="59"/>
      <c r="C1" s="59"/>
      <c r="D1" s="59"/>
      <c r="E1" s="59"/>
      <c r="F1" s="59"/>
      <c r="G1" s="59"/>
      <c r="H1" s="59"/>
      <c r="I1" s="59"/>
      <c r="J1" s="59"/>
      <c r="K1" s="59"/>
      <c r="L1" s="59"/>
      <c r="M1" s="59"/>
      <c r="N1" s="59"/>
      <c r="O1" s="59"/>
      <c r="P1" s="59"/>
      <c r="Q1" s="60"/>
    </row>
    <row r="2" spans="1:20">
      <c r="M2" s="64"/>
      <c r="N2" s="64"/>
    </row>
    <row r="3" spans="1:20">
      <c r="S3" s="64"/>
      <c r="T3" s="64"/>
    </row>
    <row r="4" spans="1:20">
      <c r="A4" s="56" t="s">
        <v>1372</v>
      </c>
      <c r="B4" s="57"/>
      <c r="C4" s="10"/>
      <c r="D4" s="56" t="s">
        <v>1366</v>
      </c>
      <c r="E4" s="57"/>
      <c r="F4" s="10"/>
      <c r="H4" s="37"/>
      <c r="I4" s="37"/>
      <c r="M4" s="61" t="s">
        <v>1375</v>
      </c>
      <c r="N4" s="61"/>
    </row>
    <row r="5" spans="1:20" ht="18">
      <c r="A5" s="29" t="s">
        <v>1297</v>
      </c>
      <c r="B5" t="s">
        <v>1300</v>
      </c>
      <c r="D5" s="29" t="s">
        <v>1297</v>
      </c>
      <c r="E5" t="s">
        <v>1299</v>
      </c>
      <c r="I5" s="62" t="s">
        <v>1307</v>
      </c>
      <c r="J5" s="63"/>
      <c r="L5" s="32"/>
      <c r="M5" s="29" t="s">
        <v>1297</v>
      </c>
      <c r="N5" t="s">
        <v>1371</v>
      </c>
    </row>
    <row r="6" spans="1:20">
      <c r="A6" s="30" t="s">
        <v>44</v>
      </c>
      <c r="B6">
        <v>66.463414634146346</v>
      </c>
      <c r="D6" s="30" t="s">
        <v>57</v>
      </c>
      <c r="E6">
        <v>150</v>
      </c>
      <c r="I6" s="6" t="s">
        <v>1297</v>
      </c>
      <c r="J6" s="6" t="s">
        <v>1299</v>
      </c>
      <c r="M6" s="30" t="s">
        <v>465</v>
      </c>
      <c r="N6">
        <v>0</v>
      </c>
    </row>
    <row r="7" spans="1:20">
      <c r="A7" s="30" t="s">
        <v>39</v>
      </c>
      <c r="B7">
        <v>71.901098901098905</v>
      </c>
      <c r="D7" s="30" t="s">
        <v>49</v>
      </c>
      <c r="E7">
        <v>116</v>
      </c>
      <c r="I7" s="4" t="s">
        <v>21</v>
      </c>
      <c r="J7" s="42">
        <v>237</v>
      </c>
      <c r="M7" s="30" t="s">
        <v>307</v>
      </c>
      <c r="N7">
        <v>8000</v>
      </c>
    </row>
    <row r="8" spans="1:20">
      <c r="A8" s="30" t="s">
        <v>1298</v>
      </c>
      <c r="B8">
        <v>69.323699421965316</v>
      </c>
      <c r="D8" s="30" t="s">
        <v>63</v>
      </c>
      <c r="E8">
        <v>111</v>
      </c>
      <c r="I8" s="7" t="s">
        <v>57</v>
      </c>
      <c r="J8" s="42">
        <v>71</v>
      </c>
      <c r="M8" s="30" t="s">
        <v>232</v>
      </c>
      <c r="N8">
        <v>10000</v>
      </c>
    </row>
    <row r="9" spans="1:20">
      <c r="D9" s="30" t="s">
        <v>23</v>
      </c>
      <c r="E9">
        <v>125</v>
      </c>
      <c r="I9" s="7" t="s">
        <v>49</v>
      </c>
      <c r="J9" s="42">
        <v>51</v>
      </c>
      <c r="M9" s="30" t="s">
        <v>1180</v>
      </c>
      <c r="N9">
        <v>6000</v>
      </c>
    </row>
    <row r="10" spans="1:20">
      <c r="D10" s="30" t="s">
        <v>1298</v>
      </c>
      <c r="E10">
        <v>502</v>
      </c>
      <c r="I10" s="7" t="s">
        <v>63</v>
      </c>
      <c r="J10" s="42">
        <v>46</v>
      </c>
      <c r="M10" s="30" t="s">
        <v>61</v>
      </c>
      <c r="N10">
        <v>6000</v>
      </c>
    </row>
    <row r="11" spans="1:20">
      <c r="I11" s="7" t="s">
        <v>31</v>
      </c>
      <c r="J11" s="42">
        <v>69</v>
      </c>
      <c r="M11" s="30" t="s">
        <v>1298</v>
      </c>
      <c r="N11">
        <v>30000</v>
      </c>
    </row>
    <row r="12" spans="1:20">
      <c r="I12" s="4" t="s">
        <v>35</v>
      </c>
      <c r="J12" s="42">
        <v>281</v>
      </c>
    </row>
    <row r="13" spans="1:20">
      <c r="I13" s="7" t="s">
        <v>57</v>
      </c>
      <c r="J13" s="42">
        <v>79</v>
      </c>
    </row>
    <row r="14" spans="1:20">
      <c r="I14" s="7" t="s">
        <v>49</v>
      </c>
      <c r="J14" s="42">
        <v>65</v>
      </c>
    </row>
    <row r="15" spans="1:20">
      <c r="I15" s="7" t="s">
        <v>63</v>
      </c>
      <c r="J15" s="42">
        <v>65</v>
      </c>
    </row>
    <row r="16" spans="1:20">
      <c r="I16" s="7" t="s">
        <v>31</v>
      </c>
      <c r="J16" s="42">
        <v>72</v>
      </c>
    </row>
    <row r="17" spans="1:10">
      <c r="D17" s="55" t="s">
        <v>1305</v>
      </c>
      <c r="E17" s="55"/>
      <c r="G17" s="64"/>
      <c r="H17" s="64"/>
      <c r="I17" s="5" t="s">
        <v>1298</v>
      </c>
      <c r="J17" s="6">
        <v>518</v>
      </c>
    </row>
    <row r="18" spans="1:10">
      <c r="D18" s="29" t="s">
        <v>1297</v>
      </c>
      <c r="E18" t="s">
        <v>1299</v>
      </c>
    </row>
    <row r="19" spans="1:10">
      <c r="D19" s="30" t="s">
        <v>68</v>
      </c>
      <c r="E19">
        <v>216</v>
      </c>
    </row>
    <row r="20" spans="1:10">
      <c r="A20" s="55" t="s">
        <v>1368</v>
      </c>
      <c r="B20" s="55"/>
      <c r="D20" s="30" t="s">
        <v>59</v>
      </c>
      <c r="E20">
        <v>177</v>
      </c>
    </row>
    <row r="21" spans="1:10">
      <c r="A21" s="29" t="s">
        <v>1297</v>
      </c>
      <c r="B21" t="s">
        <v>1299</v>
      </c>
      <c r="D21" s="30" t="s">
        <v>45</v>
      </c>
      <c r="E21">
        <v>229</v>
      </c>
    </row>
    <row r="22" spans="1:10">
      <c r="A22" s="30" t="s">
        <v>27</v>
      </c>
      <c r="B22">
        <v>942</v>
      </c>
      <c r="D22" s="30" t="s">
        <v>1298</v>
      </c>
      <c r="E22">
        <v>622</v>
      </c>
    </row>
    <row r="23" spans="1:10">
      <c r="A23" s="30" t="s">
        <v>127</v>
      </c>
      <c r="B23">
        <v>58</v>
      </c>
    </row>
    <row r="24" spans="1:10">
      <c r="A24" s="30" t="s">
        <v>1298</v>
      </c>
      <c r="B24">
        <v>1000</v>
      </c>
    </row>
    <row r="26" spans="1:10">
      <c r="A26" s="55" t="s">
        <v>1369</v>
      </c>
      <c r="B26" s="55"/>
      <c r="D26" s="55" t="s">
        <v>1306</v>
      </c>
      <c r="E26" s="55"/>
    </row>
    <row r="27" spans="1:10">
      <c r="A27" s="29" t="s">
        <v>1297</v>
      </c>
      <c r="B27" t="s">
        <v>1299</v>
      </c>
      <c r="D27" s="29" t="s">
        <v>1297</v>
      </c>
      <c r="E27" t="s">
        <v>1299</v>
      </c>
    </row>
    <row r="28" spans="1:10">
      <c r="A28" s="30" t="s">
        <v>11</v>
      </c>
      <c r="B28">
        <v>321</v>
      </c>
      <c r="D28" s="30" t="s">
        <v>1302</v>
      </c>
      <c r="E28">
        <v>345</v>
      </c>
    </row>
    <row r="29" spans="1:10">
      <c r="A29" s="30" t="s">
        <v>26</v>
      </c>
      <c r="B29">
        <v>679</v>
      </c>
      <c r="D29" s="30" t="s">
        <v>1303</v>
      </c>
      <c r="E29">
        <v>655</v>
      </c>
    </row>
    <row r="30" spans="1:10">
      <c r="A30" s="30" t="s">
        <v>1298</v>
      </c>
      <c r="B30">
        <v>1000</v>
      </c>
      <c r="D30" s="30" t="s">
        <v>1298</v>
      </c>
      <c r="E30">
        <v>1000</v>
      </c>
    </row>
    <row r="32" spans="1:10">
      <c r="A32" s="53" t="s">
        <v>1379</v>
      </c>
      <c r="B32" s="54"/>
      <c r="F32" s="61" t="s">
        <v>1367</v>
      </c>
      <c r="G32" s="61"/>
    </row>
    <row r="33" spans="1:7">
      <c r="A33" s="29" t="s">
        <v>1297</v>
      </c>
      <c r="B33" t="s">
        <v>1378</v>
      </c>
      <c r="F33" s="29" t="s">
        <v>1297</v>
      </c>
      <c r="G33" t="s">
        <v>1304</v>
      </c>
    </row>
    <row r="34" spans="1:7">
      <c r="A34" s="30" t="s">
        <v>21</v>
      </c>
      <c r="B34">
        <v>100</v>
      </c>
      <c r="F34" s="30" t="s">
        <v>57</v>
      </c>
      <c r="G34">
        <v>2144000</v>
      </c>
    </row>
    <row r="35" spans="1:7">
      <c r="A35" s="30" t="s">
        <v>35</v>
      </c>
      <c r="B35">
        <v>100</v>
      </c>
      <c r="F35" s="30" t="s">
        <v>49</v>
      </c>
      <c r="G35">
        <v>1772750</v>
      </c>
    </row>
    <row r="36" spans="1:7">
      <c r="F36" s="30" t="s">
        <v>63</v>
      </c>
      <c r="G36">
        <v>1725820</v>
      </c>
    </row>
    <row r="37" spans="1:7">
      <c r="A37" s="52"/>
      <c r="B37" s="52"/>
      <c r="F37" s="30" t="s">
        <v>23</v>
      </c>
      <c r="G37">
        <v>1912160</v>
      </c>
    </row>
    <row r="38" spans="1:7">
      <c r="F38" s="30" t="s">
        <v>53</v>
      </c>
      <c r="G38">
        <v>1636560</v>
      </c>
    </row>
    <row r="39" spans="1:7">
      <c r="F39" s="30" t="s">
        <v>31</v>
      </c>
      <c r="G39">
        <v>1904140</v>
      </c>
    </row>
    <row r="40" spans="1:7">
      <c r="F40" s="30" t="s">
        <v>88</v>
      </c>
      <c r="G40">
        <v>1728000</v>
      </c>
    </row>
    <row r="41" spans="1:7">
      <c r="F41" s="30" t="s">
        <v>40</v>
      </c>
      <c r="G41">
        <v>1773970</v>
      </c>
    </row>
    <row r="42" spans="1:7">
      <c r="F42" s="30" t="s">
        <v>1298</v>
      </c>
      <c r="G42">
        <v>14597400</v>
      </c>
    </row>
  </sheetData>
  <autoFilter ref="A4:I36" xr:uid="{EF3165EF-2A6C-4B02-911F-9B558E2E2D39}">
    <filterColumn colId="0" showButton="0"/>
    <filterColumn colId="3" showButton="0"/>
    <filterColumn colId="4" showButton="0"/>
    <filterColumn colId="7" showButton="0"/>
  </autoFilter>
  <mergeCells count="15">
    <mergeCell ref="S3:T3"/>
    <mergeCell ref="M4:N4"/>
    <mergeCell ref="A4:B4"/>
    <mergeCell ref="G17:H17"/>
    <mergeCell ref="D17:E17"/>
    <mergeCell ref="A37:B37"/>
    <mergeCell ref="A32:B32"/>
    <mergeCell ref="D26:E26"/>
    <mergeCell ref="D4:E4"/>
    <mergeCell ref="A1:Q1"/>
    <mergeCell ref="F32:G32"/>
    <mergeCell ref="I5:J5"/>
    <mergeCell ref="M2:N2"/>
    <mergeCell ref="A20:B20"/>
    <mergeCell ref="A26:B26"/>
  </mergeCells>
  <conditionalFormatting pivot="1" sqref="J7 J8:J11">
    <cfRule type="top10" dxfId="18" priority="2" rank="1"/>
  </conditionalFormatting>
  <conditionalFormatting pivot="1" sqref="J12 J13:J16">
    <cfRule type="top10" dxfId="17" priority="1" rank="1"/>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7FAE-0B0C-49D0-943F-7F1E9A79F80C}">
  <dimension ref="A1:AK1001"/>
  <sheetViews>
    <sheetView topLeftCell="V1" zoomScale="83" zoomScaleNormal="107" workbookViewId="0">
      <selection activeCell="Y1" sqref="Y1:Y1048576"/>
    </sheetView>
  </sheetViews>
  <sheetFormatPr defaultRowHeight="14.4"/>
  <cols>
    <col min="1" max="1" width="12.33203125" bestFit="1" customWidth="1"/>
    <col min="2" max="2" width="15.6640625" bestFit="1" customWidth="1"/>
    <col min="3" max="3" width="6.21875" bestFit="1" customWidth="1"/>
    <col min="4" max="4" width="9.33203125" bestFit="1" customWidth="1"/>
    <col min="5" max="5" width="11.6640625" bestFit="1" customWidth="1"/>
    <col min="6" max="6" width="15.21875" bestFit="1" customWidth="1"/>
    <col min="7" max="7" width="15.33203125" customWidth="1"/>
    <col min="8" max="8" width="12.5546875" bestFit="1" customWidth="1"/>
    <col min="9" max="9" width="15.109375" bestFit="1" customWidth="1"/>
    <col min="10" max="10" width="20.109375" bestFit="1" customWidth="1"/>
    <col min="11" max="11" width="12.77734375" bestFit="1" customWidth="1"/>
    <col min="12" max="12" width="7" bestFit="1" customWidth="1"/>
    <col min="13" max="13" width="9.88671875" bestFit="1" customWidth="1"/>
    <col min="14" max="14" width="16.77734375" bestFit="1" customWidth="1"/>
    <col min="15" max="15" width="17.33203125" bestFit="1" customWidth="1"/>
    <col min="16" max="16" width="18.6640625" bestFit="1" customWidth="1"/>
    <col min="17" max="17" width="17.6640625" bestFit="1" customWidth="1"/>
    <col min="18" max="18" width="12.44140625" bestFit="1" customWidth="1"/>
    <col min="19" max="19" width="13.5546875" bestFit="1" customWidth="1"/>
    <col min="20" max="20" width="14.21875" customWidth="1"/>
    <col min="21" max="21" width="37" customWidth="1"/>
    <col min="22" max="22" width="28.33203125" customWidth="1"/>
    <col min="23" max="23" width="21" customWidth="1"/>
    <col min="24" max="24" width="23.77734375" customWidth="1"/>
    <col min="27" max="27" width="11.21875" customWidth="1"/>
    <col min="28" max="28" width="14.33203125" customWidth="1"/>
    <col min="29" max="30" width="8.88671875" customWidth="1"/>
    <col min="31" max="31" width="21.33203125" customWidth="1"/>
    <col min="32" max="32" width="17.33203125" customWidth="1"/>
    <col min="33" max="33" width="22.44140625" customWidth="1"/>
    <col min="34" max="34" width="24.33203125" customWidth="1"/>
    <col min="35" max="35" width="27.21875" customWidth="1"/>
    <col min="36" max="36" width="26.21875" customWidth="1"/>
    <col min="37" max="37" width="23.33203125" customWidth="1"/>
    <col min="38" max="38" width="19.88671875" customWidth="1"/>
    <col min="39" max="39" width="19.21875" customWidth="1"/>
  </cols>
  <sheetData>
    <row r="1" spans="1:34" ht="15" thickBo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1293</v>
      </c>
      <c r="U1" t="s">
        <v>1295</v>
      </c>
      <c r="V1" t="s">
        <v>1294</v>
      </c>
      <c r="W1" t="s">
        <v>1296</v>
      </c>
      <c r="X1" t="s">
        <v>1301</v>
      </c>
      <c r="AA1" s="33" t="s">
        <v>0</v>
      </c>
      <c r="AB1" s="33" t="s">
        <v>1</v>
      </c>
      <c r="AC1" s="33" t="s">
        <v>7</v>
      </c>
      <c r="AD1" s="33" t="s">
        <v>8</v>
      </c>
      <c r="AE1" s="33" t="s">
        <v>9</v>
      </c>
      <c r="AF1" s="33" t="s">
        <v>12</v>
      </c>
      <c r="AG1" s="33" t="s">
        <v>1294</v>
      </c>
      <c r="AH1" s="33" t="s">
        <v>14</v>
      </c>
    </row>
    <row r="2" spans="1:34">
      <c r="A2" t="s">
        <v>19</v>
      </c>
      <c r="B2" t="s">
        <v>20</v>
      </c>
      <c r="C2">
        <v>28</v>
      </c>
      <c r="D2" t="s">
        <v>21</v>
      </c>
      <c r="E2" t="s">
        <v>22</v>
      </c>
      <c r="F2" t="s">
        <v>23</v>
      </c>
      <c r="G2" t="s">
        <v>24</v>
      </c>
      <c r="H2">
        <v>57</v>
      </c>
      <c r="I2">
        <v>74</v>
      </c>
      <c r="J2" t="s">
        <v>25</v>
      </c>
      <c r="K2">
        <v>10000</v>
      </c>
      <c r="L2">
        <v>7800</v>
      </c>
      <c r="M2">
        <v>4000</v>
      </c>
      <c r="N2" t="s">
        <v>26</v>
      </c>
      <c r="O2" t="s">
        <v>27</v>
      </c>
      <c r="P2" s="1">
        <v>45901</v>
      </c>
      <c r="Q2" s="1">
        <v>46021</v>
      </c>
      <c r="R2" s="2">
        <v>0.43333333333333335</v>
      </c>
      <c r="S2" s="2">
        <v>0.60416666666666663</v>
      </c>
      <c r="T2" t="str" cm="1">
        <f t="array" ref="T2">_xlfn.IFS(H2&gt;=90,"A",H2&gt;=75,"B",H2&gt;=60,"C",H2&lt;60,"D")</f>
        <v>D</v>
      </c>
      <c r="U2" t="str">
        <f t="shared" ref="U2:U65" si="0">TEXT(R2,"hh:mm AM/PM")</f>
        <v>10:24 AM</v>
      </c>
      <c r="V2" t="str">
        <f>IF(_xlfn.DAYS(Q2,P2)&lt;=90,"On Time","Delayed")</f>
        <v>Delayed</v>
      </c>
      <c r="W2" t="str">
        <f t="shared" ref="W2:W65" si="1">HOUR(S2-R2)&amp;" Hours "&amp;MINUTE(S2-R2)&amp;" Minutes"</f>
        <v>4 Hours 6 Minutes</v>
      </c>
      <c r="X2" t="str">
        <f t="shared" ref="X2:X65" si="2">IF(R2&gt;TIME(10,0,0),"Long Time Login","Short Time Login")</f>
        <v>Long Time Login</v>
      </c>
      <c r="AA2" s="34" t="s">
        <v>19</v>
      </c>
      <c r="AB2" s="34" t="s">
        <v>20</v>
      </c>
      <c r="AC2" s="34">
        <v>57</v>
      </c>
      <c r="AD2" s="34">
        <v>74</v>
      </c>
      <c r="AE2" s="34" t="s">
        <v>25</v>
      </c>
      <c r="AF2" s="34">
        <v>4000</v>
      </c>
      <c r="AG2" s="34" t="s">
        <v>1376</v>
      </c>
      <c r="AH2" s="34" t="s">
        <v>27</v>
      </c>
    </row>
    <row r="3" spans="1:34">
      <c r="A3" t="s">
        <v>28</v>
      </c>
      <c r="B3" t="s">
        <v>29</v>
      </c>
      <c r="C3">
        <v>28</v>
      </c>
      <c r="D3" t="s">
        <v>21</v>
      </c>
      <c r="E3" t="s">
        <v>30</v>
      </c>
      <c r="F3" t="s">
        <v>31</v>
      </c>
      <c r="G3" t="s">
        <v>32</v>
      </c>
      <c r="H3">
        <v>44</v>
      </c>
      <c r="I3">
        <v>85</v>
      </c>
      <c r="J3" t="s">
        <v>25</v>
      </c>
      <c r="K3">
        <v>15000</v>
      </c>
      <c r="L3">
        <v>13110</v>
      </c>
      <c r="M3">
        <v>4000</v>
      </c>
      <c r="N3" t="s">
        <v>26</v>
      </c>
      <c r="O3" t="s">
        <v>27</v>
      </c>
      <c r="P3" s="1">
        <v>45786</v>
      </c>
      <c r="Q3" s="1">
        <v>45876</v>
      </c>
      <c r="R3" s="2">
        <v>0.36736111111111114</v>
      </c>
      <c r="S3" s="2">
        <v>0.4909722222222222</v>
      </c>
      <c r="T3" t="str" cm="1">
        <f t="array" ref="T3">_xlfn.IFS(H3&gt;=90,"A",H3&gt;=75,"B",H3&gt;=60,"C",H3&lt;60,"D")</f>
        <v>D</v>
      </c>
      <c r="U3" t="str">
        <f t="shared" si="0"/>
        <v>08:49 AM</v>
      </c>
      <c r="V3" t="str">
        <f t="shared" ref="V3:V65" si="3">IF(_xlfn.DAYS(Q3,P3)&lt;=90,"On Time","Delayed")</f>
        <v>On Time</v>
      </c>
      <c r="W3" t="str">
        <f t="shared" si="1"/>
        <v>2 Hours 58 Minutes</v>
      </c>
      <c r="X3" t="str">
        <f t="shared" si="2"/>
        <v>Short Time Login</v>
      </c>
      <c r="AA3" s="35" t="s">
        <v>28</v>
      </c>
      <c r="AB3" s="35" t="s">
        <v>29</v>
      </c>
      <c r="AC3" s="35">
        <v>44</v>
      </c>
      <c r="AD3" s="35">
        <v>85</v>
      </c>
      <c r="AE3" s="35" t="s">
        <v>25</v>
      </c>
      <c r="AF3" s="35">
        <v>4000</v>
      </c>
      <c r="AG3" s="35" t="s">
        <v>1377</v>
      </c>
      <c r="AH3" s="35" t="s">
        <v>27</v>
      </c>
    </row>
    <row r="4" spans="1:34">
      <c r="A4" t="s">
        <v>33</v>
      </c>
      <c r="B4" t="s">
        <v>34</v>
      </c>
      <c r="C4">
        <v>27</v>
      </c>
      <c r="D4" t="s">
        <v>35</v>
      </c>
      <c r="E4" t="s">
        <v>36</v>
      </c>
      <c r="F4" t="s">
        <v>23</v>
      </c>
      <c r="G4" t="s">
        <v>24</v>
      </c>
      <c r="H4">
        <v>41</v>
      </c>
      <c r="I4">
        <v>98</v>
      </c>
      <c r="J4" t="s">
        <v>25</v>
      </c>
      <c r="K4">
        <v>10000</v>
      </c>
      <c r="L4">
        <v>7210</v>
      </c>
      <c r="M4">
        <v>4000</v>
      </c>
      <c r="N4" t="s">
        <v>26</v>
      </c>
      <c r="O4" t="s">
        <v>27</v>
      </c>
      <c r="P4" s="1">
        <v>45872</v>
      </c>
      <c r="Q4" s="1">
        <v>46052</v>
      </c>
      <c r="R4" s="2">
        <v>0.375</v>
      </c>
      <c r="S4" s="2">
        <v>0.57291666666666663</v>
      </c>
      <c r="T4" t="str" cm="1">
        <f t="array" ref="T4">_xlfn.IFS(H4&gt;=90,"A",H4&gt;=75,"B",H4&gt;=60,"C",H4&lt;60,"D")</f>
        <v>D</v>
      </c>
      <c r="U4" t="str">
        <f t="shared" si="0"/>
        <v>09:00 AM</v>
      </c>
      <c r="V4" t="str">
        <f t="shared" si="3"/>
        <v>Delayed</v>
      </c>
      <c r="W4" t="str">
        <f t="shared" si="1"/>
        <v>4 Hours 45 Minutes</v>
      </c>
      <c r="X4" t="str">
        <f t="shared" si="2"/>
        <v>Short Time Login</v>
      </c>
      <c r="AA4" s="34" t="s">
        <v>33</v>
      </c>
      <c r="AB4" s="34" t="s">
        <v>34</v>
      </c>
      <c r="AC4" s="34">
        <v>41</v>
      </c>
      <c r="AD4" s="34">
        <v>98</v>
      </c>
      <c r="AE4" s="34" t="s">
        <v>25</v>
      </c>
      <c r="AF4" s="34">
        <v>4000</v>
      </c>
      <c r="AG4" s="34" t="s">
        <v>1376</v>
      </c>
      <c r="AH4" s="34" t="s">
        <v>27</v>
      </c>
    </row>
    <row r="5" spans="1:34">
      <c r="A5" t="s">
        <v>37</v>
      </c>
      <c r="B5" t="s">
        <v>38</v>
      </c>
      <c r="C5">
        <v>23</v>
      </c>
      <c r="D5" t="s">
        <v>35</v>
      </c>
      <c r="E5" t="s">
        <v>39</v>
      </c>
      <c r="F5" t="s">
        <v>40</v>
      </c>
      <c r="G5" t="s">
        <v>41</v>
      </c>
      <c r="H5">
        <v>52</v>
      </c>
      <c r="I5">
        <v>80</v>
      </c>
      <c r="J5" t="s">
        <v>25</v>
      </c>
      <c r="K5">
        <v>15000</v>
      </c>
      <c r="L5">
        <v>15930</v>
      </c>
      <c r="M5">
        <v>0</v>
      </c>
      <c r="N5" t="s">
        <v>11</v>
      </c>
      <c r="O5" t="s">
        <v>27</v>
      </c>
      <c r="P5" s="1">
        <v>45808</v>
      </c>
      <c r="Q5" s="1">
        <v>45898</v>
      </c>
      <c r="R5" s="2">
        <v>0.41875000000000001</v>
      </c>
      <c r="S5" s="2">
        <v>0.52777777777777779</v>
      </c>
      <c r="T5" t="str" cm="1">
        <f t="array" ref="T5">_xlfn.IFS(H5&gt;=90,"A",H5&gt;=75,"B",H5&gt;=60,"C",H5&lt;60,"D")</f>
        <v>D</v>
      </c>
      <c r="U5" t="str">
        <f t="shared" si="0"/>
        <v>10:03 AM</v>
      </c>
      <c r="V5" t="str">
        <f t="shared" si="3"/>
        <v>On Time</v>
      </c>
      <c r="W5" t="str">
        <f t="shared" si="1"/>
        <v>2 Hours 37 Minutes</v>
      </c>
      <c r="X5" t="str">
        <f t="shared" si="2"/>
        <v>Long Time Login</v>
      </c>
      <c r="AA5" s="35" t="s">
        <v>37</v>
      </c>
      <c r="AB5" s="35" t="s">
        <v>38</v>
      </c>
      <c r="AC5" s="35">
        <v>52</v>
      </c>
      <c r="AD5" s="35">
        <v>80</v>
      </c>
      <c r="AE5" s="35" t="s">
        <v>25</v>
      </c>
      <c r="AF5" s="35">
        <v>0</v>
      </c>
      <c r="AG5" s="35" t="s">
        <v>1377</v>
      </c>
      <c r="AH5" s="35" t="s">
        <v>27</v>
      </c>
    </row>
    <row r="6" spans="1:34">
      <c r="A6" t="s">
        <v>42</v>
      </c>
      <c r="B6" t="s">
        <v>43</v>
      </c>
      <c r="C6">
        <v>23</v>
      </c>
      <c r="D6" t="s">
        <v>21</v>
      </c>
      <c r="E6" t="s">
        <v>44</v>
      </c>
      <c r="F6" t="s">
        <v>31</v>
      </c>
      <c r="G6" t="s">
        <v>32</v>
      </c>
      <c r="H6">
        <v>85</v>
      </c>
      <c r="I6">
        <v>62</v>
      </c>
      <c r="J6" t="s">
        <v>45</v>
      </c>
      <c r="K6">
        <v>18000</v>
      </c>
      <c r="L6">
        <v>21240</v>
      </c>
      <c r="M6">
        <v>0</v>
      </c>
      <c r="N6" t="s">
        <v>11</v>
      </c>
      <c r="O6" t="s">
        <v>27</v>
      </c>
      <c r="P6" s="1">
        <v>45765</v>
      </c>
      <c r="Q6" s="1">
        <v>45855</v>
      </c>
      <c r="R6" s="2">
        <v>0.38472222222222224</v>
      </c>
      <c r="S6" s="2">
        <v>0.44444444444444442</v>
      </c>
      <c r="T6" t="str" cm="1">
        <f t="array" ref="T6">_xlfn.IFS(H6&gt;=90,"A",H6&gt;=75,"B",H6&gt;=60,"C",H6&lt;60,"D")</f>
        <v>B</v>
      </c>
      <c r="U6" t="str">
        <f t="shared" si="0"/>
        <v>09:14 AM</v>
      </c>
      <c r="V6" t="str">
        <f t="shared" si="3"/>
        <v>On Time</v>
      </c>
      <c r="W6" t="str">
        <f t="shared" si="1"/>
        <v>1 Hours 26 Minutes</v>
      </c>
      <c r="X6" t="str">
        <f t="shared" si="2"/>
        <v>Short Time Login</v>
      </c>
      <c r="AA6" s="34" t="s">
        <v>42</v>
      </c>
      <c r="AB6" s="34" t="s">
        <v>43</v>
      </c>
      <c r="AC6" s="34">
        <v>85</v>
      </c>
      <c r="AD6" s="34">
        <v>62</v>
      </c>
      <c r="AE6" s="34" t="s">
        <v>45</v>
      </c>
      <c r="AF6" s="34">
        <v>0</v>
      </c>
      <c r="AG6" s="34" t="s">
        <v>1377</v>
      </c>
      <c r="AH6" s="34" t="s">
        <v>27</v>
      </c>
    </row>
    <row r="7" spans="1:34">
      <c r="A7" t="s">
        <v>46</v>
      </c>
      <c r="B7" t="s">
        <v>47</v>
      </c>
      <c r="C7">
        <v>18</v>
      </c>
      <c r="D7" t="s">
        <v>21</v>
      </c>
      <c r="E7" t="s">
        <v>48</v>
      </c>
      <c r="F7" t="s">
        <v>49</v>
      </c>
      <c r="G7" t="s">
        <v>50</v>
      </c>
      <c r="H7">
        <v>76</v>
      </c>
      <c r="I7">
        <v>95</v>
      </c>
      <c r="J7" t="s">
        <v>45</v>
      </c>
      <c r="K7">
        <v>18000</v>
      </c>
      <c r="L7">
        <v>20650</v>
      </c>
      <c r="M7">
        <v>0</v>
      </c>
      <c r="N7" t="s">
        <v>11</v>
      </c>
      <c r="O7" t="s">
        <v>27</v>
      </c>
      <c r="P7" s="1">
        <v>45757</v>
      </c>
      <c r="Q7" s="1">
        <v>45937</v>
      </c>
      <c r="R7" s="2">
        <v>0.36805555555555558</v>
      </c>
      <c r="S7" s="2">
        <v>0.43125000000000002</v>
      </c>
      <c r="T7" t="str" cm="1">
        <f t="array" ref="T7">_xlfn.IFS(H7&gt;=90,"A",H7&gt;=75,"B",H7&gt;=60,"C",H7&lt;60,"D")</f>
        <v>B</v>
      </c>
      <c r="U7" t="str">
        <f t="shared" si="0"/>
        <v>08:50 AM</v>
      </c>
      <c r="V7" t="str">
        <f t="shared" si="3"/>
        <v>Delayed</v>
      </c>
      <c r="W7" t="str">
        <f t="shared" si="1"/>
        <v>1 Hours 31 Minutes</v>
      </c>
      <c r="X7" t="str">
        <f t="shared" si="2"/>
        <v>Short Time Login</v>
      </c>
      <c r="AA7" s="35" t="s">
        <v>46</v>
      </c>
      <c r="AB7" s="35" t="s">
        <v>47</v>
      </c>
      <c r="AC7" s="35">
        <v>76</v>
      </c>
      <c r="AD7" s="35">
        <v>95</v>
      </c>
      <c r="AE7" s="35" t="s">
        <v>45</v>
      </c>
      <c r="AF7" s="35">
        <v>0</v>
      </c>
      <c r="AG7" s="35" t="s">
        <v>1376</v>
      </c>
      <c r="AH7" s="35" t="s">
        <v>27</v>
      </c>
    </row>
    <row r="8" spans="1:34">
      <c r="A8" t="s">
        <v>51</v>
      </c>
      <c r="B8" t="s">
        <v>52</v>
      </c>
      <c r="C8">
        <v>20</v>
      </c>
      <c r="D8" t="s">
        <v>35</v>
      </c>
      <c r="E8" t="s">
        <v>39</v>
      </c>
      <c r="F8" t="s">
        <v>53</v>
      </c>
      <c r="G8" t="s">
        <v>54</v>
      </c>
      <c r="H8">
        <v>43</v>
      </c>
      <c r="I8">
        <v>62</v>
      </c>
      <c r="J8" t="s">
        <v>25</v>
      </c>
      <c r="K8">
        <v>12000</v>
      </c>
      <c r="L8">
        <v>14160</v>
      </c>
      <c r="M8">
        <v>0</v>
      </c>
      <c r="N8" t="s">
        <v>11</v>
      </c>
      <c r="O8" t="s">
        <v>27</v>
      </c>
      <c r="P8" s="1">
        <v>45991</v>
      </c>
      <c r="Q8" s="1">
        <v>46081</v>
      </c>
      <c r="R8" s="2">
        <v>0.39513888888888887</v>
      </c>
      <c r="S8" s="2">
        <v>0.56944444444444442</v>
      </c>
      <c r="T8" t="str" cm="1">
        <f t="array" ref="T8">_xlfn.IFS(H8&gt;=90,"A",H8&gt;=75,"B",H8&gt;=60,"C",H8&lt;60,"D")</f>
        <v>D</v>
      </c>
      <c r="U8" t="str">
        <f t="shared" si="0"/>
        <v>09:29 AM</v>
      </c>
      <c r="V8" t="str">
        <f t="shared" si="3"/>
        <v>On Time</v>
      </c>
      <c r="W8" t="str">
        <f t="shared" si="1"/>
        <v>4 Hours 11 Minutes</v>
      </c>
      <c r="X8" t="str">
        <f t="shared" si="2"/>
        <v>Short Time Login</v>
      </c>
      <c r="AA8" s="34" t="s">
        <v>51</v>
      </c>
      <c r="AB8" s="34" t="s">
        <v>52</v>
      </c>
      <c r="AC8" s="34">
        <v>43</v>
      </c>
      <c r="AD8" s="34">
        <v>62</v>
      </c>
      <c r="AE8" s="34" t="s">
        <v>25</v>
      </c>
      <c r="AF8" s="34">
        <v>0</v>
      </c>
      <c r="AG8" s="34" t="s">
        <v>1377</v>
      </c>
      <c r="AH8" s="34" t="s">
        <v>27</v>
      </c>
    </row>
    <row r="9" spans="1:34">
      <c r="A9" t="s">
        <v>55</v>
      </c>
      <c r="B9" t="s">
        <v>56</v>
      </c>
      <c r="C9">
        <v>19</v>
      </c>
      <c r="D9" t="s">
        <v>21</v>
      </c>
      <c r="E9" t="s">
        <v>36</v>
      </c>
      <c r="F9" t="s">
        <v>57</v>
      </c>
      <c r="G9" t="s">
        <v>58</v>
      </c>
      <c r="H9">
        <v>98</v>
      </c>
      <c r="I9">
        <v>69</v>
      </c>
      <c r="J9" t="s">
        <v>59</v>
      </c>
      <c r="K9">
        <v>15000</v>
      </c>
      <c r="L9">
        <v>17110</v>
      </c>
      <c r="M9">
        <v>0</v>
      </c>
      <c r="N9" t="s">
        <v>11</v>
      </c>
      <c r="O9" t="s">
        <v>27</v>
      </c>
      <c r="P9" s="1">
        <v>45865</v>
      </c>
      <c r="Q9" s="1">
        <v>45895</v>
      </c>
      <c r="R9" s="2">
        <v>0.37083333333333335</v>
      </c>
      <c r="S9" s="2">
        <v>0.50486111111111109</v>
      </c>
      <c r="T9" t="str" cm="1">
        <f t="array" ref="T9">_xlfn.IFS(H9&gt;=90,"A",H9&gt;=75,"B",H9&gt;=60,"C",H9&lt;60,"D")</f>
        <v>A</v>
      </c>
      <c r="U9" t="str">
        <f t="shared" si="0"/>
        <v>08:54 AM</v>
      </c>
      <c r="V9" t="str">
        <f t="shared" si="3"/>
        <v>On Time</v>
      </c>
      <c r="W9" t="str">
        <f t="shared" si="1"/>
        <v>3 Hours 13 Minutes</v>
      </c>
      <c r="X9" t="str">
        <f t="shared" si="2"/>
        <v>Short Time Login</v>
      </c>
      <c r="AA9" s="35" t="s">
        <v>55</v>
      </c>
      <c r="AB9" s="35" t="s">
        <v>56</v>
      </c>
      <c r="AC9" s="35">
        <v>98</v>
      </c>
      <c r="AD9" s="35">
        <v>69</v>
      </c>
      <c r="AE9" s="35" t="s">
        <v>59</v>
      </c>
      <c r="AF9" s="35">
        <v>0</v>
      </c>
      <c r="AG9" s="35" t="s">
        <v>1377</v>
      </c>
      <c r="AH9" s="35" t="s">
        <v>27</v>
      </c>
    </row>
    <row r="10" spans="1:34">
      <c r="A10" t="s">
        <v>60</v>
      </c>
      <c r="B10" t="s">
        <v>61</v>
      </c>
      <c r="C10">
        <v>19</v>
      </c>
      <c r="D10" t="s">
        <v>21</v>
      </c>
      <c r="E10" t="s">
        <v>62</v>
      </c>
      <c r="F10" t="s">
        <v>63</v>
      </c>
      <c r="G10" t="s">
        <v>64</v>
      </c>
      <c r="H10">
        <v>46</v>
      </c>
      <c r="I10">
        <v>91</v>
      </c>
      <c r="J10" t="s">
        <v>25</v>
      </c>
      <c r="K10">
        <v>12000</v>
      </c>
      <c r="L10">
        <v>12390</v>
      </c>
      <c r="M10">
        <v>0</v>
      </c>
      <c r="N10" t="s">
        <v>11</v>
      </c>
      <c r="O10" t="s">
        <v>27</v>
      </c>
      <c r="P10" s="1">
        <v>46019</v>
      </c>
      <c r="Q10" s="1">
        <v>46139</v>
      </c>
      <c r="R10" s="2">
        <v>0.43055555555555558</v>
      </c>
      <c r="S10" s="2">
        <v>0.55000000000000004</v>
      </c>
      <c r="T10" t="str" cm="1">
        <f t="array" ref="T10">_xlfn.IFS(H10&gt;=90,"A",H10&gt;=75,"B",H10&gt;=60,"C",H10&lt;60,"D")</f>
        <v>D</v>
      </c>
      <c r="U10" t="str">
        <f t="shared" si="0"/>
        <v>10:20 AM</v>
      </c>
      <c r="V10" t="str">
        <f t="shared" si="3"/>
        <v>Delayed</v>
      </c>
      <c r="W10" t="str">
        <f t="shared" si="1"/>
        <v>2 Hours 52 Minutes</v>
      </c>
      <c r="X10" t="str">
        <f t="shared" si="2"/>
        <v>Long Time Login</v>
      </c>
      <c r="AA10" s="34" t="s">
        <v>60</v>
      </c>
      <c r="AB10" s="34" t="s">
        <v>61</v>
      </c>
      <c r="AC10" s="34">
        <v>46</v>
      </c>
      <c r="AD10" s="34">
        <v>91</v>
      </c>
      <c r="AE10" s="34" t="s">
        <v>25</v>
      </c>
      <c r="AF10" s="34">
        <v>0</v>
      </c>
      <c r="AG10" s="34" t="s">
        <v>1376</v>
      </c>
      <c r="AH10" s="34" t="s">
        <v>27</v>
      </c>
    </row>
    <row r="11" spans="1:34">
      <c r="A11" t="s">
        <v>65</v>
      </c>
      <c r="B11" t="s">
        <v>66</v>
      </c>
      <c r="C11">
        <v>23</v>
      </c>
      <c r="D11" t="s">
        <v>21</v>
      </c>
      <c r="E11" t="s">
        <v>67</v>
      </c>
      <c r="F11" t="s">
        <v>63</v>
      </c>
      <c r="G11" t="s">
        <v>64</v>
      </c>
      <c r="H11">
        <v>70</v>
      </c>
      <c r="I11">
        <v>68</v>
      </c>
      <c r="J11" t="s">
        <v>68</v>
      </c>
      <c r="K11">
        <v>20000</v>
      </c>
      <c r="L11">
        <v>20420</v>
      </c>
      <c r="M11">
        <v>2000</v>
      </c>
      <c r="N11" t="s">
        <v>26</v>
      </c>
      <c r="O11" t="s">
        <v>27</v>
      </c>
      <c r="P11" s="1">
        <v>45940</v>
      </c>
      <c r="Q11" s="1">
        <v>46060</v>
      </c>
      <c r="R11" s="2">
        <v>0.43333333333333335</v>
      </c>
      <c r="S11" s="2">
        <v>0.63888888888888884</v>
      </c>
      <c r="T11" t="str" cm="1">
        <f t="array" ref="T11">_xlfn.IFS(H11&gt;=90,"A",H11&gt;=75,"B",H11&gt;=60,"C",H11&lt;60,"D")</f>
        <v>C</v>
      </c>
      <c r="U11" t="str">
        <f t="shared" si="0"/>
        <v>10:24 AM</v>
      </c>
      <c r="V11" t="str">
        <f t="shared" si="3"/>
        <v>Delayed</v>
      </c>
      <c r="W11" t="str">
        <f t="shared" si="1"/>
        <v>4 Hours 56 Minutes</v>
      </c>
      <c r="X11" t="str">
        <f t="shared" si="2"/>
        <v>Long Time Login</v>
      </c>
      <c r="AA11" s="35" t="s">
        <v>65</v>
      </c>
      <c r="AB11" s="35" t="s">
        <v>66</v>
      </c>
      <c r="AC11" s="35">
        <v>70</v>
      </c>
      <c r="AD11" s="35">
        <v>68</v>
      </c>
      <c r="AE11" s="35" t="s">
        <v>68</v>
      </c>
      <c r="AF11" s="35">
        <v>2000</v>
      </c>
      <c r="AG11" s="35" t="s">
        <v>1376</v>
      </c>
      <c r="AH11" s="35" t="s">
        <v>27</v>
      </c>
    </row>
    <row r="12" spans="1:34">
      <c r="A12" t="s">
        <v>69</v>
      </c>
      <c r="B12" t="s">
        <v>70</v>
      </c>
      <c r="C12">
        <v>26</v>
      </c>
      <c r="D12" t="s">
        <v>35</v>
      </c>
      <c r="E12" t="s">
        <v>67</v>
      </c>
      <c r="F12" t="s">
        <v>40</v>
      </c>
      <c r="G12" t="s">
        <v>41</v>
      </c>
      <c r="H12">
        <v>50</v>
      </c>
      <c r="I12">
        <v>88</v>
      </c>
      <c r="J12" t="s">
        <v>25</v>
      </c>
      <c r="K12">
        <v>12000</v>
      </c>
      <c r="L12">
        <v>9570</v>
      </c>
      <c r="M12">
        <v>4000</v>
      </c>
      <c r="N12" t="s">
        <v>26</v>
      </c>
      <c r="O12" t="s">
        <v>27</v>
      </c>
      <c r="P12" s="1">
        <v>45903</v>
      </c>
      <c r="Q12" s="1">
        <v>46083</v>
      </c>
      <c r="R12" s="2">
        <v>0.36041666666666666</v>
      </c>
      <c r="S12" s="2">
        <v>0.49861111111111112</v>
      </c>
      <c r="T12" t="str" cm="1">
        <f t="array" ref="T12">_xlfn.IFS(H12&gt;=90,"A",H12&gt;=75,"B",H12&gt;=60,"C",H12&lt;60,"D")</f>
        <v>D</v>
      </c>
      <c r="U12" t="str">
        <f t="shared" si="0"/>
        <v>08:39 AM</v>
      </c>
      <c r="V12" t="str">
        <f t="shared" si="3"/>
        <v>Delayed</v>
      </c>
      <c r="W12" t="str">
        <f t="shared" si="1"/>
        <v>3 Hours 19 Minutes</v>
      </c>
      <c r="X12" t="str">
        <f t="shared" si="2"/>
        <v>Short Time Login</v>
      </c>
      <c r="AA12" s="34" t="s">
        <v>69</v>
      </c>
      <c r="AB12" s="34" t="s">
        <v>70</v>
      </c>
      <c r="AC12" s="34">
        <v>50</v>
      </c>
      <c r="AD12" s="34">
        <v>88</v>
      </c>
      <c r="AE12" s="34" t="s">
        <v>25</v>
      </c>
      <c r="AF12" s="34">
        <v>4000</v>
      </c>
      <c r="AG12" s="34" t="s">
        <v>1376</v>
      </c>
      <c r="AH12" s="34" t="s">
        <v>27</v>
      </c>
    </row>
    <row r="13" spans="1:34">
      <c r="A13" t="s">
        <v>71</v>
      </c>
      <c r="B13" t="s">
        <v>72</v>
      </c>
      <c r="C13">
        <v>21</v>
      </c>
      <c r="D13" t="s">
        <v>35</v>
      </c>
      <c r="E13" t="s">
        <v>73</v>
      </c>
      <c r="F13" t="s">
        <v>49</v>
      </c>
      <c r="G13" t="s">
        <v>50</v>
      </c>
      <c r="H13">
        <v>99</v>
      </c>
      <c r="I13">
        <v>64</v>
      </c>
      <c r="J13" t="s">
        <v>59</v>
      </c>
      <c r="K13">
        <v>18000</v>
      </c>
      <c r="L13">
        <v>18060</v>
      </c>
      <c r="M13">
        <v>2000</v>
      </c>
      <c r="N13" t="s">
        <v>26</v>
      </c>
      <c r="O13" t="s">
        <v>27</v>
      </c>
      <c r="P13" s="1">
        <v>45978</v>
      </c>
      <c r="Q13" s="1">
        <v>46098</v>
      </c>
      <c r="R13" s="2">
        <v>0.33819444444444446</v>
      </c>
      <c r="S13" s="2">
        <v>0.43125000000000002</v>
      </c>
      <c r="T13" t="str" cm="1">
        <f t="array" ref="T13">_xlfn.IFS(H13&gt;=90,"A",H13&gt;=75,"B",H13&gt;=60,"C",H13&lt;60,"D")</f>
        <v>A</v>
      </c>
      <c r="U13" t="str">
        <f t="shared" si="0"/>
        <v>08:07 AM</v>
      </c>
      <c r="V13" t="str">
        <f t="shared" si="3"/>
        <v>Delayed</v>
      </c>
      <c r="W13" t="str">
        <f t="shared" si="1"/>
        <v>2 Hours 14 Minutes</v>
      </c>
      <c r="X13" t="str">
        <f t="shared" si="2"/>
        <v>Short Time Login</v>
      </c>
      <c r="AA13" s="35" t="s">
        <v>71</v>
      </c>
      <c r="AB13" s="35" t="s">
        <v>72</v>
      </c>
      <c r="AC13" s="35">
        <v>99</v>
      </c>
      <c r="AD13" s="35">
        <v>64</v>
      </c>
      <c r="AE13" s="35" t="s">
        <v>59</v>
      </c>
      <c r="AF13" s="35">
        <v>2000</v>
      </c>
      <c r="AG13" s="35" t="s">
        <v>1376</v>
      </c>
      <c r="AH13" s="35" t="s">
        <v>27</v>
      </c>
    </row>
    <row r="14" spans="1:34">
      <c r="A14" t="s">
        <v>74</v>
      </c>
      <c r="B14" t="s">
        <v>75</v>
      </c>
      <c r="C14">
        <v>19</v>
      </c>
      <c r="D14" t="s">
        <v>21</v>
      </c>
      <c r="E14" t="s">
        <v>48</v>
      </c>
      <c r="F14" t="s">
        <v>23</v>
      </c>
      <c r="G14" t="s">
        <v>24</v>
      </c>
      <c r="H14">
        <v>55</v>
      </c>
      <c r="I14">
        <v>76</v>
      </c>
      <c r="J14" t="s">
        <v>25</v>
      </c>
      <c r="K14">
        <v>18000</v>
      </c>
      <c r="L14">
        <v>20060</v>
      </c>
      <c r="M14">
        <v>0</v>
      </c>
      <c r="N14" t="s">
        <v>11</v>
      </c>
      <c r="O14" t="s">
        <v>27</v>
      </c>
      <c r="P14" s="1">
        <v>45916</v>
      </c>
      <c r="Q14" s="1">
        <v>46096</v>
      </c>
      <c r="R14" s="2">
        <v>0.375</v>
      </c>
      <c r="S14" s="2">
        <v>0.52430555555555558</v>
      </c>
      <c r="T14" t="str" cm="1">
        <f t="array" ref="T14">_xlfn.IFS(H14&gt;=90,"A",H14&gt;=75,"B",H14&gt;=60,"C",H14&lt;60,"D")</f>
        <v>D</v>
      </c>
      <c r="U14" t="str">
        <f t="shared" si="0"/>
        <v>09:00 AM</v>
      </c>
      <c r="V14" t="str">
        <f t="shared" si="3"/>
        <v>Delayed</v>
      </c>
      <c r="W14" t="str">
        <f t="shared" si="1"/>
        <v>3 Hours 35 Minutes</v>
      </c>
      <c r="X14" t="str">
        <f t="shared" si="2"/>
        <v>Short Time Login</v>
      </c>
      <c r="AA14" s="34" t="s">
        <v>74</v>
      </c>
      <c r="AB14" s="34" t="s">
        <v>75</v>
      </c>
      <c r="AC14" s="34">
        <v>55</v>
      </c>
      <c r="AD14" s="34">
        <v>76</v>
      </c>
      <c r="AE14" s="34" t="s">
        <v>25</v>
      </c>
      <c r="AF14" s="34">
        <v>0</v>
      </c>
      <c r="AG14" s="34" t="s">
        <v>1376</v>
      </c>
      <c r="AH14" s="34" t="s">
        <v>27</v>
      </c>
    </row>
    <row r="15" spans="1:34">
      <c r="A15" t="s">
        <v>76</v>
      </c>
      <c r="B15" t="s">
        <v>77</v>
      </c>
      <c r="C15">
        <v>26</v>
      </c>
      <c r="D15" t="s">
        <v>35</v>
      </c>
      <c r="E15" t="s">
        <v>73</v>
      </c>
      <c r="F15" t="s">
        <v>53</v>
      </c>
      <c r="G15" t="s">
        <v>54</v>
      </c>
      <c r="H15">
        <v>86</v>
      </c>
      <c r="I15">
        <v>82</v>
      </c>
      <c r="J15" t="s">
        <v>45</v>
      </c>
      <c r="K15">
        <v>12000</v>
      </c>
      <c r="L15">
        <v>9570</v>
      </c>
      <c r="M15">
        <v>4000</v>
      </c>
      <c r="N15" t="s">
        <v>26</v>
      </c>
      <c r="O15" t="s">
        <v>27</v>
      </c>
      <c r="P15" s="1">
        <v>45978</v>
      </c>
      <c r="Q15" s="1">
        <v>46158</v>
      </c>
      <c r="R15" s="2">
        <v>0.43819444444444444</v>
      </c>
      <c r="S15" s="2">
        <v>0.63124999999999998</v>
      </c>
      <c r="T15" t="str" cm="1">
        <f t="array" ref="T15">_xlfn.IFS(H15&gt;=90,"A",H15&gt;=75,"B",H15&gt;=60,"C",H15&lt;60,"D")</f>
        <v>B</v>
      </c>
      <c r="U15" t="str">
        <f t="shared" si="0"/>
        <v>10:31 AM</v>
      </c>
      <c r="V15" t="str">
        <f t="shared" si="3"/>
        <v>Delayed</v>
      </c>
      <c r="W15" t="str">
        <f t="shared" si="1"/>
        <v>4 Hours 38 Minutes</v>
      </c>
      <c r="X15" t="str">
        <f t="shared" si="2"/>
        <v>Long Time Login</v>
      </c>
      <c r="AA15" s="35" t="s">
        <v>76</v>
      </c>
      <c r="AB15" s="35" t="s">
        <v>77</v>
      </c>
      <c r="AC15" s="35">
        <v>86</v>
      </c>
      <c r="AD15" s="35">
        <v>82</v>
      </c>
      <c r="AE15" s="35" t="s">
        <v>45</v>
      </c>
      <c r="AF15" s="35">
        <v>4000</v>
      </c>
      <c r="AG15" s="35" t="s">
        <v>1376</v>
      </c>
      <c r="AH15" s="35" t="s">
        <v>27</v>
      </c>
    </row>
    <row r="16" spans="1:34">
      <c r="A16" t="s">
        <v>78</v>
      </c>
      <c r="B16" t="s">
        <v>79</v>
      </c>
      <c r="C16">
        <v>22</v>
      </c>
      <c r="D16" t="s">
        <v>35</v>
      </c>
      <c r="E16" t="s">
        <v>36</v>
      </c>
      <c r="F16" t="s">
        <v>31</v>
      </c>
      <c r="G16" t="s">
        <v>32</v>
      </c>
      <c r="H16">
        <v>63</v>
      </c>
      <c r="I16">
        <v>69</v>
      </c>
      <c r="J16" t="s">
        <v>68</v>
      </c>
      <c r="K16">
        <v>15000</v>
      </c>
      <c r="L16">
        <v>13110</v>
      </c>
      <c r="M16">
        <v>4000</v>
      </c>
      <c r="N16" t="s">
        <v>26</v>
      </c>
      <c r="O16" t="s">
        <v>27</v>
      </c>
      <c r="P16" s="1">
        <v>46009</v>
      </c>
      <c r="Q16" s="1">
        <v>46099</v>
      </c>
      <c r="R16" s="2">
        <v>0.39513888888888887</v>
      </c>
      <c r="S16" s="2">
        <v>0.58819444444444446</v>
      </c>
      <c r="T16" t="str" cm="1">
        <f t="array" ref="T16">_xlfn.IFS(H16&gt;=90,"A",H16&gt;=75,"B",H16&gt;=60,"C",H16&lt;60,"D")</f>
        <v>C</v>
      </c>
      <c r="U16" t="str">
        <f t="shared" si="0"/>
        <v>09:29 AM</v>
      </c>
      <c r="V16" t="str">
        <f t="shared" si="3"/>
        <v>On Time</v>
      </c>
      <c r="W16" t="str">
        <f t="shared" si="1"/>
        <v>4 Hours 38 Minutes</v>
      </c>
      <c r="X16" t="str">
        <f t="shared" si="2"/>
        <v>Short Time Login</v>
      </c>
      <c r="AA16" s="34" t="s">
        <v>78</v>
      </c>
      <c r="AB16" s="34" t="s">
        <v>79</v>
      </c>
      <c r="AC16" s="34">
        <v>63</v>
      </c>
      <c r="AD16" s="34">
        <v>69</v>
      </c>
      <c r="AE16" s="34" t="s">
        <v>68</v>
      </c>
      <c r="AF16" s="34">
        <v>4000</v>
      </c>
      <c r="AG16" s="34" t="s">
        <v>1377</v>
      </c>
      <c r="AH16" s="34" t="s">
        <v>27</v>
      </c>
    </row>
    <row r="17" spans="1:34">
      <c r="A17" t="s">
        <v>80</v>
      </c>
      <c r="B17" t="s">
        <v>81</v>
      </c>
      <c r="C17">
        <v>28</v>
      </c>
      <c r="D17" t="s">
        <v>35</v>
      </c>
      <c r="E17" t="s">
        <v>48</v>
      </c>
      <c r="F17" t="s">
        <v>63</v>
      </c>
      <c r="G17" t="s">
        <v>64</v>
      </c>
      <c r="H17">
        <v>55</v>
      </c>
      <c r="I17">
        <v>85</v>
      </c>
      <c r="J17" t="s">
        <v>25</v>
      </c>
      <c r="K17">
        <v>20000</v>
      </c>
      <c r="L17">
        <v>21830</v>
      </c>
      <c r="M17">
        <v>0</v>
      </c>
      <c r="N17" t="s">
        <v>11</v>
      </c>
      <c r="O17" t="s">
        <v>27</v>
      </c>
      <c r="P17" s="1">
        <v>45838</v>
      </c>
      <c r="Q17" s="1">
        <v>46018</v>
      </c>
      <c r="R17" s="2">
        <v>0.43472222222222223</v>
      </c>
      <c r="S17" s="2">
        <v>0.50694444444444442</v>
      </c>
      <c r="T17" t="str" cm="1">
        <f t="array" ref="T17">_xlfn.IFS(H17&gt;=90,"A",H17&gt;=75,"B",H17&gt;=60,"C",H17&lt;60,"D")</f>
        <v>D</v>
      </c>
      <c r="U17" t="str">
        <f t="shared" si="0"/>
        <v>10:26 AM</v>
      </c>
      <c r="V17" t="str">
        <f t="shared" si="3"/>
        <v>Delayed</v>
      </c>
      <c r="W17" t="str">
        <f t="shared" si="1"/>
        <v>1 Hours 44 Minutes</v>
      </c>
      <c r="X17" t="str">
        <f t="shared" si="2"/>
        <v>Long Time Login</v>
      </c>
      <c r="AA17" s="35" t="s">
        <v>80</v>
      </c>
      <c r="AB17" s="35" t="s">
        <v>81</v>
      </c>
      <c r="AC17" s="35">
        <v>55</v>
      </c>
      <c r="AD17" s="35">
        <v>85</v>
      </c>
      <c r="AE17" s="35" t="s">
        <v>25</v>
      </c>
      <c r="AF17" s="35">
        <v>0</v>
      </c>
      <c r="AG17" s="35" t="s">
        <v>1376</v>
      </c>
      <c r="AH17" s="35" t="s">
        <v>27</v>
      </c>
    </row>
    <row r="18" spans="1:34">
      <c r="A18" t="s">
        <v>82</v>
      </c>
      <c r="B18" t="s">
        <v>83</v>
      </c>
      <c r="C18">
        <v>24</v>
      </c>
      <c r="D18" t="s">
        <v>21</v>
      </c>
      <c r="E18" t="s">
        <v>73</v>
      </c>
      <c r="F18" t="s">
        <v>53</v>
      </c>
      <c r="G18" t="s">
        <v>54</v>
      </c>
      <c r="H18">
        <v>42</v>
      </c>
      <c r="I18">
        <v>88</v>
      </c>
      <c r="J18" t="s">
        <v>25</v>
      </c>
      <c r="K18">
        <v>10000</v>
      </c>
      <c r="L18">
        <v>6620</v>
      </c>
      <c r="M18">
        <v>4000</v>
      </c>
      <c r="N18" t="s">
        <v>26</v>
      </c>
      <c r="O18" t="s">
        <v>27</v>
      </c>
      <c r="P18" s="1">
        <v>45992</v>
      </c>
      <c r="Q18" s="1">
        <v>46112</v>
      </c>
      <c r="R18" s="2">
        <v>0.37430555555555556</v>
      </c>
      <c r="S18" s="2">
        <v>0.5493055555555556</v>
      </c>
      <c r="T18" t="str" cm="1">
        <f t="array" ref="T18">_xlfn.IFS(H18&gt;=90,"A",H18&gt;=75,"B",H18&gt;=60,"C",H18&lt;60,"D")</f>
        <v>D</v>
      </c>
      <c r="U18" t="str">
        <f t="shared" si="0"/>
        <v>08:59 AM</v>
      </c>
      <c r="V18" t="str">
        <f t="shared" si="3"/>
        <v>Delayed</v>
      </c>
      <c r="W18" t="str">
        <f t="shared" si="1"/>
        <v>4 Hours 12 Minutes</v>
      </c>
      <c r="X18" t="str">
        <f t="shared" si="2"/>
        <v>Short Time Login</v>
      </c>
      <c r="AA18" s="34" t="s">
        <v>82</v>
      </c>
      <c r="AB18" s="34" t="s">
        <v>83</v>
      </c>
      <c r="AC18" s="34">
        <v>42</v>
      </c>
      <c r="AD18" s="34">
        <v>88</v>
      </c>
      <c r="AE18" s="34" t="s">
        <v>25</v>
      </c>
      <c r="AF18" s="34">
        <v>4000</v>
      </c>
      <c r="AG18" s="34" t="s">
        <v>1376</v>
      </c>
      <c r="AH18" s="34" t="s">
        <v>27</v>
      </c>
    </row>
    <row r="19" spans="1:34">
      <c r="A19" t="s">
        <v>84</v>
      </c>
      <c r="B19" t="s">
        <v>85</v>
      </c>
      <c r="C19">
        <v>24</v>
      </c>
      <c r="D19" t="s">
        <v>21</v>
      </c>
      <c r="E19" t="s">
        <v>73</v>
      </c>
      <c r="F19" t="s">
        <v>49</v>
      </c>
      <c r="G19" t="s">
        <v>50</v>
      </c>
      <c r="H19">
        <v>65</v>
      </c>
      <c r="I19">
        <v>82</v>
      </c>
      <c r="J19" t="s">
        <v>68</v>
      </c>
      <c r="K19">
        <v>20000</v>
      </c>
      <c r="L19">
        <v>19010</v>
      </c>
      <c r="M19">
        <v>4000</v>
      </c>
      <c r="N19" t="s">
        <v>26</v>
      </c>
      <c r="O19" t="s">
        <v>27</v>
      </c>
      <c r="P19" s="1">
        <v>45690</v>
      </c>
      <c r="Q19" s="1">
        <v>45870</v>
      </c>
      <c r="R19" s="2">
        <v>0.34444444444444444</v>
      </c>
      <c r="S19" s="2">
        <v>0.43402777777777779</v>
      </c>
      <c r="T19" t="str" cm="1">
        <f t="array" ref="T19">_xlfn.IFS(H19&gt;=90,"A",H19&gt;=75,"B",H19&gt;=60,"C",H19&lt;60,"D")</f>
        <v>C</v>
      </c>
      <c r="U19" t="str">
        <f t="shared" si="0"/>
        <v>08:16 AM</v>
      </c>
      <c r="V19" t="str">
        <f t="shared" si="3"/>
        <v>Delayed</v>
      </c>
      <c r="W19" t="str">
        <f t="shared" si="1"/>
        <v>2 Hours 9 Minutes</v>
      </c>
      <c r="X19" t="str">
        <f t="shared" si="2"/>
        <v>Short Time Login</v>
      </c>
      <c r="AA19" s="35" t="s">
        <v>84</v>
      </c>
      <c r="AB19" s="35" t="s">
        <v>85</v>
      </c>
      <c r="AC19" s="35">
        <v>65</v>
      </c>
      <c r="AD19" s="35">
        <v>82</v>
      </c>
      <c r="AE19" s="35" t="s">
        <v>68</v>
      </c>
      <c r="AF19" s="35">
        <v>4000</v>
      </c>
      <c r="AG19" s="35" t="s">
        <v>1376</v>
      </c>
      <c r="AH19" s="35" t="s">
        <v>27</v>
      </c>
    </row>
    <row r="20" spans="1:34">
      <c r="A20" t="s">
        <v>86</v>
      </c>
      <c r="B20" t="s">
        <v>87</v>
      </c>
      <c r="C20">
        <v>28</v>
      </c>
      <c r="D20" t="s">
        <v>35</v>
      </c>
      <c r="E20" t="s">
        <v>48</v>
      </c>
      <c r="F20" t="s">
        <v>88</v>
      </c>
      <c r="G20" t="s">
        <v>89</v>
      </c>
      <c r="H20">
        <v>58</v>
      </c>
      <c r="I20">
        <v>65</v>
      </c>
      <c r="J20" t="s">
        <v>25</v>
      </c>
      <c r="K20">
        <v>10000</v>
      </c>
      <c r="L20">
        <v>9210</v>
      </c>
      <c r="M20">
        <v>2000</v>
      </c>
      <c r="N20" t="s">
        <v>26</v>
      </c>
      <c r="O20" t="s">
        <v>27</v>
      </c>
      <c r="P20" s="1">
        <v>45754</v>
      </c>
      <c r="Q20" s="1">
        <v>45844</v>
      </c>
      <c r="R20" s="2">
        <v>0.43333333333333335</v>
      </c>
      <c r="S20" s="2">
        <v>0.62777777777777777</v>
      </c>
      <c r="T20" t="str" cm="1">
        <f t="array" ref="T20">_xlfn.IFS(H20&gt;=90,"A",H20&gt;=75,"B",H20&gt;=60,"C",H20&lt;60,"D")</f>
        <v>D</v>
      </c>
      <c r="U20" t="str">
        <f t="shared" si="0"/>
        <v>10:24 AM</v>
      </c>
      <c r="V20" t="str">
        <f t="shared" si="3"/>
        <v>On Time</v>
      </c>
      <c r="W20" t="str">
        <f t="shared" si="1"/>
        <v>4 Hours 40 Minutes</v>
      </c>
      <c r="X20" t="str">
        <f t="shared" si="2"/>
        <v>Long Time Login</v>
      </c>
      <c r="AA20" s="34" t="s">
        <v>86</v>
      </c>
      <c r="AB20" s="34" t="s">
        <v>87</v>
      </c>
      <c r="AC20" s="34">
        <v>58</v>
      </c>
      <c r="AD20" s="34">
        <v>65</v>
      </c>
      <c r="AE20" s="34" t="s">
        <v>25</v>
      </c>
      <c r="AF20" s="34">
        <v>2000</v>
      </c>
      <c r="AG20" s="34" t="s">
        <v>1377</v>
      </c>
      <c r="AH20" s="34" t="s">
        <v>27</v>
      </c>
    </row>
    <row r="21" spans="1:34">
      <c r="A21" t="s">
        <v>90</v>
      </c>
      <c r="B21" t="s">
        <v>91</v>
      </c>
      <c r="C21">
        <v>26</v>
      </c>
      <c r="D21" t="s">
        <v>21</v>
      </c>
      <c r="E21" t="s">
        <v>44</v>
      </c>
      <c r="F21" t="s">
        <v>31</v>
      </c>
      <c r="G21" t="s">
        <v>32</v>
      </c>
      <c r="H21">
        <v>54</v>
      </c>
      <c r="I21">
        <v>67</v>
      </c>
      <c r="J21" t="s">
        <v>25</v>
      </c>
      <c r="K21">
        <v>10000</v>
      </c>
      <c r="L21">
        <v>10620</v>
      </c>
      <c r="M21">
        <v>0</v>
      </c>
      <c r="N21" t="s">
        <v>11</v>
      </c>
      <c r="O21" t="s">
        <v>27</v>
      </c>
      <c r="P21" s="1">
        <v>45809</v>
      </c>
      <c r="Q21" s="1">
        <v>45899</v>
      </c>
      <c r="R21" s="2">
        <v>0.33958333333333335</v>
      </c>
      <c r="S21" s="2">
        <v>0.43194444444444446</v>
      </c>
      <c r="T21" t="str" cm="1">
        <f t="array" ref="T21">_xlfn.IFS(H21&gt;=90,"A",H21&gt;=75,"B",H21&gt;=60,"C",H21&lt;60,"D")</f>
        <v>D</v>
      </c>
      <c r="U21" t="str">
        <f t="shared" si="0"/>
        <v>08:09 AM</v>
      </c>
      <c r="V21" t="str">
        <f t="shared" si="3"/>
        <v>On Time</v>
      </c>
      <c r="W21" t="str">
        <f t="shared" si="1"/>
        <v>2 Hours 13 Minutes</v>
      </c>
      <c r="X21" t="str">
        <f t="shared" si="2"/>
        <v>Short Time Login</v>
      </c>
      <c r="AA21" s="35" t="s">
        <v>90</v>
      </c>
      <c r="AB21" s="35" t="s">
        <v>91</v>
      </c>
      <c r="AC21" s="35">
        <v>54</v>
      </c>
      <c r="AD21" s="35">
        <v>67</v>
      </c>
      <c r="AE21" s="35" t="s">
        <v>25</v>
      </c>
      <c r="AF21" s="35">
        <v>0</v>
      </c>
      <c r="AG21" s="35" t="s">
        <v>1377</v>
      </c>
      <c r="AH21" s="35" t="s">
        <v>27</v>
      </c>
    </row>
    <row r="22" spans="1:34">
      <c r="A22" t="s">
        <v>92</v>
      </c>
      <c r="B22" t="s">
        <v>93</v>
      </c>
      <c r="C22">
        <v>19</v>
      </c>
      <c r="D22" t="s">
        <v>21</v>
      </c>
      <c r="E22" t="s">
        <v>39</v>
      </c>
      <c r="F22" t="s">
        <v>31</v>
      </c>
      <c r="G22" t="s">
        <v>32</v>
      </c>
      <c r="H22">
        <v>67</v>
      </c>
      <c r="I22">
        <v>73</v>
      </c>
      <c r="J22" t="s">
        <v>68</v>
      </c>
      <c r="K22">
        <v>15000</v>
      </c>
      <c r="L22">
        <v>12520</v>
      </c>
      <c r="M22">
        <v>4000</v>
      </c>
      <c r="N22" t="s">
        <v>26</v>
      </c>
      <c r="O22" t="s">
        <v>27</v>
      </c>
      <c r="P22" s="1">
        <v>45838</v>
      </c>
      <c r="Q22" s="1">
        <v>45928</v>
      </c>
      <c r="R22" s="2">
        <v>0.43125000000000002</v>
      </c>
      <c r="S22" s="2">
        <v>0.57013888888888886</v>
      </c>
      <c r="T22" t="str" cm="1">
        <f t="array" ref="T22">_xlfn.IFS(H22&gt;=90,"A",H22&gt;=75,"B",H22&gt;=60,"C",H22&lt;60,"D")</f>
        <v>C</v>
      </c>
      <c r="U22" t="str">
        <f t="shared" si="0"/>
        <v>10:21 AM</v>
      </c>
      <c r="V22" t="str">
        <f t="shared" si="3"/>
        <v>On Time</v>
      </c>
      <c r="W22" t="str">
        <f t="shared" si="1"/>
        <v>3 Hours 20 Minutes</v>
      </c>
      <c r="X22" t="str">
        <f t="shared" si="2"/>
        <v>Long Time Login</v>
      </c>
      <c r="AA22" s="34" t="s">
        <v>92</v>
      </c>
      <c r="AB22" s="34" t="s">
        <v>93</v>
      </c>
      <c r="AC22" s="34">
        <v>67</v>
      </c>
      <c r="AD22" s="34">
        <v>73</v>
      </c>
      <c r="AE22" s="34" t="s">
        <v>68</v>
      </c>
      <c r="AF22" s="34">
        <v>4000</v>
      </c>
      <c r="AG22" s="34" t="s">
        <v>1377</v>
      </c>
      <c r="AH22" s="34" t="s">
        <v>27</v>
      </c>
    </row>
    <row r="23" spans="1:34">
      <c r="A23" t="s">
        <v>94</v>
      </c>
      <c r="B23" t="s">
        <v>95</v>
      </c>
      <c r="C23">
        <v>27</v>
      </c>
      <c r="D23" t="s">
        <v>21</v>
      </c>
      <c r="E23" t="s">
        <v>96</v>
      </c>
      <c r="F23" t="s">
        <v>57</v>
      </c>
      <c r="G23" t="s">
        <v>58</v>
      </c>
      <c r="H23">
        <v>95</v>
      </c>
      <c r="I23">
        <v>98</v>
      </c>
      <c r="J23" t="s">
        <v>59</v>
      </c>
      <c r="K23">
        <v>12000</v>
      </c>
      <c r="L23">
        <v>13570</v>
      </c>
      <c r="M23">
        <v>0</v>
      </c>
      <c r="N23" t="s">
        <v>11</v>
      </c>
      <c r="O23" t="s">
        <v>27</v>
      </c>
      <c r="P23" s="1">
        <v>45832</v>
      </c>
      <c r="Q23" s="1">
        <v>45922</v>
      </c>
      <c r="R23" s="2">
        <v>0.39444444444444443</v>
      </c>
      <c r="S23" s="2">
        <v>0.5541666666666667</v>
      </c>
      <c r="T23" t="str" cm="1">
        <f t="array" ref="T23">_xlfn.IFS(H23&gt;=90,"A",H23&gt;=75,"B",H23&gt;=60,"C",H23&lt;60,"D")</f>
        <v>A</v>
      </c>
      <c r="U23" t="str">
        <f t="shared" si="0"/>
        <v>09:28 AM</v>
      </c>
      <c r="V23" t="str">
        <f t="shared" si="3"/>
        <v>On Time</v>
      </c>
      <c r="W23" t="str">
        <f t="shared" si="1"/>
        <v>3 Hours 50 Minutes</v>
      </c>
      <c r="X23" t="str">
        <f t="shared" si="2"/>
        <v>Short Time Login</v>
      </c>
      <c r="AA23" s="35" t="s">
        <v>94</v>
      </c>
      <c r="AB23" s="35" t="s">
        <v>95</v>
      </c>
      <c r="AC23" s="35">
        <v>95</v>
      </c>
      <c r="AD23" s="35">
        <v>98</v>
      </c>
      <c r="AE23" s="35" t="s">
        <v>59</v>
      </c>
      <c r="AF23" s="35">
        <v>0</v>
      </c>
      <c r="AG23" s="35" t="s">
        <v>1377</v>
      </c>
      <c r="AH23" s="35" t="s">
        <v>27</v>
      </c>
    </row>
    <row r="24" spans="1:34">
      <c r="A24" t="s">
        <v>97</v>
      </c>
      <c r="B24" t="s">
        <v>98</v>
      </c>
      <c r="C24">
        <v>22</v>
      </c>
      <c r="D24" t="s">
        <v>35</v>
      </c>
      <c r="E24" t="s">
        <v>30</v>
      </c>
      <c r="F24" t="s">
        <v>49</v>
      </c>
      <c r="G24" t="s">
        <v>50</v>
      </c>
      <c r="H24">
        <v>59</v>
      </c>
      <c r="I24">
        <v>78</v>
      </c>
      <c r="J24" t="s">
        <v>25</v>
      </c>
      <c r="K24">
        <v>12000</v>
      </c>
      <c r="L24">
        <v>8980</v>
      </c>
      <c r="M24">
        <v>4000</v>
      </c>
      <c r="N24" t="s">
        <v>26</v>
      </c>
      <c r="O24" t="s">
        <v>27</v>
      </c>
      <c r="P24" s="1">
        <v>46012</v>
      </c>
      <c r="Q24" s="1">
        <v>46072</v>
      </c>
      <c r="R24" s="2">
        <v>0.41736111111111113</v>
      </c>
      <c r="S24" s="2">
        <v>0.48125000000000001</v>
      </c>
      <c r="T24" t="str" cm="1">
        <f t="array" ref="T24">_xlfn.IFS(H24&gt;=90,"A",H24&gt;=75,"B",H24&gt;=60,"C",H24&lt;60,"D")</f>
        <v>D</v>
      </c>
      <c r="U24" t="str">
        <f t="shared" si="0"/>
        <v>10:01 AM</v>
      </c>
      <c r="V24" t="str">
        <f t="shared" si="3"/>
        <v>On Time</v>
      </c>
      <c r="W24" t="str">
        <f t="shared" si="1"/>
        <v>1 Hours 32 Minutes</v>
      </c>
      <c r="X24" t="str">
        <f t="shared" si="2"/>
        <v>Long Time Login</v>
      </c>
      <c r="AA24" s="34" t="s">
        <v>97</v>
      </c>
      <c r="AB24" s="34" t="s">
        <v>98</v>
      </c>
      <c r="AC24" s="34">
        <v>59</v>
      </c>
      <c r="AD24" s="34">
        <v>78</v>
      </c>
      <c r="AE24" s="34" t="s">
        <v>25</v>
      </c>
      <c r="AF24" s="34">
        <v>4000</v>
      </c>
      <c r="AG24" s="34" t="s">
        <v>1377</v>
      </c>
      <c r="AH24" s="34" t="s">
        <v>27</v>
      </c>
    </row>
    <row r="25" spans="1:34">
      <c r="A25" t="s">
        <v>99</v>
      </c>
      <c r="B25" t="s">
        <v>91</v>
      </c>
      <c r="C25">
        <v>22</v>
      </c>
      <c r="D25" t="s">
        <v>21</v>
      </c>
      <c r="E25" t="s">
        <v>48</v>
      </c>
      <c r="F25" t="s">
        <v>53</v>
      </c>
      <c r="G25" t="s">
        <v>54</v>
      </c>
      <c r="H25">
        <v>93</v>
      </c>
      <c r="I25">
        <v>89</v>
      </c>
      <c r="J25" t="s">
        <v>59</v>
      </c>
      <c r="K25">
        <v>12000</v>
      </c>
      <c r="L25">
        <v>11570</v>
      </c>
      <c r="M25">
        <v>2000</v>
      </c>
      <c r="N25" t="s">
        <v>26</v>
      </c>
      <c r="O25" t="s">
        <v>27</v>
      </c>
      <c r="P25" s="1">
        <v>46010</v>
      </c>
      <c r="Q25" s="1">
        <v>46130</v>
      </c>
      <c r="R25" s="2">
        <v>0.33680555555555558</v>
      </c>
      <c r="S25" s="2">
        <v>0.48749999999999999</v>
      </c>
      <c r="T25" t="str" cm="1">
        <f t="array" ref="T25">_xlfn.IFS(H25&gt;=90,"A",H25&gt;=75,"B",H25&gt;=60,"C",H25&lt;60,"D")</f>
        <v>A</v>
      </c>
      <c r="U25" t="str">
        <f t="shared" si="0"/>
        <v>08:05 AM</v>
      </c>
      <c r="V25" t="str">
        <f t="shared" si="3"/>
        <v>Delayed</v>
      </c>
      <c r="W25" t="str">
        <f t="shared" si="1"/>
        <v>3 Hours 37 Minutes</v>
      </c>
      <c r="X25" t="str">
        <f t="shared" si="2"/>
        <v>Short Time Login</v>
      </c>
      <c r="AA25" s="35" t="s">
        <v>99</v>
      </c>
      <c r="AB25" s="35" t="s">
        <v>91</v>
      </c>
      <c r="AC25" s="35">
        <v>93</v>
      </c>
      <c r="AD25" s="35">
        <v>89</v>
      </c>
      <c r="AE25" s="35" t="s">
        <v>59</v>
      </c>
      <c r="AF25" s="35">
        <v>2000</v>
      </c>
      <c r="AG25" s="35" t="s">
        <v>1376</v>
      </c>
      <c r="AH25" s="35" t="s">
        <v>27</v>
      </c>
    </row>
    <row r="26" spans="1:34">
      <c r="A26" t="s">
        <v>100</v>
      </c>
      <c r="B26" t="s">
        <v>72</v>
      </c>
      <c r="C26">
        <v>23</v>
      </c>
      <c r="D26" t="s">
        <v>35</v>
      </c>
      <c r="E26" t="s">
        <v>39</v>
      </c>
      <c r="F26" t="s">
        <v>63</v>
      </c>
      <c r="G26" t="s">
        <v>64</v>
      </c>
      <c r="H26">
        <v>39</v>
      </c>
      <c r="I26">
        <v>66</v>
      </c>
      <c r="J26" t="s">
        <v>25</v>
      </c>
      <c r="K26">
        <v>20000</v>
      </c>
      <c r="L26">
        <v>20420</v>
      </c>
      <c r="M26">
        <v>2000</v>
      </c>
      <c r="N26" t="s">
        <v>26</v>
      </c>
      <c r="O26" t="s">
        <v>27</v>
      </c>
      <c r="P26" s="1">
        <v>45738</v>
      </c>
      <c r="Q26" s="1">
        <v>45858</v>
      </c>
      <c r="R26" s="2">
        <v>0.36527777777777776</v>
      </c>
      <c r="S26" s="2">
        <v>0.46319444444444446</v>
      </c>
      <c r="T26" t="str" cm="1">
        <f t="array" ref="T26">_xlfn.IFS(H26&gt;=90,"A",H26&gt;=75,"B",H26&gt;=60,"C",H26&lt;60,"D")</f>
        <v>D</v>
      </c>
      <c r="U26" t="str">
        <f t="shared" si="0"/>
        <v>08:46 AM</v>
      </c>
      <c r="V26" t="str">
        <f t="shared" si="3"/>
        <v>Delayed</v>
      </c>
      <c r="W26" t="str">
        <f t="shared" si="1"/>
        <v>2 Hours 21 Minutes</v>
      </c>
      <c r="X26" t="str">
        <f t="shared" si="2"/>
        <v>Short Time Login</v>
      </c>
      <c r="AA26" s="34" t="s">
        <v>100</v>
      </c>
      <c r="AB26" s="34" t="s">
        <v>72</v>
      </c>
      <c r="AC26" s="34">
        <v>39</v>
      </c>
      <c r="AD26" s="34">
        <v>66</v>
      </c>
      <c r="AE26" s="34" t="s">
        <v>25</v>
      </c>
      <c r="AF26" s="34">
        <v>2000</v>
      </c>
      <c r="AG26" s="34" t="s">
        <v>1376</v>
      </c>
      <c r="AH26" s="34" t="s">
        <v>27</v>
      </c>
    </row>
    <row r="27" spans="1:34">
      <c r="A27" t="s">
        <v>101</v>
      </c>
      <c r="B27" t="s">
        <v>102</v>
      </c>
      <c r="C27">
        <v>28</v>
      </c>
      <c r="D27" t="s">
        <v>35</v>
      </c>
      <c r="E27" t="s">
        <v>67</v>
      </c>
      <c r="F27" t="s">
        <v>63</v>
      </c>
      <c r="G27" t="s">
        <v>64</v>
      </c>
      <c r="H27">
        <v>40</v>
      </c>
      <c r="I27">
        <v>98</v>
      </c>
      <c r="J27" t="s">
        <v>25</v>
      </c>
      <c r="K27">
        <v>20000</v>
      </c>
      <c r="L27">
        <v>21010</v>
      </c>
      <c r="M27">
        <v>2000</v>
      </c>
      <c r="N27" t="s">
        <v>26</v>
      </c>
      <c r="O27" t="s">
        <v>27</v>
      </c>
      <c r="P27" s="1">
        <v>45813</v>
      </c>
      <c r="Q27" s="1">
        <v>45873</v>
      </c>
      <c r="R27" s="2">
        <v>0.38472222222222224</v>
      </c>
      <c r="S27" s="2">
        <v>0.46319444444444446</v>
      </c>
      <c r="T27" t="str" cm="1">
        <f t="array" ref="T27">_xlfn.IFS(H27&gt;=90,"A",H27&gt;=75,"B",H27&gt;=60,"C",H27&lt;60,"D")</f>
        <v>D</v>
      </c>
      <c r="U27" t="str">
        <f t="shared" si="0"/>
        <v>09:14 AM</v>
      </c>
      <c r="V27" t="str">
        <f t="shared" si="3"/>
        <v>On Time</v>
      </c>
      <c r="W27" t="str">
        <f t="shared" si="1"/>
        <v>1 Hours 53 Minutes</v>
      </c>
      <c r="X27" t="str">
        <f t="shared" si="2"/>
        <v>Short Time Login</v>
      </c>
      <c r="AA27" s="35" t="s">
        <v>101</v>
      </c>
      <c r="AB27" s="35" t="s">
        <v>102</v>
      </c>
      <c r="AC27" s="35">
        <v>40</v>
      </c>
      <c r="AD27" s="35">
        <v>98</v>
      </c>
      <c r="AE27" s="35" t="s">
        <v>25</v>
      </c>
      <c r="AF27" s="35">
        <v>2000</v>
      </c>
      <c r="AG27" s="35" t="s">
        <v>1377</v>
      </c>
      <c r="AH27" s="35" t="s">
        <v>27</v>
      </c>
    </row>
    <row r="28" spans="1:34">
      <c r="A28" t="s">
        <v>103</v>
      </c>
      <c r="B28" t="s">
        <v>104</v>
      </c>
      <c r="C28">
        <v>23</v>
      </c>
      <c r="D28" t="s">
        <v>21</v>
      </c>
      <c r="E28" t="s">
        <v>36</v>
      </c>
      <c r="F28" t="s">
        <v>31</v>
      </c>
      <c r="G28" t="s">
        <v>32</v>
      </c>
      <c r="H28">
        <v>50</v>
      </c>
      <c r="I28">
        <v>70</v>
      </c>
      <c r="J28" t="s">
        <v>25</v>
      </c>
      <c r="K28">
        <v>18000</v>
      </c>
      <c r="L28">
        <v>17240</v>
      </c>
      <c r="M28">
        <v>4000</v>
      </c>
      <c r="N28" t="s">
        <v>26</v>
      </c>
      <c r="O28" t="s">
        <v>27</v>
      </c>
      <c r="P28" s="1">
        <v>45698</v>
      </c>
      <c r="Q28" s="1">
        <v>45818</v>
      </c>
      <c r="R28" s="2">
        <v>0.41666666666666669</v>
      </c>
      <c r="S28" s="2">
        <v>0.60347222222222219</v>
      </c>
      <c r="T28" t="str" cm="1">
        <f t="array" ref="T28">_xlfn.IFS(H28&gt;=90,"A",H28&gt;=75,"B",H28&gt;=60,"C",H28&lt;60,"D")</f>
        <v>D</v>
      </c>
      <c r="U28" t="str">
        <f t="shared" si="0"/>
        <v>10:00 AM</v>
      </c>
      <c r="V28" t="str">
        <f t="shared" si="3"/>
        <v>Delayed</v>
      </c>
      <c r="W28" t="str">
        <f t="shared" si="1"/>
        <v>4 Hours 29 Minutes</v>
      </c>
      <c r="X28" t="str">
        <f t="shared" si="2"/>
        <v>Short Time Login</v>
      </c>
      <c r="AA28" s="34" t="s">
        <v>103</v>
      </c>
      <c r="AB28" s="34" t="s">
        <v>104</v>
      </c>
      <c r="AC28" s="34">
        <v>50</v>
      </c>
      <c r="AD28" s="34">
        <v>70</v>
      </c>
      <c r="AE28" s="34" t="s">
        <v>25</v>
      </c>
      <c r="AF28" s="34">
        <v>4000</v>
      </c>
      <c r="AG28" s="34" t="s">
        <v>1376</v>
      </c>
      <c r="AH28" s="34" t="s">
        <v>27</v>
      </c>
    </row>
    <row r="29" spans="1:34">
      <c r="A29" t="s">
        <v>105</v>
      </c>
      <c r="B29" t="s">
        <v>106</v>
      </c>
      <c r="C29">
        <v>21</v>
      </c>
      <c r="D29" t="s">
        <v>35</v>
      </c>
      <c r="E29" t="s">
        <v>67</v>
      </c>
      <c r="F29" t="s">
        <v>53</v>
      </c>
      <c r="G29" t="s">
        <v>54</v>
      </c>
      <c r="H29">
        <v>51</v>
      </c>
      <c r="I29">
        <v>76</v>
      </c>
      <c r="J29" t="s">
        <v>25</v>
      </c>
      <c r="K29">
        <v>20000</v>
      </c>
      <c r="L29">
        <v>22420</v>
      </c>
      <c r="M29">
        <v>0</v>
      </c>
      <c r="N29" t="s">
        <v>11</v>
      </c>
      <c r="O29" t="s">
        <v>27</v>
      </c>
      <c r="P29" s="1">
        <v>45688</v>
      </c>
      <c r="Q29" s="1">
        <v>45808</v>
      </c>
      <c r="R29" s="2">
        <v>0.38611111111111113</v>
      </c>
      <c r="S29" s="2">
        <v>0.53472222222222221</v>
      </c>
      <c r="T29" t="str" cm="1">
        <f t="array" ref="T29">_xlfn.IFS(H29&gt;=90,"A",H29&gt;=75,"B",H29&gt;=60,"C",H29&lt;60,"D")</f>
        <v>D</v>
      </c>
      <c r="U29" t="str">
        <f t="shared" si="0"/>
        <v>09:16 AM</v>
      </c>
      <c r="V29" t="str">
        <f t="shared" si="3"/>
        <v>Delayed</v>
      </c>
      <c r="W29" t="str">
        <f t="shared" si="1"/>
        <v>3 Hours 34 Minutes</v>
      </c>
      <c r="X29" t="str">
        <f t="shared" si="2"/>
        <v>Short Time Login</v>
      </c>
      <c r="AA29" s="35" t="s">
        <v>105</v>
      </c>
      <c r="AB29" s="35" t="s">
        <v>106</v>
      </c>
      <c r="AC29" s="35">
        <v>51</v>
      </c>
      <c r="AD29" s="35">
        <v>76</v>
      </c>
      <c r="AE29" s="35" t="s">
        <v>25</v>
      </c>
      <c r="AF29" s="35">
        <v>0</v>
      </c>
      <c r="AG29" s="35" t="s">
        <v>1376</v>
      </c>
      <c r="AH29" s="35" t="s">
        <v>27</v>
      </c>
    </row>
    <row r="30" spans="1:34">
      <c r="A30" t="s">
        <v>107</v>
      </c>
      <c r="B30" t="s">
        <v>108</v>
      </c>
      <c r="C30">
        <v>20</v>
      </c>
      <c r="D30" t="s">
        <v>35</v>
      </c>
      <c r="E30" t="s">
        <v>39</v>
      </c>
      <c r="F30" t="s">
        <v>31</v>
      </c>
      <c r="G30" t="s">
        <v>32</v>
      </c>
      <c r="H30">
        <v>95</v>
      </c>
      <c r="I30">
        <v>92</v>
      </c>
      <c r="J30" t="s">
        <v>59</v>
      </c>
      <c r="K30">
        <v>15000</v>
      </c>
      <c r="L30">
        <v>15700</v>
      </c>
      <c r="M30">
        <v>2000</v>
      </c>
      <c r="N30" t="s">
        <v>26</v>
      </c>
      <c r="O30" t="s">
        <v>27</v>
      </c>
      <c r="P30" s="1">
        <v>46015</v>
      </c>
      <c r="Q30" s="1">
        <v>46045</v>
      </c>
      <c r="R30" s="2">
        <v>0.38263888888888886</v>
      </c>
      <c r="S30" s="2">
        <v>0.50069444444444444</v>
      </c>
      <c r="T30" t="str" cm="1">
        <f t="array" ref="T30">_xlfn.IFS(H30&gt;=90,"A",H30&gt;=75,"B",H30&gt;=60,"C",H30&lt;60,"D")</f>
        <v>A</v>
      </c>
      <c r="U30" t="str">
        <f t="shared" si="0"/>
        <v>09:11 AM</v>
      </c>
      <c r="V30" t="str">
        <f t="shared" si="3"/>
        <v>On Time</v>
      </c>
      <c r="W30" t="str">
        <f t="shared" si="1"/>
        <v>2 Hours 50 Minutes</v>
      </c>
      <c r="X30" t="str">
        <f t="shared" si="2"/>
        <v>Short Time Login</v>
      </c>
      <c r="AA30" s="34" t="s">
        <v>107</v>
      </c>
      <c r="AB30" s="34" t="s">
        <v>108</v>
      </c>
      <c r="AC30" s="34">
        <v>95</v>
      </c>
      <c r="AD30" s="34">
        <v>92</v>
      </c>
      <c r="AE30" s="34" t="s">
        <v>59</v>
      </c>
      <c r="AF30" s="34">
        <v>2000</v>
      </c>
      <c r="AG30" s="34" t="s">
        <v>1377</v>
      </c>
      <c r="AH30" s="34" t="s">
        <v>27</v>
      </c>
    </row>
    <row r="31" spans="1:34">
      <c r="A31" t="s">
        <v>109</v>
      </c>
      <c r="B31" t="s">
        <v>110</v>
      </c>
      <c r="C31">
        <v>19</v>
      </c>
      <c r="D31" t="s">
        <v>35</v>
      </c>
      <c r="E31" t="s">
        <v>67</v>
      </c>
      <c r="F31" t="s">
        <v>53</v>
      </c>
      <c r="G31" t="s">
        <v>54</v>
      </c>
      <c r="H31">
        <v>80</v>
      </c>
      <c r="I31">
        <v>60</v>
      </c>
      <c r="J31" t="s">
        <v>45</v>
      </c>
      <c r="K31">
        <v>20000</v>
      </c>
      <c r="L31">
        <v>20420</v>
      </c>
      <c r="M31">
        <v>2000</v>
      </c>
      <c r="N31" t="s">
        <v>26</v>
      </c>
      <c r="O31" t="s">
        <v>27</v>
      </c>
      <c r="P31" s="1">
        <v>45887</v>
      </c>
      <c r="Q31" s="1">
        <v>45917</v>
      </c>
      <c r="R31" s="2">
        <v>0.36527777777777776</v>
      </c>
      <c r="S31" s="2">
        <v>0.52916666666666667</v>
      </c>
      <c r="T31" t="str" cm="1">
        <f t="array" ref="T31">_xlfn.IFS(H31&gt;=90,"A",H31&gt;=75,"B",H31&gt;=60,"C",H31&lt;60,"D")</f>
        <v>B</v>
      </c>
      <c r="U31" t="str">
        <f t="shared" si="0"/>
        <v>08:46 AM</v>
      </c>
      <c r="V31" t="str">
        <f t="shared" si="3"/>
        <v>On Time</v>
      </c>
      <c r="W31" t="str">
        <f t="shared" si="1"/>
        <v>3 Hours 56 Minutes</v>
      </c>
      <c r="X31" t="str">
        <f t="shared" si="2"/>
        <v>Short Time Login</v>
      </c>
      <c r="AA31" s="35" t="s">
        <v>109</v>
      </c>
      <c r="AB31" s="35" t="s">
        <v>110</v>
      </c>
      <c r="AC31" s="35">
        <v>80</v>
      </c>
      <c r="AD31" s="35">
        <v>60</v>
      </c>
      <c r="AE31" s="35" t="s">
        <v>45</v>
      </c>
      <c r="AF31" s="35">
        <v>2000</v>
      </c>
      <c r="AG31" s="35" t="s">
        <v>1377</v>
      </c>
      <c r="AH31" s="35" t="s">
        <v>27</v>
      </c>
    </row>
    <row r="32" spans="1:34">
      <c r="A32" t="s">
        <v>111</v>
      </c>
      <c r="B32" t="s">
        <v>112</v>
      </c>
      <c r="C32">
        <v>20</v>
      </c>
      <c r="D32" t="s">
        <v>21</v>
      </c>
      <c r="E32" t="s">
        <v>113</v>
      </c>
      <c r="F32" t="s">
        <v>31</v>
      </c>
      <c r="G32" t="s">
        <v>32</v>
      </c>
      <c r="H32">
        <v>59</v>
      </c>
      <c r="I32">
        <v>83</v>
      </c>
      <c r="J32" t="s">
        <v>25</v>
      </c>
      <c r="K32">
        <v>10000</v>
      </c>
      <c r="L32">
        <v>7210</v>
      </c>
      <c r="M32">
        <v>4000</v>
      </c>
      <c r="N32" t="s">
        <v>26</v>
      </c>
      <c r="O32" t="s">
        <v>27</v>
      </c>
      <c r="P32" s="1">
        <v>45810</v>
      </c>
      <c r="Q32" s="1">
        <v>45840</v>
      </c>
      <c r="R32" s="2">
        <v>0.34583333333333333</v>
      </c>
      <c r="S32" s="2">
        <v>0.39861111111111114</v>
      </c>
      <c r="T32" t="str" cm="1">
        <f t="array" ref="T32">_xlfn.IFS(H32&gt;=90,"A",H32&gt;=75,"B",H32&gt;=60,"C",H32&lt;60,"D")</f>
        <v>D</v>
      </c>
      <c r="U32" t="str">
        <f t="shared" si="0"/>
        <v>08:18 AM</v>
      </c>
      <c r="V32" t="str">
        <f t="shared" si="3"/>
        <v>On Time</v>
      </c>
      <c r="W32" t="str">
        <f t="shared" si="1"/>
        <v>1 Hours 16 Minutes</v>
      </c>
      <c r="X32" t="str">
        <f t="shared" si="2"/>
        <v>Short Time Login</v>
      </c>
      <c r="AA32" s="34" t="s">
        <v>111</v>
      </c>
      <c r="AB32" s="34" t="s">
        <v>112</v>
      </c>
      <c r="AC32" s="34">
        <v>59</v>
      </c>
      <c r="AD32" s="34">
        <v>83</v>
      </c>
      <c r="AE32" s="34" t="s">
        <v>25</v>
      </c>
      <c r="AF32" s="34">
        <v>4000</v>
      </c>
      <c r="AG32" s="34" t="s">
        <v>1377</v>
      </c>
      <c r="AH32" s="34" t="s">
        <v>27</v>
      </c>
    </row>
    <row r="33" spans="1:37">
      <c r="A33" t="s">
        <v>114</v>
      </c>
      <c r="B33" t="s">
        <v>115</v>
      </c>
      <c r="C33">
        <v>20</v>
      </c>
      <c r="D33" t="s">
        <v>21</v>
      </c>
      <c r="E33" t="s">
        <v>30</v>
      </c>
      <c r="F33" t="s">
        <v>40</v>
      </c>
      <c r="G33" t="s">
        <v>41</v>
      </c>
      <c r="H33">
        <v>87</v>
      </c>
      <c r="I33">
        <v>63</v>
      </c>
      <c r="J33" t="s">
        <v>45</v>
      </c>
      <c r="K33">
        <v>20000</v>
      </c>
      <c r="L33">
        <v>23600</v>
      </c>
      <c r="M33">
        <v>0</v>
      </c>
      <c r="N33" t="s">
        <v>11</v>
      </c>
      <c r="O33" t="s">
        <v>27</v>
      </c>
      <c r="P33" s="1">
        <v>45698</v>
      </c>
      <c r="Q33" s="1">
        <v>45788</v>
      </c>
      <c r="R33" s="2">
        <v>0.40902777777777777</v>
      </c>
      <c r="S33" s="2">
        <v>0.45624999999999999</v>
      </c>
      <c r="T33" t="str" cm="1">
        <f t="array" ref="T33">_xlfn.IFS(H33&gt;=90,"A",H33&gt;=75,"B",H33&gt;=60,"C",H33&lt;60,"D")</f>
        <v>B</v>
      </c>
      <c r="U33" t="str">
        <f t="shared" si="0"/>
        <v>09:49 AM</v>
      </c>
      <c r="V33" t="str">
        <f t="shared" si="3"/>
        <v>On Time</v>
      </c>
      <c r="W33" t="str">
        <f t="shared" si="1"/>
        <v>1 Hours 8 Minutes</v>
      </c>
      <c r="X33" t="str">
        <f t="shared" si="2"/>
        <v>Short Time Login</v>
      </c>
      <c r="AA33" s="35" t="s">
        <v>114</v>
      </c>
      <c r="AB33" s="35" t="s">
        <v>115</v>
      </c>
      <c r="AC33" s="35">
        <v>87</v>
      </c>
      <c r="AD33" s="35">
        <v>63</v>
      </c>
      <c r="AE33" s="35" t="s">
        <v>45</v>
      </c>
      <c r="AF33" s="35">
        <v>0</v>
      </c>
      <c r="AG33" s="35" t="s">
        <v>1377</v>
      </c>
      <c r="AH33" s="35" t="s">
        <v>27</v>
      </c>
    </row>
    <row r="34" spans="1:37">
      <c r="A34" t="s">
        <v>116</v>
      </c>
      <c r="B34" t="s">
        <v>117</v>
      </c>
      <c r="C34">
        <v>20</v>
      </c>
      <c r="D34" t="s">
        <v>21</v>
      </c>
      <c r="E34" t="s">
        <v>96</v>
      </c>
      <c r="F34" t="s">
        <v>53</v>
      </c>
      <c r="G34" t="s">
        <v>54</v>
      </c>
      <c r="H34">
        <v>98</v>
      </c>
      <c r="I34">
        <v>80</v>
      </c>
      <c r="J34" t="s">
        <v>59</v>
      </c>
      <c r="K34">
        <v>12000</v>
      </c>
      <c r="L34">
        <v>11570</v>
      </c>
      <c r="M34">
        <v>2000</v>
      </c>
      <c r="N34" t="s">
        <v>26</v>
      </c>
      <c r="O34" t="s">
        <v>27</v>
      </c>
      <c r="P34" s="1">
        <v>45842</v>
      </c>
      <c r="Q34" s="1">
        <v>45932</v>
      </c>
      <c r="R34" s="2">
        <v>0.37291666666666667</v>
      </c>
      <c r="S34" s="2">
        <v>0.41597222222222224</v>
      </c>
      <c r="T34" t="str" cm="1">
        <f t="array" ref="T34">_xlfn.IFS(H34&gt;=90,"A",H34&gt;=75,"B",H34&gt;=60,"C",H34&lt;60,"D")</f>
        <v>A</v>
      </c>
      <c r="U34" t="str">
        <f t="shared" si="0"/>
        <v>08:57 AM</v>
      </c>
      <c r="V34" t="str">
        <f t="shared" si="3"/>
        <v>On Time</v>
      </c>
      <c r="W34" t="str">
        <f t="shared" si="1"/>
        <v>1 Hours 2 Minutes</v>
      </c>
      <c r="X34" t="str">
        <f t="shared" si="2"/>
        <v>Short Time Login</v>
      </c>
      <c r="AA34" s="34" t="s">
        <v>116</v>
      </c>
      <c r="AB34" s="34" t="s">
        <v>117</v>
      </c>
      <c r="AC34" s="34">
        <v>98</v>
      </c>
      <c r="AD34" s="34">
        <v>80</v>
      </c>
      <c r="AE34" s="34" t="s">
        <v>59</v>
      </c>
      <c r="AF34" s="34">
        <v>2000</v>
      </c>
      <c r="AG34" s="34" t="s">
        <v>1377</v>
      </c>
      <c r="AH34" s="34" t="s">
        <v>27</v>
      </c>
    </row>
    <row r="35" spans="1:37">
      <c r="A35" t="s">
        <v>118</v>
      </c>
      <c r="B35" t="s">
        <v>119</v>
      </c>
      <c r="C35">
        <v>19</v>
      </c>
      <c r="D35" t="s">
        <v>35</v>
      </c>
      <c r="E35" t="s">
        <v>36</v>
      </c>
      <c r="F35" t="s">
        <v>57</v>
      </c>
      <c r="G35" t="s">
        <v>58</v>
      </c>
      <c r="H35">
        <v>80</v>
      </c>
      <c r="I35">
        <v>88</v>
      </c>
      <c r="J35" t="s">
        <v>45</v>
      </c>
      <c r="K35">
        <v>18000</v>
      </c>
      <c r="L35">
        <v>19240</v>
      </c>
      <c r="M35">
        <v>2000</v>
      </c>
      <c r="N35" t="s">
        <v>26</v>
      </c>
      <c r="O35" t="s">
        <v>27</v>
      </c>
      <c r="P35" s="1">
        <v>45737</v>
      </c>
      <c r="Q35" s="1">
        <v>45857</v>
      </c>
      <c r="R35" s="2">
        <v>0.34444444444444444</v>
      </c>
      <c r="S35" s="2">
        <v>0.47708333333333336</v>
      </c>
      <c r="T35" t="str" cm="1">
        <f t="array" ref="T35">_xlfn.IFS(H35&gt;=90,"A",H35&gt;=75,"B",H35&gt;=60,"C",H35&lt;60,"D")</f>
        <v>B</v>
      </c>
      <c r="U35" t="str">
        <f t="shared" si="0"/>
        <v>08:16 AM</v>
      </c>
      <c r="V35" t="str">
        <f t="shared" si="3"/>
        <v>Delayed</v>
      </c>
      <c r="W35" t="str">
        <f t="shared" si="1"/>
        <v>3 Hours 11 Minutes</v>
      </c>
      <c r="X35" t="str">
        <f t="shared" si="2"/>
        <v>Short Time Login</v>
      </c>
      <c r="AA35" s="35" t="s">
        <v>118</v>
      </c>
      <c r="AB35" s="35" t="s">
        <v>119</v>
      </c>
      <c r="AC35" s="35">
        <v>80</v>
      </c>
      <c r="AD35" s="35">
        <v>88</v>
      </c>
      <c r="AE35" s="35" t="s">
        <v>45</v>
      </c>
      <c r="AF35" s="35">
        <v>2000</v>
      </c>
      <c r="AG35" s="35" t="s">
        <v>1376</v>
      </c>
      <c r="AH35" s="35" t="s">
        <v>27</v>
      </c>
    </row>
    <row r="36" spans="1:37">
      <c r="A36" t="s">
        <v>120</v>
      </c>
      <c r="B36" t="s">
        <v>121</v>
      </c>
      <c r="C36">
        <v>24</v>
      </c>
      <c r="D36" t="s">
        <v>35</v>
      </c>
      <c r="E36" t="s">
        <v>122</v>
      </c>
      <c r="F36" t="s">
        <v>88</v>
      </c>
      <c r="G36" t="s">
        <v>89</v>
      </c>
      <c r="H36">
        <v>55</v>
      </c>
      <c r="I36">
        <v>100</v>
      </c>
      <c r="J36" t="s">
        <v>25</v>
      </c>
      <c r="K36">
        <v>15000</v>
      </c>
      <c r="L36">
        <v>11930</v>
      </c>
      <c r="M36">
        <v>4000</v>
      </c>
      <c r="N36" t="s">
        <v>26</v>
      </c>
      <c r="O36" t="s">
        <v>27</v>
      </c>
      <c r="P36" s="1">
        <v>45796</v>
      </c>
      <c r="Q36" s="1">
        <v>45826</v>
      </c>
      <c r="R36" s="2">
        <v>0.3840277777777778</v>
      </c>
      <c r="S36" s="2">
        <v>0.58819444444444446</v>
      </c>
      <c r="T36" t="str" cm="1">
        <f t="array" ref="T36">_xlfn.IFS(H36&gt;=90,"A",H36&gt;=75,"B",H36&gt;=60,"C",H36&lt;60,"D")</f>
        <v>D</v>
      </c>
      <c r="U36" t="str">
        <f t="shared" si="0"/>
        <v>09:13 AM</v>
      </c>
      <c r="V36" t="str">
        <f t="shared" si="3"/>
        <v>On Time</v>
      </c>
      <c r="W36" t="str">
        <f t="shared" si="1"/>
        <v>4 Hours 54 Minutes</v>
      </c>
      <c r="X36" t="str">
        <f t="shared" si="2"/>
        <v>Short Time Login</v>
      </c>
      <c r="AA36" s="34" t="s">
        <v>120</v>
      </c>
      <c r="AB36" s="34" t="s">
        <v>121</v>
      </c>
      <c r="AC36" s="34">
        <v>55</v>
      </c>
      <c r="AD36" s="34">
        <v>100</v>
      </c>
      <c r="AE36" s="34" t="s">
        <v>25</v>
      </c>
      <c r="AF36" s="34">
        <v>4000</v>
      </c>
      <c r="AG36" s="34" t="s">
        <v>1377</v>
      </c>
      <c r="AH36" s="34" t="s">
        <v>27</v>
      </c>
    </row>
    <row r="37" spans="1:37">
      <c r="A37" t="s">
        <v>123</v>
      </c>
      <c r="B37" t="s">
        <v>124</v>
      </c>
      <c r="C37">
        <v>20</v>
      </c>
      <c r="D37" t="s">
        <v>21</v>
      </c>
      <c r="E37" t="s">
        <v>48</v>
      </c>
      <c r="F37" t="s">
        <v>40</v>
      </c>
      <c r="G37" t="s">
        <v>41</v>
      </c>
      <c r="H37">
        <v>37</v>
      </c>
      <c r="I37">
        <v>60</v>
      </c>
      <c r="J37" t="s">
        <v>25</v>
      </c>
      <c r="K37">
        <v>20000</v>
      </c>
      <c r="L37">
        <v>19600</v>
      </c>
      <c r="M37">
        <v>4000</v>
      </c>
      <c r="N37" t="s">
        <v>26</v>
      </c>
      <c r="O37" t="s">
        <v>27</v>
      </c>
      <c r="P37" s="1">
        <v>45716</v>
      </c>
      <c r="Q37" s="1">
        <v>45776</v>
      </c>
      <c r="R37" s="2">
        <v>0.45694444444444443</v>
      </c>
      <c r="S37" s="2">
        <v>0.59236111111111112</v>
      </c>
      <c r="T37" t="str" cm="1">
        <f t="array" ref="T37">_xlfn.IFS(H37&gt;=90,"A",H37&gt;=75,"B",H37&gt;=60,"C",H37&lt;60,"D")</f>
        <v>D</v>
      </c>
      <c r="U37" t="str">
        <f t="shared" si="0"/>
        <v>10:58 AM</v>
      </c>
      <c r="V37" t="str">
        <f t="shared" si="3"/>
        <v>On Time</v>
      </c>
      <c r="W37" t="str">
        <f t="shared" si="1"/>
        <v>3 Hours 15 Minutes</v>
      </c>
      <c r="X37" t="str">
        <f t="shared" si="2"/>
        <v>Long Time Login</v>
      </c>
      <c r="AA37" s="35" t="s">
        <v>123</v>
      </c>
      <c r="AB37" s="35" t="s">
        <v>124</v>
      </c>
      <c r="AC37" s="35">
        <v>37</v>
      </c>
      <c r="AD37" s="35">
        <v>60</v>
      </c>
      <c r="AE37" s="35" t="s">
        <v>25</v>
      </c>
      <c r="AF37" s="35">
        <v>4000</v>
      </c>
      <c r="AG37" s="35" t="s">
        <v>1377</v>
      </c>
      <c r="AH37" s="35" t="s">
        <v>27</v>
      </c>
    </row>
    <row r="38" spans="1:37">
      <c r="A38" t="s">
        <v>125</v>
      </c>
      <c r="B38" t="s">
        <v>126</v>
      </c>
      <c r="C38">
        <v>28</v>
      </c>
      <c r="D38" t="s">
        <v>35</v>
      </c>
      <c r="E38" t="s">
        <v>122</v>
      </c>
      <c r="F38" t="s">
        <v>31</v>
      </c>
      <c r="G38" t="s">
        <v>32</v>
      </c>
      <c r="H38">
        <v>37</v>
      </c>
      <c r="I38">
        <v>67</v>
      </c>
      <c r="J38" t="s">
        <v>25</v>
      </c>
      <c r="K38">
        <v>18000</v>
      </c>
      <c r="L38">
        <v>15470</v>
      </c>
      <c r="M38">
        <v>4000</v>
      </c>
      <c r="N38" t="s">
        <v>26</v>
      </c>
      <c r="O38" t="s">
        <v>127</v>
      </c>
      <c r="P38" s="1">
        <v>45985</v>
      </c>
      <c r="Q38" s="1">
        <v>46165</v>
      </c>
      <c r="R38" s="2">
        <v>0.35208333333333336</v>
      </c>
      <c r="S38" s="2">
        <v>0.42499999999999999</v>
      </c>
      <c r="T38" t="str" cm="1">
        <f t="array" ref="T38">_xlfn.IFS(H38&gt;=90,"A",H38&gt;=75,"B",H38&gt;=60,"C",H38&lt;60,"D")</f>
        <v>D</v>
      </c>
      <c r="U38" t="str">
        <f t="shared" si="0"/>
        <v>08:27 AM</v>
      </c>
      <c r="V38" t="str">
        <f t="shared" si="3"/>
        <v>Delayed</v>
      </c>
      <c r="W38" t="str">
        <f t="shared" si="1"/>
        <v>1 Hours 45 Minutes</v>
      </c>
      <c r="X38" t="str">
        <f t="shared" si="2"/>
        <v>Short Time Login</v>
      </c>
      <c r="AA38" s="34" t="s">
        <v>125</v>
      </c>
      <c r="AB38" s="34" t="s">
        <v>126</v>
      </c>
      <c r="AC38" s="34">
        <v>37</v>
      </c>
      <c r="AD38" s="34">
        <v>67</v>
      </c>
      <c r="AE38" s="34" t="s">
        <v>25</v>
      </c>
      <c r="AF38" s="34">
        <v>4000</v>
      </c>
      <c r="AG38" s="34" t="s">
        <v>1376</v>
      </c>
      <c r="AH38" s="34" t="s">
        <v>127</v>
      </c>
    </row>
    <row r="39" spans="1:37">
      <c r="A39" t="s">
        <v>128</v>
      </c>
      <c r="B39" t="s">
        <v>129</v>
      </c>
      <c r="C39">
        <v>21</v>
      </c>
      <c r="D39" t="s">
        <v>35</v>
      </c>
      <c r="E39" t="s">
        <v>96</v>
      </c>
      <c r="F39" t="s">
        <v>49</v>
      </c>
      <c r="G39" t="s">
        <v>50</v>
      </c>
      <c r="H39">
        <v>35</v>
      </c>
      <c r="I39">
        <v>76</v>
      </c>
      <c r="J39" t="s">
        <v>25</v>
      </c>
      <c r="K39">
        <v>18000</v>
      </c>
      <c r="L39">
        <v>18650</v>
      </c>
      <c r="M39">
        <v>2000</v>
      </c>
      <c r="N39" t="s">
        <v>26</v>
      </c>
      <c r="O39" t="s">
        <v>27</v>
      </c>
      <c r="P39" s="1">
        <v>45701</v>
      </c>
      <c r="Q39" s="1">
        <v>45761</v>
      </c>
      <c r="R39" s="2">
        <v>0.35138888888888886</v>
      </c>
      <c r="S39" s="2">
        <v>0.44513888888888886</v>
      </c>
      <c r="T39" t="str" cm="1">
        <f t="array" ref="T39">_xlfn.IFS(H39&gt;=90,"A",H39&gt;=75,"B",H39&gt;=60,"C",H39&lt;60,"D")</f>
        <v>D</v>
      </c>
      <c r="U39" t="str">
        <f t="shared" si="0"/>
        <v>08:26 AM</v>
      </c>
      <c r="V39" t="str">
        <f t="shared" si="3"/>
        <v>On Time</v>
      </c>
      <c r="W39" t="str">
        <f t="shared" si="1"/>
        <v>2 Hours 15 Minutes</v>
      </c>
      <c r="X39" t="str">
        <f t="shared" si="2"/>
        <v>Short Time Login</v>
      </c>
      <c r="AA39" s="35" t="s">
        <v>128</v>
      </c>
      <c r="AB39" s="35" t="s">
        <v>129</v>
      </c>
      <c r="AC39" s="35">
        <v>35</v>
      </c>
      <c r="AD39" s="35">
        <v>76</v>
      </c>
      <c r="AE39" s="35" t="s">
        <v>25</v>
      </c>
      <c r="AF39" s="35">
        <v>2000</v>
      </c>
      <c r="AG39" s="35" t="s">
        <v>1377</v>
      </c>
      <c r="AH39" s="35" t="s">
        <v>27</v>
      </c>
    </row>
    <row r="40" spans="1:37">
      <c r="A40" t="s">
        <v>130</v>
      </c>
      <c r="B40" t="s">
        <v>56</v>
      </c>
      <c r="C40">
        <v>25</v>
      </c>
      <c r="D40" t="s">
        <v>35</v>
      </c>
      <c r="E40" t="s">
        <v>96</v>
      </c>
      <c r="F40" t="s">
        <v>53</v>
      </c>
      <c r="G40" t="s">
        <v>54</v>
      </c>
      <c r="H40">
        <v>51</v>
      </c>
      <c r="I40">
        <v>98</v>
      </c>
      <c r="J40" t="s">
        <v>25</v>
      </c>
      <c r="K40">
        <v>10000</v>
      </c>
      <c r="L40">
        <v>8620</v>
      </c>
      <c r="M40">
        <v>2000</v>
      </c>
      <c r="N40" t="s">
        <v>26</v>
      </c>
      <c r="O40" t="s">
        <v>27</v>
      </c>
      <c r="P40" s="1">
        <v>45726</v>
      </c>
      <c r="Q40" s="1">
        <v>45816</v>
      </c>
      <c r="R40" s="2">
        <v>0.34722222222222221</v>
      </c>
      <c r="S40" s="2">
        <v>0.47986111111111113</v>
      </c>
      <c r="T40" t="str" cm="1">
        <f t="array" ref="T40">_xlfn.IFS(H40&gt;=90,"A",H40&gt;=75,"B",H40&gt;=60,"C",H40&lt;60,"D")</f>
        <v>D</v>
      </c>
      <c r="U40" t="str">
        <f t="shared" si="0"/>
        <v>08:20 AM</v>
      </c>
      <c r="V40" t="str">
        <f t="shared" si="3"/>
        <v>On Time</v>
      </c>
      <c r="W40" t="str">
        <f t="shared" si="1"/>
        <v>3 Hours 11 Minutes</v>
      </c>
      <c r="X40" t="str">
        <f t="shared" si="2"/>
        <v>Short Time Login</v>
      </c>
      <c r="AA40" s="34" t="s">
        <v>130</v>
      </c>
      <c r="AB40" s="34" t="s">
        <v>56</v>
      </c>
      <c r="AC40" s="34">
        <v>51</v>
      </c>
      <c r="AD40" s="34">
        <v>98</v>
      </c>
      <c r="AE40" s="34" t="s">
        <v>25</v>
      </c>
      <c r="AF40" s="34">
        <v>2000</v>
      </c>
      <c r="AG40" s="34" t="s">
        <v>1377</v>
      </c>
      <c r="AH40" s="34" t="s">
        <v>27</v>
      </c>
    </row>
    <row r="41" spans="1:37">
      <c r="A41" t="s">
        <v>131</v>
      </c>
      <c r="B41" t="s">
        <v>132</v>
      </c>
      <c r="C41">
        <v>25</v>
      </c>
      <c r="D41" t="s">
        <v>21</v>
      </c>
      <c r="E41" t="s">
        <v>62</v>
      </c>
      <c r="F41" t="s">
        <v>49</v>
      </c>
      <c r="G41" t="s">
        <v>50</v>
      </c>
      <c r="H41">
        <v>96</v>
      </c>
      <c r="I41">
        <v>61</v>
      </c>
      <c r="J41" t="s">
        <v>59</v>
      </c>
      <c r="K41">
        <v>15000</v>
      </c>
      <c r="L41">
        <v>15700</v>
      </c>
      <c r="M41">
        <v>2000</v>
      </c>
      <c r="N41" t="s">
        <v>26</v>
      </c>
      <c r="O41" t="s">
        <v>27</v>
      </c>
      <c r="P41" s="1">
        <v>45805</v>
      </c>
      <c r="Q41" s="1">
        <v>45985</v>
      </c>
      <c r="R41" s="2">
        <v>0.4513888888888889</v>
      </c>
      <c r="S41" s="2">
        <v>0.60624999999999996</v>
      </c>
      <c r="T41" t="str" cm="1">
        <f t="array" ref="T41">_xlfn.IFS(H41&gt;=90,"A",H41&gt;=75,"B",H41&gt;=60,"C",H41&lt;60,"D")</f>
        <v>A</v>
      </c>
      <c r="U41" t="str">
        <f t="shared" si="0"/>
        <v>10:50 AM</v>
      </c>
      <c r="V41" t="str">
        <f t="shared" si="3"/>
        <v>Delayed</v>
      </c>
      <c r="W41" t="str">
        <f t="shared" si="1"/>
        <v>3 Hours 43 Minutes</v>
      </c>
      <c r="X41" t="str">
        <f t="shared" si="2"/>
        <v>Long Time Login</v>
      </c>
      <c r="AA41" s="35" t="s">
        <v>131</v>
      </c>
      <c r="AB41" s="35" t="s">
        <v>132</v>
      </c>
      <c r="AC41" s="35">
        <v>96</v>
      </c>
      <c r="AD41" s="35">
        <v>61</v>
      </c>
      <c r="AE41" s="35" t="s">
        <v>59</v>
      </c>
      <c r="AF41" s="35">
        <v>2000</v>
      </c>
      <c r="AG41" s="35" t="s">
        <v>1376</v>
      </c>
      <c r="AH41" s="35" t="s">
        <v>27</v>
      </c>
    </row>
    <row r="42" spans="1:37">
      <c r="A42" t="s">
        <v>133</v>
      </c>
      <c r="B42" t="s">
        <v>134</v>
      </c>
      <c r="C42">
        <v>23</v>
      </c>
      <c r="D42" t="s">
        <v>35</v>
      </c>
      <c r="E42" t="s">
        <v>44</v>
      </c>
      <c r="F42" t="s">
        <v>40</v>
      </c>
      <c r="G42" t="s">
        <v>41</v>
      </c>
      <c r="H42">
        <v>48</v>
      </c>
      <c r="I42">
        <v>88</v>
      </c>
      <c r="J42" t="s">
        <v>25</v>
      </c>
      <c r="K42">
        <v>12000</v>
      </c>
      <c r="L42">
        <v>10160</v>
      </c>
      <c r="M42">
        <v>4000</v>
      </c>
      <c r="N42" t="s">
        <v>26</v>
      </c>
      <c r="O42" t="s">
        <v>27</v>
      </c>
      <c r="P42" s="1">
        <v>45681</v>
      </c>
      <c r="Q42" s="1">
        <v>45801</v>
      </c>
      <c r="R42" s="2">
        <v>0.39583333333333331</v>
      </c>
      <c r="S42" s="2">
        <v>0.48958333333333331</v>
      </c>
      <c r="T42" t="str" cm="1">
        <f t="array" ref="T42">_xlfn.IFS(H42&gt;=90,"A",H42&gt;=75,"B",H42&gt;=60,"C",H42&lt;60,"D")</f>
        <v>D</v>
      </c>
      <c r="U42" t="str">
        <f t="shared" si="0"/>
        <v>09:30 AM</v>
      </c>
      <c r="V42" t="str">
        <f t="shared" si="3"/>
        <v>Delayed</v>
      </c>
      <c r="W42" t="str">
        <f t="shared" si="1"/>
        <v>2 Hours 15 Minutes</v>
      </c>
      <c r="X42" t="str">
        <f t="shared" si="2"/>
        <v>Short Time Login</v>
      </c>
      <c r="AA42" s="34" t="s">
        <v>133</v>
      </c>
      <c r="AB42" s="34" t="s">
        <v>134</v>
      </c>
      <c r="AC42" s="34">
        <v>48</v>
      </c>
      <c r="AD42" s="34">
        <v>88</v>
      </c>
      <c r="AE42" s="34" t="s">
        <v>25</v>
      </c>
      <c r="AF42" s="34">
        <v>4000</v>
      </c>
      <c r="AG42" s="34" t="s">
        <v>1376</v>
      </c>
      <c r="AH42" s="34" t="s">
        <v>27</v>
      </c>
    </row>
    <row r="43" spans="1:37">
      <c r="A43" t="s">
        <v>135</v>
      </c>
      <c r="B43" t="s">
        <v>136</v>
      </c>
      <c r="C43">
        <v>24</v>
      </c>
      <c r="D43" t="s">
        <v>21</v>
      </c>
      <c r="E43" t="s">
        <v>62</v>
      </c>
      <c r="F43" t="s">
        <v>23</v>
      </c>
      <c r="G43" t="s">
        <v>24</v>
      </c>
      <c r="H43">
        <v>84</v>
      </c>
      <c r="I43">
        <v>74</v>
      </c>
      <c r="J43" t="s">
        <v>45</v>
      </c>
      <c r="K43">
        <v>10000</v>
      </c>
      <c r="L43">
        <v>7210</v>
      </c>
      <c r="M43">
        <v>4000</v>
      </c>
      <c r="N43" t="s">
        <v>26</v>
      </c>
      <c r="O43" t="s">
        <v>27</v>
      </c>
      <c r="P43" s="1">
        <v>45976</v>
      </c>
      <c r="Q43" s="1">
        <v>46156</v>
      </c>
      <c r="R43" s="2">
        <v>0.33888888888888891</v>
      </c>
      <c r="S43" s="2">
        <v>0.39305555555555555</v>
      </c>
      <c r="T43" t="str" cm="1">
        <f t="array" ref="T43">_xlfn.IFS(H43&gt;=90,"A",H43&gt;=75,"B",H43&gt;=60,"C",H43&lt;60,"D")</f>
        <v>B</v>
      </c>
      <c r="U43" t="str">
        <f t="shared" si="0"/>
        <v>08:08 AM</v>
      </c>
      <c r="V43" t="str">
        <f t="shared" si="3"/>
        <v>Delayed</v>
      </c>
      <c r="W43" t="str">
        <f t="shared" si="1"/>
        <v>1 Hours 18 Minutes</v>
      </c>
      <c r="X43" t="str">
        <f t="shared" si="2"/>
        <v>Short Time Login</v>
      </c>
      <c r="AA43" s="35" t="s">
        <v>135</v>
      </c>
      <c r="AB43" s="35" t="s">
        <v>136</v>
      </c>
      <c r="AC43" s="35">
        <v>84</v>
      </c>
      <c r="AD43" s="35">
        <v>74</v>
      </c>
      <c r="AE43" s="35" t="s">
        <v>45</v>
      </c>
      <c r="AF43" s="35">
        <v>4000</v>
      </c>
      <c r="AG43" s="34" t="s">
        <v>1377</v>
      </c>
      <c r="AH43" s="35" t="s">
        <v>27</v>
      </c>
    </row>
    <row r="44" spans="1:37">
      <c r="A44" t="s">
        <v>137</v>
      </c>
      <c r="B44" t="s">
        <v>138</v>
      </c>
      <c r="C44">
        <v>24</v>
      </c>
      <c r="D44" t="s">
        <v>35</v>
      </c>
      <c r="E44" t="s">
        <v>62</v>
      </c>
      <c r="F44" t="s">
        <v>88</v>
      </c>
      <c r="G44" t="s">
        <v>89</v>
      </c>
      <c r="H44">
        <v>87</v>
      </c>
      <c r="I44">
        <v>76</v>
      </c>
      <c r="J44" t="s">
        <v>45</v>
      </c>
      <c r="K44">
        <v>10000</v>
      </c>
      <c r="L44">
        <v>7800</v>
      </c>
      <c r="M44">
        <v>4000</v>
      </c>
      <c r="N44" t="s">
        <v>26</v>
      </c>
      <c r="O44" t="s">
        <v>27</v>
      </c>
      <c r="P44" s="1">
        <v>46000</v>
      </c>
      <c r="Q44" s="1">
        <v>46090</v>
      </c>
      <c r="R44" s="2">
        <v>0.41736111111111113</v>
      </c>
      <c r="S44" s="2">
        <v>0.60277777777777775</v>
      </c>
      <c r="T44" t="str" cm="1">
        <f t="array" ref="T44">_xlfn.IFS(H44&gt;=90,"A",H44&gt;=75,"B",H44&gt;=60,"C",H44&lt;60,"D")</f>
        <v>B</v>
      </c>
      <c r="U44" t="str">
        <f t="shared" si="0"/>
        <v>10:01 AM</v>
      </c>
      <c r="V44" t="str">
        <f t="shared" si="3"/>
        <v>On Time</v>
      </c>
      <c r="W44" t="str">
        <f t="shared" si="1"/>
        <v>4 Hours 27 Minutes</v>
      </c>
      <c r="X44" t="str">
        <f t="shared" si="2"/>
        <v>Long Time Login</v>
      </c>
      <c r="AA44" s="34" t="s">
        <v>137</v>
      </c>
      <c r="AB44" s="34" t="s">
        <v>138</v>
      </c>
      <c r="AC44" s="34">
        <v>87</v>
      </c>
      <c r="AD44" s="34">
        <v>76</v>
      </c>
      <c r="AE44" s="34" t="s">
        <v>45</v>
      </c>
      <c r="AF44" s="34">
        <v>4000</v>
      </c>
      <c r="AG44" s="35" t="s">
        <v>1376</v>
      </c>
      <c r="AH44" s="34" t="s">
        <v>27</v>
      </c>
    </row>
    <row r="45" spans="1:37">
      <c r="A45" t="s">
        <v>139</v>
      </c>
      <c r="B45" t="s">
        <v>140</v>
      </c>
      <c r="C45">
        <v>21</v>
      </c>
      <c r="D45" t="s">
        <v>21</v>
      </c>
      <c r="E45" t="s">
        <v>113</v>
      </c>
      <c r="F45" t="s">
        <v>53</v>
      </c>
      <c r="G45" t="s">
        <v>54</v>
      </c>
      <c r="H45">
        <v>72</v>
      </c>
      <c r="I45">
        <v>66</v>
      </c>
      <c r="J45" t="s">
        <v>68</v>
      </c>
      <c r="K45">
        <v>20000</v>
      </c>
      <c r="L45">
        <v>17830</v>
      </c>
      <c r="M45">
        <v>4000</v>
      </c>
      <c r="N45" t="s">
        <v>26</v>
      </c>
      <c r="O45" t="s">
        <v>127</v>
      </c>
      <c r="P45" s="1">
        <v>45855</v>
      </c>
      <c r="Q45" s="1">
        <v>45945</v>
      </c>
      <c r="R45" s="2">
        <v>0.44930555555555557</v>
      </c>
      <c r="S45" s="2">
        <v>0.5541666666666667</v>
      </c>
      <c r="T45" t="str" cm="1">
        <f t="array" ref="T45">_xlfn.IFS(H45&gt;=90,"A",H45&gt;=75,"B",H45&gt;=60,"C",H45&lt;60,"D")</f>
        <v>C</v>
      </c>
      <c r="U45" t="str">
        <f t="shared" si="0"/>
        <v>10:47 AM</v>
      </c>
      <c r="V45" t="str">
        <f t="shared" si="3"/>
        <v>On Time</v>
      </c>
      <c r="W45" t="str">
        <f t="shared" si="1"/>
        <v>2 Hours 31 Minutes</v>
      </c>
      <c r="X45" t="str">
        <f t="shared" si="2"/>
        <v>Long Time Login</v>
      </c>
      <c r="AA45" s="35" t="s">
        <v>139</v>
      </c>
      <c r="AB45" s="35" t="s">
        <v>140</v>
      </c>
      <c r="AC45" s="35">
        <v>72</v>
      </c>
      <c r="AD45" s="35">
        <v>66</v>
      </c>
      <c r="AE45" s="35" t="s">
        <v>68</v>
      </c>
      <c r="AF45" s="35">
        <v>4000</v>
      </c>
      <c r="AG45" s="34" t="s">
        <v>1377</v>
      </c>
      <c r="AH45" s="35" t="s">
        <v>127</v>
      </c>
    </row>
    <row r="46" spans="1:37">
      <c r="A46" t="s">
        <v>141</v>
      </c>
      <c r="B46" t="s">
        <v>142</v>
      </c>
      <c r="C46">
        <v>25</v>
      </c>
      <c r="D46" t="s">
        <v>21</v>
      </c>
      <c r="E46" t="s">
        <v>113</v>
      </c>
      <c r="F46" t="s">
        <v>40</v>
      </c>
      <c r="G46" t="s">
        <v>41</v>
      </c>
      <c r="H46">
        <v>58</v>
      </c>
      <c r="I46">
        <v>88</v>
      </c>
      <c r="J46" t="s">
        <v>25</v>
      </c>
      <c r="K46">
        <v>18000</v>
      </c>
      <c r="L46">
        <v>18060</v>
      </c>
      <c r="M46">
        <v>2000</v>
      </c>
      <c r="N46" t="s">
        <v>26</v>
      </c>
      <c r="O46" t="s">
        <v>27</v>
      </c>
      <c r="P46" s="1">
        <v>45773</v>
      </c>
      <c r="Q46" s="1">
        <v>45833</v>
      </c>
      <c r="R46" s="2">
        <v>0.43333333333333335</v>
      </c>
      <c r="S46" s="2">
        <v>0.51597222222222228</v>
      </c>
      <c r="T46" t="str" cm="1">
        <f t="array" ref="T46">_xlfn.IFS(H46&gt;=90,"A",H46&gt;=75,"B",H46&gt;=60,"C",H46&lt;60,"D")</f>
        <v>D</v>
      </c>
      <c r="U46" t="str">
        <f t="shared" si="0"/>
        <v>10:24 AM</v>
      </c>
      <c r="V46" t="str">
        <f t="shared" si="3"/>
        <v>On Time</v>
      </c>
      <c r="W46" t="str">
        <f t="shared" si="1"/>
        <v>1 Hours 59 Minutes</v>
      </c>
      <c r="X46" t="str">
        <f t="shared" si="2"/>
        <v>Long Time Login</v>
      </c>
      <c r="AA46" s="34" t="s">
        <v>141</v>
      </c>
      <c r="AB46" s="34" t="s">
        <v>142</v>
      </c>
      <c r="AC46" s="34">
        <v>58</v>
      </c>
      <c r="AD46" s="34">
        <v>88</v>
      </c>
      <c r="AE46" s="34" t="s">
        <v>25</v>
      </c>
      <c r="AF46" s="34">
        <v>2000</v>
      </c>
      <c r="AG46" s="35" t="s">
        <v>1376</v>
      </c>
      <c r="AH46" s="34" t="s">
        <v>27</v>
      </c>
    </row>
    <row r="47" spans="1:37">
      <c r="A47" t="s">
        <v>143</v>
      </c>
      <c r="B47" t="s">
        <v>144</v>
      </c>
      <c r="C47">
        <v>23</v>
      </c>
      <c r="D47" t="s">
        <v>35</v>
      </c>
      <c r="E47" t="s">
        <v>67</v>
      </c>
      <c r="F47" t="s">
        <v>53</v>
      </c>
      <c r="G47" t="s">
        <v>54</v>
      </c>
      <c r="H47">
        <v>49</v>
      </c>
      <c r="I47">
        <v>77</v>
      </c>
      <c r="J47" t="s">
        <v>25</v>
      </c>
      <c r="K47">
        <v>18000</v>
      </c>
      <c r="L47">
        <v>16060</v>
      </c>
      <c r="M47">
        <v>4000</v>
      </c>
      <c r="N47" t="s">
        <v>26</v>
      </c>
      <c r="O47" t="s">
        <v>27</v>
      </c>
      <c r="P47" s="1">
        <v>45725</v>
      </c>
      <c r="Q47" s="1">
        <v>45755</v>
      </c>
      <c r="R47" s="2">
        <v>0.41249999999999998</v>
      </c>
      <c r="S47" s="2">
        <v>0.59444444444444444</v>
      </c>
      <c r="T47" t="str" cm="1">
        <f t="array" ref="T47">_xlfn.IFS(H47&gt;=90,"A",H47&gt;=75,"B",H47&gt;=60,"C",H47&lt;60,"D")</f>
        <v>D</v>
      </c>
      <c r="U47" t="str">
        <f t="shared" si="0"/>
        <v>09:54 AM</v>
      </c>
      <c r="V47" t="str">
        <f t="shared" si="3"/>
        <v>On Time</v>
      </c>
      <c r="W47" t="str">
        <f t="shared" si="1"/>
        <v>4 Hours 22 Minutes</v>
      </c>
      <c r="X47" t="str">
        <f t="shared" si="2"/>
        <v>Short Time Login</v>
      </c>
      <c r="AA47" s="35" t="s">
        <v>143</v>
      </c>
      <c r="AB47" s="35" t="s">
        <v>144</v>
      </c>
      <c r="AC47" s="35">
        <v>49</v>
      </c>
      <c r="AD47" s="35">
        <v>77</v>
      </c>
      <c r="AE47" s="35" t="s">
        <v>25</v>
      </c>
      <c r="AF47" s="35">
        <v>4000</v>
      </c>
      <c r="AG47" s="34" t="s">
        <v>1376</v>
      </c>
      <c r="AH47" s="35" t="s">
        <v>27</v>
      </c>
    </row>
    <row r="48" spans="1:37">
      <c r="A48" t="s">
        <v>145</v>
      </c>
      <c r="B48" t="s">
        <v>146</v>
      </c>
      <c r="C48">
        <v>19</v>
      </c>
      <c r="D48" t="s">
        <v>35</v>
      </c>
      <c r="E48" t="s">
        <v>22</v>
      </c>
      <c r="F48" t="s">
        <v>40</v>
      </c>
      <c r="G48" t="s">
        <v>41</v>
      </c>
      <c r="H48">
        <v>75</v>
      </c>
      <c r="I48">
        <v>70</v>
      </c>
      <c r="J48" t="s">
        <v>45</v>
      </c>
      <c r="K48">
        <v>20000</v>
      </c>
      <c r="L48">
        <v>23010</v>
      </c>
      <c r="M48">
        <v>0</v>
      </c>
      <c r="N48" t="s">
        <v>11</v>
      </c>
      <c r="O48" t="s">
        <v>27</v>
      </c>
      <c r="P48" s="1">
        <v>46002</v>
      </c>
      <c r="Q48" s="1">
        <v>46092</v>
      </c>
      <c r="R48" s="2">
        <v>0.34652777777777777</v>
      </c>
      <c r="S48" s="2">
        <v>0.47569444444444442</v>
      </c>
      <c r="T48" t="str" cm="1">
        <f t="array" ref="T48">_xlfn.IFS(H48&gt;=90,"A",H48&gt;=75,"B",H48&gt;=60,"C",H48&lt;60,"D")</f>
        <v>B</v>
      </c>
      <c r="U48" t="str">
        <f t="shared" si="0"/>
        <v>08:19 AM</v>
      </c>
      <c r="V48" t="str">
        <f t="shared" si="3"/>
        <v>On Time</v>
      </c>
      <c r="W48" t="str">
        <f t="shared" si="1"/>
        <v>3 Hours 6 Minutes</v>
      </c>
      <c r="X48" t="str">
        <f t="shared" si="2"/>
        <v>Short Time Login</v>
      </c>
      <c r="AA48" s="34" t="s">
        <v>145</v>
      </c>
      <c r="AB48" s="34" t="s">
        <v>146</v>
      </c>
      <c r="AC48" s="34">
        <v>75</v>
      </c>
      <c r="AD48" s="34">
        <v>70</v>
      </c>
      <c r="AE48" s="34" t="s">
        <v>45</v>
      </c>
      <c r="AF48" s="34">
        <v>0</v>
      </c>
      <c r="AH48" s="34" t="s">
        <v>27</v>
      </c>
      <c r="AK48" s="35" t="s">
        <v>1377</v>
      </c>
    </row>
    <row r="49" spans="1:37">
      <c r="A49" t="s">
        <v>147</v>
      </c>
      <c r="B49" t="s">
        <v>148</v>
      </c>
      <c r="C49">
        <v>25</v>
      </c>
      <c r="D49" t="s">
        <v>35</v>
      </c>
      <c r="E49" t="s">
        <v>73</v>
      </c>
      <c r="F49" t="s">
        <v>63</v>
      </c>
      <c r="G49" t="s">
        <v>64</v>
      </c>
      <c r="H49">
        <v>88</v>
      </c>
      <c r="I49">
        <v>83</v>
      </c>
      <c r="J49" t="s">
        <v>45</v>
      </c>
      <c r="K49">
        <v>12000</v>
      </c>
      <c r="L49">
        <v>10390</v>
      </c>
      <c r="M49">
        <v>2000</v>
      </c>
      <c r="N49" t="s">
        <v>26</v>
      </c>
      <c r="O49" t="s">
        <v>27</v>
      </c>
      <c r="P49" s="1">
        <v>45998</v>
      </c>
      <c r="Q49" s="1">
        <v>46058</v>
      </c>
      <c r="R49" s="2">
        <v>0.38750000000000001</v>
      </c>
      <c r="S49" s="2">
        <v>0.5180555555555556</v>
      </c>
      <c r="T49" t="str" cm="1">
        <f t="array" ref="T49">_xlfn.IFS(H49&gt;=90,"A",H49&gt;=75,"B",H49&gt;=60,"C",H49&lt;60,"D")</f>
        <v>B</v>
      </c>
      <c r="U49" t="str">
        <f t="shared" si="0"/>
        <v>09:18 AM</v>
      </c>
      <c r="V49" t="str">
        <f t="shared" si="3"/>
        <v>On Time</v>
      </c>
      <c r="W49" t="str">
        <f t="shared" si="1"/>
        <v>3 Hours 8 Minutes</v>
      </c>
      <c r="X49" t="str">
        <f t="shared" si="2"/>
        <v>Short Time Login</v>
      </c>
      <c r="AA49" s="35" t="s">
        <v>147</v>
      </c>
      <c r="AB49" s="35" t="s">
        <v>148</v>
      </c>
      <c r="AC49" s="35">
        <v>88</v>
      </c>
      <c r="AD49" s="35">
        <v>83</v>
      </c>
      <c r="AE49" s="35" t="s">
        <v>45</v>
      </c>
      <c r="AF49" s="35">
        <v>2000</v>
      </c>
      <c r="AH49" s="35" t="s">
        <v>27</v>
      </c>
      <c r="AK49" s="34" t="s">
        <v>1377</v>
      </c>
    </row>
    <row r="50" spans="1:37">
      <c r="A50" t="s">
        <v>149</v>
      </c>
      <c r="B50" t="s">
        <v>150</v>
      </c>
      <c r="C50">
        <v>27</v>
      </c>
      <c r="D50" t="s">
        <v>35</v>
      </c>
      <c r="E50" t="s">
        <v>30</v>
      </c>
      <c r="F50" t="s">
        <v>31</v>
      </c>
      <c r="G50" t="s">
        <v>32</v>
      </c>
      <c r="H50">
        <v>78</v>
      </c>
      <c r="I50">
        <v>74</v>
      </c>
      <c r="J50" t="s">
        <v>45</v>
      </c>
      <c r="K50">
        <v>20000</v>
      </c>
      <c r="L50">
        <v>21010</v>
      </c>
      <c r="M50">
        <v>2000</v>
      </c>
      <c r="N50" t="s">
        <v>26</v>
      </c>
      <c r="O50" t="s">
        <v>27</v>
      </c>
      <c r="P50" s="1">
        <v>45734</v>
      </c>
      <c r="Q50" s="1">
        <v>45854</v>
      </c>
      <c r="R50" s="2">
        <v>0.39930555555555558</v>
      </c>
      <c r="S50" s="2">
        <v>0.59305555555555556</v>
      </c>
      <c r="T50" t="str" cm="1">
        <f t="array" ref="T50">_xlfn.IFS(H50&gt;=90,"A",H50&gt;=75,"B",H50&gt;=60,"C",H50&lt;60,"D")</f>
        <v>B</v>
      </c>
      <c r="U50" t="str">
        <f t="shared" si="0"/>
        <v>09:35 AM</v>
      </c>
      <c r="V50" t="str">
        <f t="shared" si="3"/>
        <v>Delayed</v>
      </c>
      <c r="W50" t="str">
        <f t="shared" si="1"/>
        <v>4 Hours 39 Minutes</v>
      </c>
      <c r="X50" t="str">
        <f t="shared" si="2"/>
        <v>Short Time Login</v>
      </c>
      <c r="AA50" s="34" t="s">
        <v>149</v>
      </c>
      <c r="AB50" s="34" t="s">
        <v>150</v>
      </c>
      <c r="AC50" s="34">
        <v>78</v>
      </c>
      <c r="AD50" s="34">
        <v>74</v>
      </c>
      <c r="AE50" s="34" t="s">
        <v>45</v>
      </c>
      <c r="AF50" s="34">
        <v>2000</v>
      </c>
      <c r="AH50" s="34" t="s">
        <v>27</v>
      </c>
      <c r="AK50" s="35" t="s">
        <v>1377</v>
      </c>
    </row>
    <row r="51" spans="1:37">
      <c r="A51" t="s">
        <v>151</v>
      </c>
      <c r="B51" t="s">
        <v>152</v>
      </c>
      <c r="C51">
        <v>21</v>
      </c>
      <c r="D51" t="s">
        <v>21</v>
      </c>
      <c r="E51" t="s">
        <v>39</v>
      </c>
      <c r="F51" t="s">
        <v>88</v>
      </c>
      <c r="G51" t="s">
        <v>89</v>
      </c>
      <c r="H51">
        <v>57</v>
      </c>
      <c r="I51">
        <v>78</v>
      </c>
      <c r="J51" t="s">
        <v>25</v>
      </c>
      <c r="K51">
        <v>15000</v>
      </c>
      <c r="L51">
        <v>11930</v>
      </c>
      <c r="M51">
        <v>4000</v>
      </c>
      <c r="N51" t="s">
        <v>26</v>
      </c>
      <c r="O51" t="s">
        <v>27</v>
      </c>
      <c r="P51" s="1">
        <v>45982</v>
      </c>
      <c r="Q51" s="1">
        <v>46042</v>
      </c>
      <c r="R51" s="2">
        <v>0.3347222222222222</v>
      </c>
      <c r="S51" s="2">
        <v>0.48055555555555557</v>
      </c>
      <c r="T51" t="str" cm="1">
        <f t="array" ref="T51">_xlfn.IFS(H51&gt;=90,"A",H51&gt;=75,"B",H51&gt;=60,"C",H51&lt;60,"D")</f>
        <v>D</v>
      </c>
      <c r="U51" t="str">
        <f t="shared" si="0"/>
        <v>08:02 AM</v>
      </c>
      <c r="V51" t="str">
        <f t="shared" si="3"/>
        <v>On Time</v>
      </c>
      <c r="W51" t="str">
        <f t="shared" si="1"/>
        <v>3 Hours 30 Minutes</v>
      </c>
      <c r="X51" t="str">
        <f t="shared" si="2"/>
        <v>Short Time Login</v>
      </c>
      <c r="AA51" s="35" t="s">
        <v>151</v>
      </c>
      <c r="AB51" s="35" t="s">
        <v>152</v>
      </c>
      <c r="AC51" s="35">
        <v>57</v>
      </c>
      <c r="AD51" s="35">
        <v>78</v>
      </c>
      <c r="AE51" s="35" t="s">
        <v>25</v>
      </c>
      <c r="AF51" s="35">
        <v>4000</v>
      </c>
      <c r="AH51" s="35" t="s">
        <v>27</v>
      </c>
      <c r="AK51" s="34" t="s">
        <v>1377</v>
      </c>
    </row>
    <row r="52" spans="1:37">
      <c r="A52" t="s">
        <v>153</v>
      </c>
      <c r="B52" t="s">
        <v>154</v>
      </c>
      <c r="C52">
        <v>22</v>
      </c>
      <c r="D52" t="s">
        <v>21</v>
      </c>
      <c r="E52" t="s">
        <v>48</v>
      </c>
      <c r="F52" t="s">
        <v>40</v>
      </c>
      <c r="G52" t="s">
        <v>41</v>
      </c>
      <c r="H52">
        <v>43</v>
      </c>
      <c r="I52">
        <v>73</v>
      </c>
      <c r="J52" t="s">
        <v>25</v>
      </c>
      <c r="K52">
        <v>18000</v>
      </c>
      <c r="L52">
        <v>16650</v>
      </c>
      <c r="M52">
        <v>4000</v>
      </c>
      <c r="N52" t="s">
        <v>26</v>
      </c>
      <c r="O52" t="s">
        <v>27</v>
      </c>
      <c r="P52" s="1">
        <v>45734</v>
      </c>
      <c r="Q52" s="1">
        <v>45914</v>
      </c>
      <c r="R52" s="2">
        <v>0.45277777777777778</v>
      </c>
      <c r="S52" s="2">
        <v>0.60486111111111107</v>
      </c>
      <c r="T52" t="str" cm="1">
        <f t="array" ref="T52">_xlfn.IFS(H52&gt;=90,"A",H52&gt;=75,"B",H52&gt;=60,"C",H52&lt;60,"D")</f>
        <v>D</v>
      </c>
      <c r="U52" t="str">
        <f t="shared" si="0"/>
        <v>10:52 AM</v>
      </c>
      <c r="V52" t="str">
        <f t="shared" si="3"/>
        <v>Delayed</v>
      </c>
      <c r="W52" t="str">
        <f t="shared" si="1"/>
        <v>3 Hours 39 Minutes</v>
      </c>
      <c r="X52" t="str">
        <f t="shared" si="2"/>
        <v>Long Time Login</v>
      </c>
      <c r="AA52" s="34" t="s">
        <v>153</v>
      </c>
      <c r="AB52" s="34" t="s">
        <v>154</v>
      </c>
      <c r="AC52" s="34">
        <v>43</v>
      </c>
      <c r="AD52" s="34">
        <v>73</v>
      </c>
      <c r="AE52" s="34" t="s">
        <v>25</v>
      </c>
      <c r="AF52" s="34">
        <v>4000</v>
      </c>
      <c r="AH52" s="34" t="s">
        <v>27</v>
      </c>
      <c r="AK52" s="35" t="s">
        <v>1377</v>
      </c>
    </row>
    <row r="53" spans="1:37">
      <c r="A53" t="s">
        <v>155</v>
      </c>
      <c r="B53" t="s">
        <v>156</v>
      </c>
      <c r="C53">
        <v>22</v>
      </c>
      <c r="D53" t="s">
        <v>21</v>
      </c>
      <c r="E53" t="s">
        <v>67</v>
      </c>
      <c r="F53" t="s">
        <v>88</v>
      </c>
      <c r="G53" t="s">
        <v>89</v>
      </c>
      <c r="H53">
        <v>65</v>
      </c>
      <c r="I53">
        <v>65</v>
      </c>
      <c r="J53" t="s">
        <v>68</v>
      </c>
      <c r="K53">
        <v>18000</v>
      </c>
      <c r="L53">
        <v>19240</v>
      </c>
      <c r="M53">
        <v>2000</v>
      </c>
      <c r="N53" t="s">
        <v>26</v>
      </c>
      <c r="O53" t="s">
        <v>27</v>
      </c>
      <c r="P53" s="1">
        <v>45917</v>
      </c>
      <c r="Q53" s="1">
        <v>45947</v>
      </c>
      <c r="R53" s="2">
        <v>0.35208333333333336</v>
      </c>
      <c r="S53" s="2">
        <v>0.42499999999999999</v>
      </c>
      <c r="T53" t="str" cm="1">
        <f t="array" ref="T53">_xlfn.IFS(H53&gt;=90,"A",H53&gt;=75,"B",H53&gt;=60,"C",H53&lt;60,"D")</f>
        <v>C</v>
      </c>
      <c r="U53" t="str">
        <f t="shared" si="0"/>
        <v>08:27 AM</v>
      </c>
      <c r="V53" t="str">
        <f t="shared" si="3"/>
        <v>On Time</v>
      </c>
      <c r="W53" t="str">
        <f t="shared" si="1"/>
        <v>1 Hours 45 Minutes</v>
      </c>
      <c r="X53" t="str">
        <f t="shared" si="2"/>
        <v>Short Time Login</v>
      </c>
      <c r="AA53" s="35" t="s">
        <v>155</v>
      </c>
      <c r="AB53" s="35" t="s">
        <v>156</v>
      </c>
      <c r="AC53" s="35">
        <v>65</v>
      </c>
      <c r="AD53" s="35">
        <v>65</v>
      </c>
      <c r="AE53" s="35" t="s">
        <v>68</v>
      </c>
      <c r="AF53" s="35">
        <v>2000</v>
      </c>
      <c r="AH53" s="35" t="s">
        <v>27</v>
      </c>
      <c r="AK53" s="34" t="s">
        <v>1376</v>
      </c>
    </row>
    <row r="54" spans="1:37">
      <c r="A54" t="s">
        <v>157</v>
      </c>
      <c r="B54" t="s">
        <v>158</v>
      </c>
      <c r="C54">
        <v>23</v>
      </c>
      <c r="D54" t="s">
        <v>35</v>
      </c>
      <c r="E54" t="s">
        <v>62</v>
      </c>
      <c r="F54" t="s">
        <v>31</v>
      </c>
      <c r="G54" t="s">
        <v>32</v>
      </c>
      <c r="H54">
        <v>94</v>
      </c>
      <c r="I54">
        <v>84</v>
      </c>
      <c r="J54" t="s">
        <v>59</v>
      </c>
      <c r="K54">
        <v>12000</v>
      </c>
      <c r="L54">
        <v>8980</v>
      </c>
      <c r="M54">
        <v>4000</v>
      </c>
      <c r="N54" t="s">
        <v>26</v>
      </c>
      <c r="O54" t="s">
        <v>27</v>
      </c>
      <c r="P54" s="1">
        <v>45722</v>
      </c>
      <c r="Q54" s="1">
        <v>45842</v>
      </c>
      <c r="R54" s="2">
        <v>0.33680555555555558</v>
      </c>
      <c r="S54" s="2">
        <v>0.46666666666666667</v>
      </c>
      <c r="T54" t="str" cm="1">
        <f t="array" ref="T54">_xlfn.IFS(H54&gt;=90,"A",H54&gt;=75,"B",H54&gt;=60,"C",H54&lt;60,"D")</f>
        <v>A</v>
      </c>
      <c r="U54" t="str">
        <f t="shared" si="0"/>
        <v>08:05 AM</v>
      </c>
      <c r="V54" t="str">
        <f t="shared" si="3"/>
        <v>Delayed</v>
      </c>
      <c r="W54" t="str">
        <f t="shared" si="1"/>
        <v>3 Hours 7 Minutes</v>
      </c>
      <c r="X54" t="str">
        <f t="shared" si="2"/>
        <v>Short Time Login</v>
      </c>
      <c r="AA54" s="34" t="s">
        <v>157</v>
      </c>
      <c r="AB54" s="34" t="s">
        <v>158</v>
      </c>
      <c r="AC54" s="34">
        <v>94</v>
      </c>
      <c r="AD54" s="34">
        <v>84</v>
      </c>
      <c r="AE54" s="34" t="s">
        <v>59</v>
      </c>
      <c r="AF54" s="34">
        <v>4000</v>
      </c>
      <c r="AH54" s="34" t="s">
        <v>27</v>
      </c>
      <c r="AK54" s="35" t="s">
        <v>1377</v>
      </c>
    </row>
    <row r="55" spans="1:37">
      <c r="A55" t="s">
        <v>159</v>
      </c>
      <c r="B55" t="s">
        <v>160</v>
      </c>
      <c r="C55">
        <v>18</v>
      </c>
      <c r="D55" t="s">
        <v>21</v>
      </c>
      <c r="E55" t="s">
        <v>22</v>
      </c>
      <c r="F55" t="s">
        <v>40</v>
      </c>
      <c r="G55" t="s">
        <v>41</v>
      </c>
      <c r="H55">
        <v>83</v>
      </c>
      <c r="I55">
        <v>95</v>
      </c>
      <c r="J55" t="s">
        <v>45</v>
      </c>
      <c r="K55">
        <v>18000</v>
      </c>
      <c r="L55">
        <v>20650</v>
      </c>
      <c r="M55">
        <v>0</v>
      </c>
      <c r="N55" t="s">
        <v>11</v>
      </c>
      <c r="O55" t="s">
        <v>27</v>
      </c>
      <c r="P55" s="1">
        <v>45910</v>
      </c>
      <c r="Q55" s="1">
        <v>46000</v>
      </c>
      <c r="R55" s="2">
        <v>0.36041666666666666</v>
      </c>
      <c r="S55" s="2">
        <v>0.51111111111111107</v>
      </c>
      <c r="T55" t="str" cm="1">
        <f t="array" ref="T55">_xlfn.IFS(H55&gt;=90,"A",H55&gt;=75,"B",H55&gt;=60,"C",H55&lt;60,"D")</f>
        <v>B</v>
      </c>
      <c r="U55" t="str">
        <f t="shared" si="0"/>
        <v>08:39 AM</v>
      </c>
      <c r="V55" t="str">
        <f t="shared" si="3"/>
        <v>On Time</v>
      </c>
      <c r="W55" t="str">
        <f t="shared" si="1"/>
        <v>3 Hours 37 Minutes</v>
      </c>
      <c r="X55" t="str">
        <f t="shared" si="2"/>
        <v>Short Time Login</v>
      </c>
      <c r="AA55" s="35" t="s">
        <v>159</v>
      </c>
      <c r="AB55" s="35" t="s">
        <v>160</v>
      </c>
      <c r="AC55" s="35">
        <v>83</v>
      </c>
      <c r="AD55" s="35">
        <v>95</v>
      </c>
      <c r="AE55" s="35" t="s">
        <v>45</v>
      </c>
      <c r="AF55" s="35">
        <v>0</v>
      </c>
      <c r="AH55" s="35" t="s">
        <v>27</v>
      </c>
      <c r="AK55" s="34" t="s">
        <v>1376</v>
      </c>
    </row>
    <row r="56" spans="1:37">
      <c r="A56" t="s">
        <v>161</v>
      </c>
      <c r="B56" t="s">
        <v>162</v>
      </c>
      <c r="C56">
        <v>25</v>
      </c>
      <c r="D56" t="s">
        <v>35</v>
      </c>
      <c r="E56" t="s">
        <v>39</v>
      </c>
      <c r="F56" t="s">
        <v>40</v>
      </c>
      <c r="G56" t="s">
        <v>41</v>
      </c>
      <c r="H56">
        <v>52</v>
      </c>
      <c r="I56">
        <v>77</v>
      </c>
      <c r="J56" t="s">
        <v>25</v>
      </c>
      <c r="K56">
        <v>15000</v>
      </c>
      <c r="L56">
        <v>17700</v>
      </c>
      <c r="M56">
        <v>0</v>
      </c>
      <c r="N56" t="s">
        <v>11</v>
      </c>
      <c r="O56" t="s">
        <v>27</v>
      </c>
      <c r="P56" s="1">
        <v>45745</v>
      </c>
      <c r="Q56" s="1">
        <v>45835</v>
      </c>
      <c r="R56" s="2">
        <v>0.43402777777777779</v>
      </c>
      <c r="S56" s="2">
        <v>0.49722222222222223</v>
      </c>
      <c r="T56" t="str" cm="1">
        <f t="array" ref="T56">_xlfn.IFS(H56&gt;=90,"A",H56&gt;=75,"B",H56&gt;=60,"C",H56&lt;60,"D")</f>
        <v>D</v>
      </c>
      <c r="U56" t="str">
        <f t="shared" si="0"/>
        <v>10:25 AM</v>
      </c>
      <c r="V56" t="str">
        <f t="shared" si="3"/>
        <v>On Time</v>
      </c>
      <c r="W56" t="str">
        <f t="shared" si="1"/>
        <v>1 Hours 31 Minutes</v>
      </c>
      <c r="X56" t="str">
        <f t="shared" si="2"/>
        <v>Long Time Login</v>
      </c>
      <c r="AA56" s="34" t="s">
        <v>161</v>
      </c>
      <c r="AB56" s="34" t="s">
        <v>162</v>
      </c>
      <c r="AC56" s="34">
        <v>52</v>
      </c>
      <c r="AD56" s="34">
        <v>77</v>
      </c>
      <c r="AE56" s="34" t="s">
        <v>25</v>
      </c>
      <c r="AF56" s="34">
        <v>0</v>
      </c>
      <c r="AH56" s="34" t="s">
        <v>27</v>
      </c>
      <c r="AK56" s="35" t="s">
        <v>1377</v>
      </c>
    </row>
    <row r="57" spans="1:37">
      <c r="A57" t="s">
        <v>163</v>
      </c>
      <c r="B57" t="s">
        <v>83</v>
      </c>
      <c r="C57">
        <v>22</v>
      </c>
      <c r="D57" t="s">
        <v>21</v>
      </c>
      <c r="E57" t="s">
        <v>96</v>
      </c>
      <c r="F57" t="s">
        <v>40</v>
      </c>
      <c r="G57" t="s">
        <v>41</v>
      </c>
      <c r="H57">
        <v>46</v>
      </c>
      <c r="I57">
        <v>60</v>
      </c>
      <c r="J57" t="s">
        <v>25</v>
      </c>
      <c r="K57">
        <v>20000</v>
      </c>
      <c r="L57">
        <v>22420</v>
      </c>
      <c r="M57">
        <v>0</v>
      </c>
      <c r="N57" t="s">
        <v>11</v>
      </c>
      <c r="O57" t="s">
        <v>127</v>
      </c>
      <c r="P57" s="1">
        <v>45712</v>
      </c>
      <c r="Q57" s="1">
        <v>45742</v>
      </c>
      <c r="R57" s="2">
        <v>0.36041666666666666</v>
      </c>
      <c r="S57" s="2">
        <v>0.48680555555555555</v>
      </c>
      <c r="T57" t="str" cm="1">
        <f t="array" ref="T57">_xlfn.IFS(H57&gt;=90,"A",H57&gt;=75,"B",H57&gt;=60,"C",H57&lt;60,"D")</f>
        <v>D</v>
      </c>
      <c r="U57" t="str">
        <f t="shared" si="0"/>
        <v>08:39 AM</v>
      </c>
      <c r="V57" t="str">
        <f t="shared" si="3"/>
        <v>On Time</v>
      </c>
      <c r="W57" t="str">
        <f t="shared" si="1"/>
        <v>3 Hours 2 Minutes</v>
      </c>
      <c r="X57" t="str">
        <f t="shared" si="2"/>
        <v>Short Time Login</v>
      </c>
      <c r="AA57" s="35" t="s">
        <v>163</v>
      </c>
      <c r="AB57" s="35" t="s">
        <v>83</v>
      </c>
      <c r="AC57" s="35">
        <v>46</v>
      </c>
      <c r="AD57" s="35">
        <v>60</v>
      </c>
      <c r="AE57" s="35" t="s">
        <v>25</v>
      </c>
      <c r="AF57" s="35">
        <v>0</v>
      </c>
      <c r="AH57" s="35" t="s">
        <v>127</v>
      </c>
      <c r="AK57" s="34" t="s">
        <v>1376</v>
      </c>
    </row>
    <row r="58" spans="1:37">
      <c r="A58" t="s">
        <v>164</v>
      </c>
      <c r="B58" t="s">
        <v>165</v>
      </c>
      <c r="C58">
        <v>22</v>
      </c>
      <c r="D58" t="s">
        <v>35</v>
      </c>
      <c r="E58" t="s">
        <v>122</v>
      </c>
      <c r="F58" t="s">
        <v>23</v>
      </c>
      <c r="G58" t="s">
        <v>24</v>
      </c>
      <c r="H58">
        <v>85</v>
      </c>
      <c r="I58">
        <v>84</v>
      </c>
      <c r="J58" t="s">
        <v>45</v>
      </c>
      <c r="K58">
        <v>10000</v>
      </c>
      <c r="L58">
        <v>7210</v>
      </c>
      <c r="M58">
        <v>4000</v>
      </c>
      <c r="N58" t="s">
        <v>26</v>
      </c>
      <c r="O58" t="s">
        <v>27</v>
      </c>
      <c r="P58" s="1">
        <v>45815</v>
      </c>
      <c r="Q58" s="1">
        <v>45905</v>
      </c>
      <c r="R58" s="2">
        <v>0.35486111111111113</v>
      </c>
      <c r="S58" s="2">
        <v>0.43333333333333335</v>
      </c>
      <c r="T58" t="str" cm="1">
        <f t="array" ref="T58">_xlfn.IFS(H58&gt;=90,"A",H58&gt;=75,"B",H58&gt;=60,"C",H58&lt;60,"D")</f>
        <v>B</v>
      </c>
      <c r="U58" t="str">
        <f t="shared" si="0"/>
        <v>08:31 AM</v>
      </c>
      <c r="V58" t="str">
        <f t="shared" si="3"/>
        <v>On Time</v>
      </c>
      <c r="W58" t="str">
        <f t="shared" si="1"/>
        <v>1 Hours 53 Minutes</v>
      </c>
      <c r="X58" t="str">
        <f t="shared" si="2"/>
        <v>Short Time Login</v>
      </c>
      <c r="AA58" s="34" t="s">
        <v>164</v>
      </c>
      <c r="AB58" s="34" t="s">
        <v>165</v>
      </c>
      <c r="AC58" s="34">
        <v>85</v>
      </c>
      <c r="AD58" s="34">
        <v>84</v>
      </c>
      <c r="AE58" s="34" t="s">
        <v>45</v>
      </c>
      <c r="AF58" s="34">
        <v>4000</v>
      </c>
      <c r="AH58" s="34" t="s">
        <v>27</v>
      </c>
      <c r="AK58" s="35" t="s">
        <v>1376</v>
      </c>
    </row>
    <row r="59" spans="1:37">
      <c r="A59" t="s">
        <v>166</v>
      </c>
      <c r="B59" t="s">
        <v>167</v>
      </c>
      <c r="C59">
        <v>27</v>
      </c>
      <c r="D59" t="s">
        <v>35</v>
      </c>
      <c r="E59" t="s">
        <v>22</v>
      </c>
      <c r="F59" t="s">
        <v>40</v>
      </c>
      <c r="G59" t="s">
        <v>41</v>
      </c>
      <c r="H59">
        <v>73</v>
      </c>
      <c r="I59">
        <v>87</v>
      </c>
      <c r="J59" t="s">
        <v>68</v>
      </c>
      <c r="K59">
        <v>20000</v>
      </c>
      <c r="L59">
        <v>17830</v>
      </c>
      <c r="M59">
        <v>4000</v>
      </c>
      <c r="N59" t="s">
        <v>26</v>
      </c>
      <c r="O59" t="s">
        <v>27</v>
      </c>
      <c r="P59" s="1">
        <v>45701</v>
      </c>
      <c r="Q59" s="1">
        <v>45761</v>
      </c>
      <c r="R59" s="2">
        <v>0.45069444444444445</v>
      </c>
      <c r="S59" s="2">
        <v>0.65138888888888891</v>
      </c>
      <c r="T59" t="str" cm="1">
        <f t="array" ref="T59">_xlfn.IFS(H59&gt;=90,"A",H59&gt;=75,"B",H59&gt;=60,"C",H59&lt;60,"D")</f>
        <v>C</v>
      </c>
      <c r="U59" t="str">
        <f t="shared" si="0"/>
        <v>10:49 AM</v>
      </c>
      <c r="V59" t="str">
        <f t="shared" si="3"/>
        <v>On Time</v>
      </c>
      <c r="W59" t="str">
        <f t="shared" si="1"/>
        <v>4 Hours 49 Minutes</v>
      </c>
      <c r="X59" t="str">
        <f t="shared" si="2"/>
        <v>Long Time Login</v>
      </c>
      <c r="AA59" s="35" t="s">
        <v>166</v>
      </c>
      <c r="AB59" s="35" t="s">
        <v>167</v>
      </c>
      <c r="AC59" s="35">
        <v>73</v>
      </c>
      <c r="AD59" s="35">
        <v>87</v>
      </c>
      <c r="AE59" s="35" t="s">
        <v>68</v>
      </c>
      <c r="AF59" s="35">
        <v>4000</v>
      </c>
      <c r="AH59" s="35" t="s">
        <v>27</v>
      </c>
      <c r="AK59" s="34" t="s">
        <v>1377</v>
      </c>
    </row>
    <row r="60" spans="1:37">
      <c r="A60" t="s">
        <v>168</v>
      </c>
      <c r="B60" t="s">
        <v>169</v>
      </c>
      <c r="C60">
        <v>18</v>
      </c>
      <c r="D60" t="s">
        <v>21</v>
      </c>
      <c r="E60" t="s">
        <v>73</v>
      </c>
      <c r="F60" t="s">
        <v>31</v>
      </c>
      <c r="G60" t="s">
        <v>32</v>
      </c>
      <c r="H60">
        <v>94</v>
      </c>
      <c r="I60">
        <v>93</v>
      </c>
      <c r="J60" t="s">
        <v>59</v>
      </c>
      <c r="K60">
        <v>10000</v>
      </c>
      <c r="L60">
        <v>6030</v>
      </c>
      <c r="M60">
        <v>4000</v>
      </c>
      <c r="N60" t="s">
        <v>26</v>
      </c>
      <c r="O60" t="s">
        <v>27</v>
      </c>
      <c r="P60" s="1">
        <v>45714</v>
      </c>
      <c r="Q60" s="1">
        <v>45744</v>
      </c>
      <c r="R60" s="2">
        <v>0.33402777777777776</v>
      </c>
      <c r="S60" s="2">
        <v>0.49583333333333335</v>
      </c>
      <c r="T60" t="str" cm="1">
        <f t="array" ref="T60">_xlfn.IFS(H60&gt;=90,"A",H60&gt;=75,"B",H60&gt;=60,"C",H60&lt;60,"D")</f>
        <v>A</v>
      </c>
      <c r="U60" t="str">
        <f t="shared" si="0"/>
        <v>08:01 AM</v>
      </c>
      <c r="V60" t="str">
        <f t="shared" si="3"/>
        <v>On Time</v>
      </c>
      <c r="W60" t="str">
        <f t="shared" si="1"/>
        <v>3 Hours 53 Minutes</v>
      </c>
      <c r="X60" t="str">
        <f t="shared" si="2"/>
        <v>Short Time Login</v>
      </c>
      <c r="AA60" s="34" t="s">
        <v>168</v>
      </c>
      <c r="AB60" s="34" t="s">
        <v>169</v>
      </c>
      <c r="AC60" s="34">
        <v>94</v>
      </c>
      <c r="AD60" s="34">
        <v>93</v>
      </c>
      <c r="AE60" s="34" t="s">
        <v>59</v>
      </c>
      <c r="AF60" s="34">
        <v>4000</v>
      </c>
      <c r="AH60" s="34" t="s">
        <v>27</v>
      </c>
      <c r="AK60" s="35" t="s">
        <v>1376</v>
      </c>
    </row>
    <row r="61" spans="1:37">
      <c r="A61" t="s">
        <v>170</v>
      </c>
      <c r="B61" t="s">
        <v>171</v>
      </c>
      <c r="C61">
        <v>22</v>
      </c>
      <c r="D61" t="s">
        <v>21</v>
      </c>
      <c r="E61" t="s">
        <v>39</v>
      </c>
      <c r="F61" t="s">
        <v>57</v>
      </c>
      <c r="G61" t="s">
        <v>58</v>
      </c>
      <c r="H61">
        <v>82</v>
      </c>
      <c r="I61">
        <v>70</v>
      </c>
      <c r="J61" t="s">
        <v>45</v>
      </c>
      <c r="K61">
        <v>18000</v>
      </c>
      <c r="L61">
        <v>17470</v>
      </c>
      <c r="M61">
        <v>2000</v>
      </c>
      <c r="N61" t="s">
        <v>26</v>
      </c>
      <c r="O61" t="s">
        <v>27</v>
      </c>
      <c r="P61" s="1">
        <v>45747</v>
      </c>
      <c r="Q61" s="1">
        <v>45867</v>
      </c>
      <c r="R61" s="2">
        <v>0.3611111111111111</v>
      </c>
      <c r="S61" s="2">
        <v>0.40625</v>
      </c>
      <c r="T61" t="str" cm="1">
        <f t="array" ref="T61">_xlfn.IFS(H61&gt;=90,"A",H61&gt;=75,"B",H61&gt;=60,"C",H61&lt;60,"D")</f>
        <v>B</v>
      </c>
      <c r="U61" t="str">
        <f t="shared" si="0"/>
        <v>08:40 AM</v>
      </c>
      <c r="V61" t="str">
        <f t="shared" si="3"/>
        <v>Delayed</v>
      </c>
      <c r="W61" t="str">
        <f t="shared" si="1"/>
        <v>1 Hours 5 Minutes</v>
      </c>
      <c r="X61" t="str">
        <f t="shared" si="2"/>
        <v>Short Time Login</v>
      </c>
      <c r="AA61" s="35" t="s">
        <v>170</v>
      </c>
      <c r="AB61" s="35" t="s">
        <v>171</v>
      </c>
      <c r="AC61" s="35">
        <v>82</v>
      </c>
      <c r="AD61" s="35">
        <v>70</v>
      </c>
      <c r="AE61" s="35" t="s">
        <v>45</v>
      </c>
      <c r="AF61" s="35">
        <v>2000</v>
      </c>
      <c r="AH61" s="35" t="s">
        <v>27</v>
      </c>
      <c r="AK61" s="34" t="s">
        <v>1376</v>
      </c>
    </row>
    <row r="62" spans="1:37">
      <c r="A62" t="s">
        <v>172</v>
      </c>
      <c r="B62" t="s">
        <v>173</v>
      </c>
      <c r="C62">
        <v>25</v>
      </c>
      <c r="D62" t="s">
        <v>21</v>
      </c>
      <c r="E62" t="s">
        <v>48</v>
      </c>
      <c r="F62" t="s">
        <v>88</v>
      </c>
      <c r="G62" t="s">
        <v>89</v>
      </c>
      <c r="H62">
        <v>77</v>
      </c>
      <c r="I62">
        <v>71</v>
      </c>
      <c r="J62" t="s">
        <v>45</v>
      </c>
      <c r="K62">
        <v>18000</v>
      </c>
      <c r="L62">
        <v>20650</v>
      </c>
      <c r="M62">
        <v>0</v>
      </c>
      <c r="N62" t="s">
        <v>11</v>
      </c>
      <c r="O62" t="s">
        <v>27</v>
      </c>
      <c r="P62" s="1">
        <v>45842</v>
      </c>
      <c r="Q62" s="1">
        <v>45872</v>
      </c>
      <c r="R62" s="2">
        <v>0.39930555555555558</v>
      </c>
      <c r="S62" s="2">
        <v>0.58333333333333337</v>
      </c>
      <c r="T62" t="str" cm="1">
        <f t="array" ref="T62">_xlfn.IFS(H62&gt;=90,"A",H62&gt;=75,"B",H62&gt;=60,"C",H62&lt;60,"D")</f>
        <v>B</v>
      </c>
      <c r="U62" t="str">
        <f t="shared" si="0"/>
        <v>09:35 AM</v>
      </c>
      <c r="V62" t="str">
        <f t="shared" si="3"/>
        <v>On Time</v>
      </c>
      <c r="W62" t="str">
        <f t="shared" si="1"/>
        <v>4 Hours 25 Minutes</v>
      </c>
      <c r="X62" t="str">
        <f t="shared" si="2"/>
        <v>Short Time Login</v>
      </c>
      <c r="AA62" s="34" t="s">
        <v>172</v>
      </c>
      <c r="AB62" s="34" t="s">
        <v>173</v>
      </c>
      <c r="AC62" s="34">
        <v>77</v>
      </c>
      <c r="AD62" s="34">
        <v>71</v>
      </c>
      <c r="AE62" s="34" t="s">
        <v>45</v>
      </c>
      <c r="AF62" s="34">
        <v>0</v>
      </c>
      <c r="AH62" s="34" t="s">
        <v>27</v>
      </c>
      <c r="AK62" s="35" t="s">
        <v>1377</v>
      </c>
    </row>
    <row r="63" spans="1:37">
      <c r="A63" t="s">
        <v>174</v>
      </c>
      <c r="B63" t="s">
        <v>175</v>
      </c>
      <c r="C63">
        <v>26</v>
      </c>
      <c r="D63" t="s">
        <v>21</v>
      </c>
      <c r="E63" t="s">
        <v>96</v>
      </c>
      <c r="F63" t="s">
        <v>31</v>
      </c>
      <c r="G63" t="s">
        <v>32</v>
      </c>
      <c r="H63">
        <v>56</v>
      </c>
      <c r="I63">
        <v>69</v>
      </c>
      <c r="J63" t="s">
        <v>25</v>
      </c>
      <c r="K63">
        <v>12000</v>
      </c>
      <c r="L63">
        <v>8390</v>
      </c>
      <c r="M63">
        <v>4000</v>
      </c>
      <c r="N63" t="s">
        <v>26</v>
      </c>
      <c r="O63" t="s">
        <v>127</v>
      </c>
      <c r="P63" s="1">
        <v>45845</v>
      </c>
      <c r="Q63" s="1">
        <v>45935</v>
      </c>
      <c r="R63" s="2">
        <v>0.42152777777777778</v>
      </c>
      <c r="S63" s="2">
        <v>0.53194444444444444</v>
      </c>
      <c r="T63" t="str" cm="1">
        <f t="array" ref="T63">_xlfn.IFS(H63&gt;=90,"A",H63&gt;=75,"B",H63&gt;=60,"C",H63&lt;60,"D")</f>
        <v>D</v>
      </c>
      <c r="U63" t="str">
        <f t="shared" si="0"/>
        <v>10:07 AM</v>
      </c>
      <c r="V63" t="str">
        <f t="shared" si="3"/>
        <v>On Time</v>
      </c>
      <c r="W63" t="str">
        <f t="shared" si="1"/>
        <v>2 Hours 39 Minutes</v>
      </c>
      <c r="X63" t="str">
        <f t="shared" si="2"/>
        <v>Long Time Login</v>
      </c>
      <c r="AA63" s="35" t="s">
        <v>174</v>
      </c>
      <c r="AB63" s="35" t="s">
        <v>175</v>
      </c>
      <c r="AC63" s="35">
        <v>56</v>
      </c>
      <c r="AD63" s="35">
        <v>69</v>
      </c>
      <c r="AE63" s="35" t="s">
        <v>25</v>
      </c>
      <c r="AF63" s="35">
        <v>4000</v>
      </c>
      <c r="AH63" s="35" t="s">
        <v>127</v>
      </c>
      <c r="AK63" s="34" t="s">
        <v>1376</v>
      </c>
    </row>
    <row r="64" spans="1:37">
      <c r="A64" t="s">
        <v>176</v>
      </c>
      <c r="B64" t="s">
        <v>177</v>
      </c>
      <c r="C64">
        <v>18</v>
      </c>
      <c r="D64" t="s">
        <v>35</v>
      </c>
      <c r="E64" t="s">
        <v>96</v>
      </c>
      <c r="F64" t="s">
        <v>40</v>
      </c>
      <c r="G64" t="s">
        <v>41</v>
      </c>
      <c r="H64">
        <v>67</v>
      </c>
      <c r="I64">
        <v>90</v>
      </c>
      <c r="J64" t="s">
        <v>68</v>
      </c>
      <c r="K64">
        <v>12000</v>
      </c>
      <c r="L64">
        <v>12390</v>
      </c>
      <c r="M64">
        <v>0</v>
      </c>
      <c r="N64" t="s">
        <v>11</v>
      </c>
      <c r="O64" t="s">
        <v>27</v>
      </c>
      <c r="P64" s="1">
        <v>45778</v>
      </c>
      <c r="Q64" s="1">
        <v>45808</v>
      </c>
      <c r="R64" s="2">
        <v>0.40972222222222221</v>
      </c>
      <c r="S64" s="2">
        <v>0.50208333333333333</v>
      </c>
      <c r="T64" t="str" cm="1">
        <f t="array" ref="T64">_xlfn.IFS(H64&gt;=90,"A",H64&gt;=75,"B",H64&gt;=60,"C",H64&lt;60,"D")</f>
        <v>C</v>
      </c>
      <c r="U64" t="str">
        <f t="shared" si="0"/>
        <v>09:50 AM</v>
      </c>
      <c r="V64" t="str">
        <f t="shared" si="3"/>
        <v>On Time</v>
      </c>
      <c r="W64" t="str">
        <f t="shared" si="1"/>
        <v>2 Hours 13 Minutes</v>
      </c>
      <c r="X64" t="str">
        <f t="shared" si="2"/>
        <v>Short Time Login</v>
      </c>
      <c r="AA64" s="34" t="s">
        <v>176</v>
      </c>
      <c r="AB64" s="34" t="s">
        <v>177</v>
      </c>
      <c r="AC64" s="34">
        <v>67</v>
      </c>
      <c r="AD64" s="34">
        <v>90</v>
      </c>
      <c r="AE64" s="34" t="s">
        <v>68</v>
      </c>
      <c r="AF64" s="34">
        <v>0</v>
      </c>
      <c r="AH64" s="34" t="s">
        <v>27</v>
      </c>
      <c r="AK64" s="35" t="s">
        <v>1377</v>
      </c>
    </row>
    <row r="65" spans="1:37">
      <c r="A65" t="s">
        <v>178</v>
      </c>
      <c r="B65" t="s">
        <v>179</v>
      </c>
      <c r="C65">
        <v>27</v>
      </c>
      <c r="D65" t="s">
        <v>35</v>
      </c>
      <c r="E65" t="s">
        <v>67</v>
      </c>
      <c r="F65" t="s">
        <v>57</v>
      </c>
      <c r="G65" t="s">
        <v>58</v>
      </c>
      <c r="H65">
        <v>51</v>
      </c>
      <c r="I65">
        <v>97</v>
      </c>
      <c r="J65" t="s">
        <v>25</v>
      </c>
      <c r="K65">
        <v>10000</v>
      </c>
      <c r="L65">
        <v>6030</v>
      </c>
      <c r="M65">
        <v>4000</v>
      </c>
      <c r="N65" t="s">
        <v>26</v>
      </c>
      <c r="O65" t="s">
        <v>27</v>
      </c>
      <c r="P65" s="1">
        <v>45978</v>
      </c>
      <c r="Q65" s="1">
        <v>46068</v>
      </c>
      <c r="R65" s="2">
        <v>0.33680555555555558</v>
      </c>
      <c r="S65" s="2">
        <v>0.39374999999999999</v>
      </c>
      <c r="T65" t="str" cm="1">
        <f t="array" ref="T65">_xlfn.IFS(H65&gt;=90,"A",H65&gt;=75,"B",H65&gt;=60,"C",H65&lt;60,"D")</f>
        <v>D</v>
      </c>
      <c r="U65" t="str">
        <f t="shared" si="0"/>
        <v>08:05 AM</v>
      </c>
      <c r="V65" t="str">
        <f t="shared" si="3"/>
        <v>On Time</v>
      </c>
      <c r="W65" t="str">
        <f t="shared" si="1"/>
        <v>1 Hours 22 Minutes</v>
      </c>
      <c r="X65" t="str">
        <f t="shared" si="2"/>
        <v>Short Time Login</v>
      </c>
      <c r="AA65" s="35" t="s">
        <v>178</v>
      </c>
      <c r="AB65" s="35" t="s">
        <v>179</v>
      </c>
      <c r="AC65" s="35">
        <v>51</v>
      </c>
      <c r="AD65" s="35">
        <v>97</v>
      </c>
      <c r="AE65" s="35" t="s">
        <v>25</v>
      </c>
      <c r="AF65" s="35">
        <v>4000</v>
      </c>
      <c r="AH65" s="35" t="s">
        <v>27</v>
      </c>
      <c r="AK65" s="34" t="s">
        <v>1377</v>
      </c>
    </row>
    <row r="66" spans="1:37">
      <c r="A66" t="s">
        <v>180</v>
      </c>
      <c r="B66" t="s">
        <v>181</v>
      </c>
      <c r="C66">
        <v>22</v>
      </c>
      <c r="D66" t="s">
        <v>35</v>
      </c>
      <c r="E66" t="s">
        <v>39</v>
      </c>
      <c r="F66" t="s">
        <v>63</v>
      </c>
      <c r="G66" t="s">
        <v>64</v>
      </c>
      <c r="H66">
        <v>81</v>
      </c>
      <c r="I66">
        <v>74</v>
      </c>
      <c r="J66" t="s">
        <v>45</v>
      </c>
      <c r="K66">
        <v>15000</v>
      </c>
      <c r="L66">
        <v>11930</v>
      </c>
      <c r="M66">
        <v>4000</v>
      </c>
      <c r="N66" t="s">
        <v>26</v>
      </c>
      <c r="O66" t="s">
        <v>27</v>
      </c>
      <c r="P66" s="1">
        <v>45935</v>
      </c>
      <c r="Q66" s="1">
        <v>46025</v>
      </c>
      <c r="R66" s="2">
        <v>0.36388888888888887</v>
      </c>
      <c r="S66" s="2">
        <v>0.55833333333333335</v>
      </c>
      <c r="T66" t="str" cm="1">
        <f t="array" ref="T66">_xlfn.IFS(H66&gt;=90,"A",H66&gt;=75,"B",H66&gt;=60,"C",H66&lt;60,"D")</f>
        <v>B</v>
      </c>
      <c r="U66" t="str">
        <f t="shared" ref="U66:U129" si="4">TEXT(R66,"hh:mm AM/PM")</f>
        <v>08:44 AM</v>
      </c>
      <c r="V66" t="str">
        <f t="shared" ref="V66:V129" si="5">IF(_xlfn.DAYS(Q66,P66)&lt;=90,"On Time","Delayed")</f>
        <v>On Time</v>
      </c>
      <c r="W66" t="str">
        <f t="shared" ref="W66:W129" si="6">HOUR(S66-R66)&amp;" Hours "&amp;MINUTE(S66-R66)&amp;" Minutes"</f>
        <v>4 Hours 40 Minutes</v>
      </c>
      <c r="X66" t="str">
        <f t="shared" ref="X66:X129" si="7">IF(R66&gt;TIME(10,0,0),"Long Time Login","Short Time Login")</f>
        <v>Short Time Login</v>
      </c>
      <c r="AA66" s="34" t="s">
        <v>180</v>
      </c>
      <c r="AB66" s="34" t="s">
        <v>181</v>
      </c>
      <c r="AC66" s="34">
        <v>81</v>
      </c>
      <c r="AD66" s="34">
        <v>74</v>
      </c>
      <c r="AE66" s="34" t="s">
        <v>45</v>
      </c>
      <c r="AF66" s="34">
        <v>4000</v>
      </c>
      <c r="AH66" s="34" t="s">
        <v>27</v>
      </c>
      <c r="AK66" s="35" t="s">
        <v>1376</v>
      </c>
    </row>
    <row r="67" spans="1:37">
      <c r="A67" t="s">
        <v>182</v>
      </c>
      <c r="B67" t="s">
        <v>183</v>
      </c>
      <c r="C67">
        <v>23</v>
      </c>
      <c r="D67" t="s">
        <v>35</v>
      </c>
      <c r="E67" t="s">
        <v>48</v>
      </c>
      <c r="F67" t="s">
        <v>49</v>
      </c>
      <c r="G67" t="s">
        <v>50</v>
      </c>
      <c r="H67">
        <v>58</v>
      </c>
      <c r="I67">
        <v>65</v>
      </c>
      <c r="J67" t="s">
        <v>25</v>
      </c>
      <c r="K67">
        <v>18000</v>
      </c>
      <c r="L67">
        <v>17470</v>
      </c>
      <c r="M67">
        <v>2000</v>
      </c>
      <c r="N67" t="s">
        <v>26</v>
      </c>
      <c r="O67" t="s">
        <v>27</v>
      </c>
      <c r="P67" s="1">
        <v>45998</v>
      </c>
      <c r="Q67" s="1">
        <v>46118</v>
      </c>
      <c r="R67" s="2">
        <v>0.40486111111111112</v>
      </c>
      <c r="S67" s="2">
        <v>0.61319444444444449</v>
      </c>
      <c r="T67" t="str" cm="1">
        <f t="array" ref="T67">_xlfn.IFS(H67&gt;=90,"A",H67&gt;=75,"B",H67&gt;=60,"C",H67&lt;60,"D")</f>
        <v>D</v>
      </c>
      <c r="U67" t="str">
        <f t="shared" si="4"/>
        <v>09:43 AM</v>
      </c>
      <c r="V67" t="str">
        <f t="shared" si="5"/>
        <v>Delayed</v>
      </c>
      <c r="W67" t="str">
        <f t="shared" si="6"/>
        <v>5 Hours 0 Minutes</v>
      </c>
      <c r="X67" t="str">
        <f t="shared" si="7"/>
        <v>Short Time Login</v>
      </c>
      <c r="AA67" s="35" t="s">
        <v>182</v>
      </c>
      <c r="AB67" s="35" t="s">
        <v>183</v>
      </c>
      <c r="AC67" s="35">
        <v>58</v>
      </c>
      <c r="AD67" s="35">
        <v>65</v>
      </c>
      <c r="AE67" s="35" t="s">
        <v>25</v>
      </c>
      <c r="AF67" s="35">
        <v>2000</v>
      </c>
      <c r="AH67" s="35" t="s">
        <v>27</v>
      </c>
      <c r="AK67" s="34" t="s">
        <v>1376</v>
      </c>
    </row>
    <row r="68" spans="1:37">
      <c r="A68" t="s">
        <v>184</v>
      </c>
      <c r="B68" t="s">
        <v>185</v>
      </c>
      <c r="C68">
        <v>20</v>
      </c>
      <c r="D68" t="s">
        <v>35</v>
      </c>
      <c r="E68" t="s">
        <v>44</v>
      </c>
      <c r="F68" t="s">
        <v>88</v>
      </c>
      <c r="G68" t="s">
        <v>89</v>
      </c>
      <c r="H68">
        <v>49</v>
      </c>
      <c r="I68">
        <v>90</v>
      </c>
      <c r="J68" t="s">
        <v>25</v>
      </c>
      <c r="K68">
        <v>20000</v>
      </c>
      <c r="L68">
        <v>18420</v>
      </c>
      <c r="M68">
        <v>4000</v>
      </c>
      <c r="N68" t="s">
        <v>26</v>
      </c>
      <c r="O68" t="s">
        <v>27</v>
      </c>
      <c r="P68" s="1">
        <v>45886</v>
      </c>
      <c r="Q68" s="1">
        <v>45976</v>
      </c>
      <c r="R68" s="2">
        <v>0.41597222222222224</v>
      </c>
      <c r="S68" s="2">
        <v>0.53263888888888888</v>
      </c>
      <c r="T68" t="str" cm="1">
        <f t="array" ref="T68">_xlfn.IFS(H68&gt;=90,"A",H68&gt;=75,"B",H68&gt;=60,"C",H68&lt;60,"D")</f>
        <v>D</v>
      </c>
      <c r="U68" t="str">
        <f t="shared" si="4"/>
        <v>09:59 AM</v>
      </c>
      <c r="V68" t="str">
        <f t="shared" si="5"/>
        <v>On Time</v>
      </c>
      <c r="W68" t="str">
        <f t="shared" si="6"/>
        <v>2 Hours 48 Minutes</v>
      </c>
      <c r="X68" t="str">
        <f t="shared" si="7"/>
        <v>Short Time Login</v>
      </c>
      <c r="AA68" s="34" t="s">
        <v>184</v>
      </c>
      <c r="AB68" s="34" t="s">
        <v>185</v>
      </c>
      <c r="AC68" s="34">
        <v>49</v>
      </c>
      <c r="AD68" s="34">
        <v>90</v>
      </c>
      <c r="AE68" s="34" t="s">
        <v>25</v>
      </c>
      <c r="AF68" s="34">
        <v>4000</v>
      </c>
      <c r="AH68" s="34" t="s">
        <v>27</v>
      </c>
      <c r="AK68" s="35" t="s">
        <v>1377</v>
      </c>
    </row>
    <row r="69" spans="1:37">
      <c r="A69" t="s">
        <v>186</v>
      </c>
      <c r="B69" t="s">
        <v>187</v>
      </c>
      <c r="C69">
        <v>18</v>
      </c>
      <c r="D69" t="s">
        <v>35</v>
      </c>
      <c r="E69" t="s">
        <v>62</v>
      </c>
      <c r="F69" t="s">
        <v>40</v>
      </c>
      <c r="G69" t="s">
        <v>41</v>
      </c>
      <c r="H69">
        <v>36</v>
      </c>
      <c r="I69">
        <v>60</v>
      </c>
      <c r="J69" t="s">
        <v>25</v>
      </c>
      <c r="K69">
        <v>15000</v>
      </c>
      <c r="L69">
        <v>13110</v>
      </c>
      <c r="M69">
        <v>4000</v>
      </c>
      <c r="N69" t="s">
        <v>26</v>
      </c>
      <c r="O69" t="s">
        <v>27</v>
      </c>
      <c r="P69" s="1">
        <v>45776</v>
      </c>
      <c r="Q69" s="1">
        <v>45896</v>
      </c>
      <c r="R69" s="2">
        <v>0.42430555555555555</v>
      </c>
      <c r="S69" s="2">
        <v>0.47708333333333336</v>
      </c>
      <c r="T69" t="str" cm="1">
        <f t="array" ref="T69">_xlfn.IFS(H69&gt;=90,"A",H69&gt;=75,"B",H69&gt;=60,"C",H69&lt;60,"D")</f>
        <v>D</v>
      </c>
      <c r="U69" t="str">
        <f t="shared" si="4"/>
        <v>10:11 AM</v>
      </c>
      <c r="V69" t="str">
        <f t="shared" si="5"/>
        <v>Delayed</v>
      </c>
      <c r="W69" t="str">
        <f t="shared" si="6"/>
        <v>1 Hours 16 Minutes</v>
      </c>
      <c r="X69" t="str">
        <f t="shared" si="7"/>
        <v>Long Time Login</v>
      </c>
      <c r="AA69" s="35" t="s">
        <v>186</v>
      </c>
      <c r="AB69" s="35" t="s">
        <v>187</v>
      </c>
      <c r="AC69" s="35">
        <v>36</v>
      </c>
      <c r="AD69" s="35">
        <v>60</v>
      </c>
      <c r="AE69" s="35" t="s">
        <v>25</v>
      </c>
      <c r="AF69" s="35">
        <v>4000</v>
      </c>
      <c r="AH69" s="35" t="s">
        <v>27</v>
      </c>
      <c r="AK69" s="34" t="s">
        <v>1377</v>
      </c>
    </row>
    <row r="70" spans="1:37">
      <c r="A70" t="s">
        <v>188</v>
      </c>
      <c r="B70" t="s">
        <v>140</v>
      </c>
      <c r="C70">
        <v>18</v>
      </c>
      <c r="D70" t="s">
        <v>35</v>
      </c>
      <c r="E70" t="s">
        <v>22</v>
      </c>
      <c r="F70" t="s">
        <v>53</v>
      </c>
      <c r="G70" t="s">
        <v>54</v>
      </c>
      <c r="H70">
        <v>36</v>
      </c>
      <c r="I70">
        <v>86</v>
      </c>
      <c r="J70" t="s">
        <v>25</v>
      </c>
      <c r="K70">
        <v>12000</v>
      </c>
      <c r="L70">
        <v>10160</v>
      </c>
      <c r="M70">
        <v>4000</v>
      </c>
      <c r="N70" t="s">
        <v>26</v>
      </c>
      <c r="O70" t="s">
        <v>27</v>
      </c>
      <c r="P70" s="1">
        <v>45835</v>
      </c>
      <c r="Q70" s="1">
        <v>45865</v>
      </c>
      <c r="R70" s="2">
        <v>0.34027777777777779</v>
      </c>
      <c r="S70" s="2">
        <v>0.38819444444444445</v>
      </c>
      <c r="T70" t="str" cm="1">
        <f t="array" ref="T70">_xlfn.IFS(H70&gt;=90,"A",H70&gt;=75,"B",H70&gt;=60,"C",H70&lt;60,"D")</f>
        <v>D</v>
      </c>
      <c r="U70" t="str">
        <f t="shared" si="4"/>
        <v>08:10 AM</v>
      </c>
      <c r="V70" t="str">
        <f t="shared" si="5"/>
        <v>On Time</v>
      </c>
      <c r="W70" t="str">
        <f t="shared" si="6"/>
        <v>1 Hours 9 Minutes</v>
      </c>
      <c r="X70" t="str">
        <f t="shared" si="7"/>
        <v>Short Time Login</v>
      </c>
      <c r="AA70" s="34" t="s">
        <v>188</v>
      </c>
      <c r="AB70" s="34" t="s">
        <v>140</v>
      </c>
      <c r="AC70" s="34">
        <v>36</v>
      </c>
      <c r="AD70" s="34">
        <v>86</v>
      </c>
      <c r="AE70" s="34" t="s">
        <v>25</v>
      </c>
      <c r="AF70" s="34">
        <v>4000</v>
      </c>
      <c r="AH70" s="34" t="s">
        <v>27</v>
      </c>
      <c r="AK70" s="35" t="s">
        <v>1376</v>
      </c>
    </row>
    <row r="71" spans="1:37">
      <c r="A71" t="s">
        <v>189</v>
      </c>
      <c r="B71" t="s">
        <v>190</v>
      </c>
      <c r="C71">
        <v>27</v>
      </c>
      <c r="D71" t="s">
        <v>21</v>
      </c>
      <c r="E71" t="s">
        <v>96</v>
      </c>
      <c r="F71" t="s">
        <v>49</v>
      </c>
      <c r="G71" t="s">
        <v>50</v>
      </c>
      <c r="H71">
        <v>37</v>
      </c>
      <c r="I71">
        <v>76</v>
      </c>
      <c r="J71" t="s">
        <v>25</v>
      </c>
      <c r="K71">
        <v>15000</v>
      </c>
      <c r="L71">
        <v>16520</v>
      </c>
      <c r="M71">
        <v>0</v>
      </c>
      <c r="N71" t="s">
        <v>11</v>
      </c>
      <c r="O71" t="s">
        <v>27</v>
      </c>
      <c r="P71" s="1">
        <v>45761</v>
      </c>
      <c r="Q71" s="1">
        <v>45791</v>
      </c>
      <c r="R71" s="2">
        <v>0.42222222222222222</v>
      </c>
      <c r="S71" s="2">
        <v>0.52361111111111114</v>
      </c>
      <c r="T71" t="str" cm="1">
        <f t="array" ref="T71">_xlfn.IFS(H71&gt;=90,"A",H71&gt;=75,"B",H71&gt;=60,"C",H71&lt;60,"D")</f>
        <v>D</v>
      </c>
      <c r="U71" t="str">
        <f t="shared" si="4"/>
        <v>10:08 AM</v>
      </c>
      <c r="V71" t="str">
        <f t="shared" si="5"/>
        <v>On Time</v>
      </c>
      <c r="W71" t="str">
        <f t="shared" si="6"/>
        <v>2 Hours 26 Minutes</v>
      </c>
      <c r="X71" t="str">
        <f t="shared" si="7"/>
        <v>Long Time Login</v>
      </c>
      <c r="AA71" s="35" t="s">
        <v>189</v>
      </c>
      <c r="AB71" s="35" t="s">
        <v>190</v>
      </c>
      <c r="AC71" s="35">
        <v>37</v>
      </c>
      <c r="AD71" s="35">
        <v>76</v>
      </c>
      <c r="AE71" s="35" t="s">
        <v>25</v>
      </c>
      <c r="AF71" s="35">
        <v>0</v>
      </c>
      <c r="AH71" s="35" t="s">
        <v>27</v>
      </c>
      <c r="AK71" s="34" t="s">
        <v>1377</v>
      </c>
    </row>
    <row r="72" spans="1:37">
      <c r="A72" t="s">
        <v>191</v>
      </c>
      <c r="B72" t="s">
        <v>95</v>
      </c>
      <c r="C72">
        <v>25</v>
      </c>
      <c r="D72" t="s">
        <v>35</v>
      </c>
      <c r="E72" t="s">
        <v>113</v>
      </c>
      <c r="F72" t="s">
        <v>40</v>
      </c>
      <c r="G72" t="s">
        <v>41</v>
      </c>
      <c r="H72">
        <v>77</v>
      </c>
      <c r="I72">
        <v>80</v>
      </c>
      <c r="J72" t="s">
        <v>45</v>
      </c>
      <c r="K72">
        <v>15000</v>
      </c>
      <c r="L72">
        <v>15700</v>
      </c>
      <c r="M72">
        <v>2000</v>
      </c>
      <c r="N72" t="s">
        <v>26</v>
      </c>
      <c r="O72" t="s">
        <v>27</v>
      </c>
      <c r="P72" s="1">
        <v>45980</v>
      </c>
      <c r="Q72" s="1">
        <v>46160</v>
      </c>
      <c r="R72" s="2">
        <v>0.45208333333333334</v>
      </c>
      <c r="S72" s="2">
        <v>0.52500000000000002</v>
      </c>
      <c r="T72" t="str" cm="1">
        <f t="array" ref="T72">_xlfn.IFS(H72&gt;=90,"A",H72&gt;=75,"B",H72&gt;=60,"C",H72&lt;60,"D")</f>
        <v>B</v>
      </c>
      <c r="U72" t="str">
        <f t="shared" si="4"/>
        <v>10:51 AM</v>
      </c>
      <c r="V72" t="str">
        <f t="shared" si="5"/>
        <v>Delayed</v>
      </c>
      <c r="W72" t="str">
        <f t="shared" si="6"/>
        <v>1 Hours 45 Minutes</v>
      </c>
      <c r="X72" t="str">
        <f t="shared" si="7"/>
        <v>Long Time Login</v>
      </c>
      <c r="AA72" s="34" t="s">
        <v>191</v>
      </c>
      <c r="AB72" s="34" t="s">
        <v>95</v>
      </c>
      <c r="AC72" s="34">
        <v>77</v>
      </c>
      <c r="AD72" s="34">
        <v>80</v>
      </c>
      <c r="AE72" s="34" t="s">
        <v>45</v>
      </c>
      <c r="AF72" s="34">
        <v>2000</v>
      </c>
      <c r="AH72" s="34" t="s">
        <v>27</v>
      </c>
      <c r="AK72" s="35" t="s">
        <v>1376</v>
      </c>
    </row>
    <row r="73" spans="1:37">
      <c r="A73" t="s">
        <v>192</v>
      </c>
      <c r="B73" t="s">
        <v>119</v>
      </c>
      <c r="C73">
        <v>22</v>
      </c>
      <c r="D73" t="s">
        <v>35</v>
      </c>
      <c r="E73" t="s">
        <v>73</v>
      </c>
      <c r="F73" t="s">
        <v>49</v>
      </c>
      <c r="G73" t="s">
        <v>50</v>
      </c>
      <c r="H73">
        <v>97</v>
      </c>
      <c r="I73">
        <v>65</v>
      </c>
      <c r="J73" t="s">
        <v>59</v>
      </c>
      <c r="K73">
        <v>12000</v>
      </c>
      <c r="L73">
        <v>13570</v>
      </c>
      <c r="M73">
        <v>0</v>
      </c>
      <c r="N73" t="s">
        <v>11</v>
      </c>
      <c r="O73" t="s">
        <v>27</v>
      </c>
      <c r="P73" s="1">
        <v>45910</v>
      </c>
      <c r="Q73" s="1">
        <v>46030</v>
      </c>
      <c r="R73" s="2">
        <v>0.37847222222222221</v>
      </c>
      <c r="S73" s="2">
        <v>0.53194444444444444</v>
      </c>
      <c r="T73" t="str" cm="1">
        <f t="array" ref="T73">_xlfn.IFS(H73&gt;=90,"A",H73&gt;=75,"B",H73&gt;=60,"C",H73&lt;60,"D")</f>
        <v>A</v>
      </c>
      <c r="U73" t="str">
        <f t="shared" si="4"/>
        <v>09:05 AM</v>
      </c>
      <c r="V73" t="str">
        <f t="shared" si="5"/>
        <v>Delayed</v>
      </c>
      <c r="W73" t="str">
        <f t="shared" si="6"/>
        <v>3 Hours 41 Minutes</v>
      </c>
      <c r="X73" t="str">
        <f t="shared" si="7"/>
        <v>Short Time Login</v>
      </c>
      <c r="AA73" s="35" t="s">
        <v>192</v>
      </c>
      <c r="AB73" s="35" t="s">
        <v>119</v>
      </c>
      <c r="AC73" s="35">
        <v>97</v>
      </c>
      <c r="AD73" s="35">
        <v>65</v>
      </c>
      <c r="AE73" s="35" t="s">
        <v>59</v>
      </c>
      <c r="AF73" s="35">
        <v>0</v>
      </c>
      <c r="AH73" s="35" t="s">
        <v>27</v>
      </c>
      <c r="AK73" s="34" t="s">
        <v>1376</v>
      </c>
    </row>
    <row r="74" spans="1:37">
      <c r="A74" t="s">
        <v>193</v>
      </c>
      <c r="B74" t="s">
        <v>194</v>
      </c>
      <c r="C74">
        <v>20</v>
      </c>
      <c r="D74" t="s">
        <v>21</v>
      </c>
      <c r="E74" t="s">
        <v>39</v>
      </c>
      <c r="F74" t="s">
        <v>88</v>
      </c>
      <c r="G74" t="s">
        <v>89</v>
      </c>
      <c r="H74">
        <v>59</v>
      </c>
      <c r="I74">
        <v>90</v>
      </c>
      <c r="J74" t="s">
        <v>25</v>
      </c>
      <c r="K74">
        <v>12000</v>
      </c>
      <c r="L74">
        <v>12160</v>
      </c>
      <c r="M74">
        <v>2000</v>
      </c>
      <c r="N74" t="s">
        <v>26</v>
      </c>
      <c r="O74" t="s">
        <v>27</v>
      </c>
      <c r="P74" s="1">
        <v>45976</v>
      </c>
      <c r="Q74" s="1">
        <v>46006</v>
      </c>
      <c r="R74" s="2">
        <v>0.38541666666666669</v>
      </c>
      <c r="S74" s="2">
        <v>0.49861111111111112</v>
      </c>
      <c r="T74" t="str" cm="1">
        <f t="array" ref="T74">_xlfn.IFS(H74&gt;=90,"A",H74&gt;=75,"B",H74&gt;=60,"C",H74&lt;60,"D")</f>
        <v>D</v>
      </c>
      <c r="U74" t="str">
        <f t="shared" si="4"/>
        <v>09:15 AM</v>
      </c>
      <c r="V74" t="str">
        <f t="shared" si="5"/>
        <v>On Time</v>
      </c>
      <c r="W74" t="str">
        <f t="shared" si="6"/>
        <v>2 Hours 43 Minutes</v>
      </c>
      <c r="X74" t="str">
        <f t="shared" si="7"/>
        <v>Short Time Login</v>
      </c>
      <c r="AA74" s="34" t="s">
        <v>193</v>
      </c>
      <c r="AB74" s="34" t="s">
        <v>194</v>
      </c>
      <c r="AC74" s="34">
        <v>59</v>
      </c>
      <c r="AD74" s="34">
        <v>90</v>
      </c>
      <c r="AE74" s="34" t="s">
        <v>25</v>
      </c>
      <c r="AF74" s="34">
        <v>2000</v>
      </c>
      <c r="AH74" s="34" t="s">
        <v>27</v>
      </c>
      <c r="AK74" s="35" t="s">
        <v>1377</v>
      </c>
    </row>
    <row r="75" spans="1:37">
      <c r="A75" t="s">
        <v>195</v>
      </c>
      <c r="B75" t="s">
        <v>134</v>
      </c>
      <c r="C75">
        <v>25</v>
      </c>
      <c r="D75" t="s">
        <v>35</v>
      </c>
      <c r="E75" t="s">
        <v>96</v>
      </c>
      <c r="F75" t="s">
        <v>31</v>
      </c>
      <c r="G75" t="s">
        <v>32</v>
      </c>
      <c r="H75">
        <v>92</v>
      </c>
      <c r="I75">
        <v>78</v>
      </c>
      <c r="J75" t="s">
        <v>59</v>
      </c>
      <c r="K75">
        <v>10000</v>
      </c>
      <c r="L75">
        <v>11800</v>
      </c>
      <c r="M75">
        <v>0</v>
      </c>
      <c r="N75" t="s">
        <v>11</v>
      </c>
      <c r="O75" t="s">
        <v>27</v>
      </c>
      <c r="P75" s="1">
        <v>46003</v>
      </c>
      <c r="Q75" s="1">
        <v>46063</v>
      </c>
      <c r="R75" s="2">
        <v>0.40555555555555556</v>
      </c>
      <c r="S75" s="2">
        <v>0.56874999999999998</v>
      </c>
      <c r="T75" t="str" cm="1">
        <f t="array" ref="T75">_xlfn.IFS(H75&gt;=90,"A",H75&gt;=75,"B",H75&gt;=60,"C",H75&lt;60,"D")</f>
        <v>A</v>
      </c>
      <c r="U75" t="str">
        <f t="shared" si="4"/>
        <v>09:44 AM</v>
      </c>
      <c r="V75" t="str">
        <f t="shared" si="5"/>
        <v>On Time</v>
      </c>
      <c r="W75" t="str">
        <f t="shared" si="6"/>
        <v>3 Hours 55 Minutes</v>
      </c>
      <c r="X75" t="str">
        <f t="shared" si="7"/>
        <v>Short Time Login</v>
      </c>
      <c r="AA75" s="35" t="s">
        <v>195</v>
      </c>
      <c r="AB75" s="35" t="s">
        <v>134</v>
      </c>
      <c r="AC75" s="35">
        <v>92</v>
      </c>
      <c r="AD75" s="35">
        <v>78</v>
      </c>
      <c r="AE75" s="35" t="s">
        <v>59</v>
      </c>
      <c r="AF75" s="35">
        <v>0</v>
      </c>
      <c r="AH75" s="35" t="s">
        <v>27</v>
      </c>
      <c r="AK75" s="34" t="s">
        <v>1377</v>
      </c>
    </row>
    <row r="76" spans="1:37">
      <c r="A76" t="s">
        <v>196</v>
      </c>
      <c r="B76" t="s">
        <v>197</v>
      </c>
      <c r="C76">
        <v>28</v>
      </c>
      <c r="D76" t="s">
        <v>21</v>
      </c>
      <c r="E76" t="s">
        <v>73</v>
      </c>
      <c r="F76" t="s">
        <v>53</v>
      </c>
      <c r="G76" t="s">
        <v>54</v>
      </c>
      <c r="H76">
        <v>64</v>
      </c>
      <c r="I76">
        <v>89</v>
      </c>
      <c r="J76" t="s">
        <v>68</v>
      </c>
      <c r="K76">
        <v>15000</v>
      </c>
      <c r="L76">
        <v>17110</v>
      </c>
      <c r="M76">
        <v>0</v>
      </c>
      <c r="N76" t="s">
        <v>11</v>
      </c>
      <c r="O76" t="s">
        <v>27</v>
      </c>
      <c r="P76" s="1">
        <v>45813</v>
      </c>
      <c r="Q76" s="1">
        <v>45993</v>
      </c>
      <c r="R76" s="2">
        <v>0.3611111111111111</v>
      </c>
      <c r="S76" s="2">
        <v>0.46180555555555558</v>
      </c>
      <c r="T76" t="str" cm="1">
        <f t="array" ref="T76">_xlfn.IFS(H76&gt;=90,"A",H76&gt;=75,"B",H76&gt;=60,"C",H76&lt;60,"D")</f>
        <v>C</v>
      </c>
      <c r="U76" t="str">
        <f t="shared" si="4"/>
        <v>08:40 AM</v>
      </c>
      <c r="V76" t="str">
        <f t="shared" si="5"/>
        <v>Delayed</v>
      </c>
      <c r="W76" t="str">
        <f t="shared" si="6"/>
        <v>2 Hours 25 Minutes</v>
      </c>
      <c r="X76" t="str">
        <f t="shared" si="7"/>
        <v>Short Time Login</v>
      </c>
      <c r="AA76" s="34" t="s">
        <v>196</v>
      </c>
      <c r="AB76" s="34" t="s">
        <v>197</v>
      </c>
      <c r="AC76" s="34">
        <v>64</v>
      </c>
      <c r="AD76" s="34">
        <v>89</v>
      </c>
      <c r="AE76" s="34" t="s">
        <v>68</v>
      </c>
      <c r="AF76" s="34">
        <v>0</v>
      </c>
      <c r="AH76" s="34" t="s">
        <v>27</v>
      </c>
      <c r="AK76" s="35" t="s">
        <v>1376</v>
      </c>
    </row>
    <row r="77" spans="1:37">
      <c r="A77" t="s">
        <v>198</v>
      </c>
      <c r="B77" t="s">
        <v>199</v>
      </c>
      <c r="C77">
        <v>25</v>
      </c>
      <c r="D77" t="s">
        <v>35</v>
      </c>
      <c r="E77" t="s">
        <v>44</v>
      </c>
      <c r="F77" t="s">
        <v>49</v>
      </c>
      <c r="G77" t="s">
        <v>50</v>
      </c>
      <c r="H77">
        <v>58</v>
      </c>
      <c r="I77">
        <v>77</v>
      </c>
      <c r="J77" t="s">
        <v>25</v>
      </c>
      <c r="K77">
        <v>15000</v>
      </c>
      <c r="L77">
        <v>13930</v>
      </c>
      <c r="M77">
        <v>2000</v>
      </c>
      <c r="N77" t="s">
        <v>26</v>
      </c>
      <c r="O77" t="s">
        <v>27</v>
      </c>
      <c r="P77" s="1">
        <v>45995</v>
      </c>
      <c r="Q77" s="1">
        <v>46085</v>
      </c>
      <c r="R77" s="2">
        <v>0.35972222222222222</v>
      </c>
      <c r="S77" s="2">
        <v>0.55694444444444446</v>
      </c>
      <c r="T77" t="str" cm="1">
        <f t="array" ref="T77">_xlfn.IFS(H77&gt;=90,"A",H77&gt;=75,"B",H77&gt;=60,"C",H77&lt;60,"D")</f>
        <v>D</v>
      </c>
      <c r="U77" t="str">
        <f t="shared" si="4"/>
        <v>08:38 AM</v>
      </c>
      <c r="V77" t="str">
        <f t="shared" si="5"/>
        <v>On Time</v>
      </c>
      <c r="W77" t="str">
        <f t="shared" si="6"/>
        <v>4 Hours 44 Minutes</v>
      </c>
      <c r="X77" t="str">
        <f t="shared" si="7"/>
        <v>Short Time Login</v>
      </c>
      <c r="AA77" s="35" t="s">
        <v>198</v>
      </c>
      <c r="AB77" s="35" t="s">
        <v>199</v>
      </c>
      <c r="AC77" s="35">
        <v>58</v>
      </c>
      <c r="AD77" s="35">
        <v>77</v>
      </c>
      <c r="AE77" s="35" t="s">
        <v>25</v>
      </c>
      <c r="AF77" s="35">
        <v>2000</v>
      </c>
      <c r="AH77" s="35" t="s">
        <v>27</v>
      </c>
      <c r="AK77" s="34" t="s">
        <v>1376</v>
      </c>
    </row>
    <row r="78" spans="1:37">
      <c r="A78" t="s">
        <v>200</v>
      </c>
      <c r="B78" t="s">
        <v>201</v>
      </c>
      <c r="C78">
        <v>21</v>
      </c>
      <c r="D78" t="s">
        <v>35</v>
      </c>
      <c r="E78" t="s">
        <v>48</v>
      </c>
      <c r="F78" t="s">
        <v>31</v>
      </c>
      <c r="G78" t="s">
        <v>32</v>
      </c>
      <c r="H78">
        <v>64</v>
      </c>
      <c r="I78">
        <v>74</v>
      </c>
      <c r="J78" t="s">
        <v>68</v>
      </c>
      <c r="K78">
        <v>12000</v>
      </c>
      <c r="L78">
        <v>14160</v>
      </c>
      <c r="M78">
        <v>0</v>
      </c>
      <c r="N78" t="s">
        <v>11</v>
      </c>
      <c r="O78" t="s">
        <v>27</v>
      </c>
      <c r="P78" s="1">
        <v>45946</v>
      </c>
      <c r="Q78" s="1">
        <v>46126</v>
      </c>
      <c r="R78" s="2">
        <v>0.36180555555555555</v>
      </c>
      <c r="S78" s="2">
        <v>0.46458333333333335</v>
      </c>
      <c r="T78" t="str" cm="1">
        <f t="array" ref="T78">_xlfn.IFS(H78&gt;=90,"A",H78&gt;=75,"B",H78&gt;=60,"C",H78&lt;60,"D")</f>
        <v>C</v>
      </c>
      <c r="U78" t="str">
        <f t="shared" si="4"/>
        <v>08:41 AM</v>
      </c>
      <c r="V78" t="str">
        <f t="shared" si="5"/>
        <v>Delayed</v>
      </c>
      <c r="W78" t="str">
        <f t="shared" si="6"/>
        <v>2 Hours 28 Minutes</v>
      </c>
      <c r="X78" t="str">
        <f t="shared" si="7"/>
        <v>Short Time Login</v>
      </c>
      <c r="AA78" s="34" t="s">
        <v>200</v>
      </c>
      <c r="AB78" s="34" t="s">
        <v>201</v>
      </c>
      <c r="AC78" s="34">
        <v>64</v>
      </c>
      <c r="AD78" s="34">
        <v>74</v>
      </c>
      <c r="AE78" s="34" t="s">
        <v>68</v>
      </c>
      <c r="AF78" s="34">
        <v>0</v>
      </c>
      <c r="AH78" s="34" t="s">
        <v>27</v>
      </c>
      <c r="AK78" s="35" t="s">
        <v>1377</v>
      </c>
    </row>
    <row r="79" spans="1:37">
      <c r="A79" t="s">
        <v>202</v>
      </c>
      <c r="B79" t="s">
        <v>203</v>
      </c>
      <c r="C79">
        <v>25</v>
      </c>
      <c r="D79" t="s">
        <v>35</v>
      </c>
      <c r="E79" t="s">
        <v>96</v>
      </c>
      <c r="F79" t="s">
        <v>63</v>
      </c>
      <c r="G79" t="s">
        <v>64</v>
      </c>
      <c r="H79">
        <v>36</v>
      </c>
      <c r="I79">
        <v>95</v>
      </c>
      <c r="J79" t="s">
        <v>25</v>
      </c>
      <c r="K79">
        <v>18000</v>
      </c>
      <c r="L79">
        <v>20060</v>
      </c>
      <c r="M79">
        <v>0</v>
      </c>
      <c r="N79" t="s">
        <v>11</v>
      </c>
      <c r="O79" t="s">
        <v>27</v>
      </c>
      <c r="P79" s="1">
        <v>45659</v>
      </c>
      <c r="Q79" s="1">
        <v>45689</v>
      </c>
      <c r="R79" s="2">
        <v>0.4375</v>
      </c>
      <c r="S79" s="2">
        <v>0.49444444444444446</v>
      </c>
      <c r="T79" t="str" cm="1">
        <f t="array" ref="T79">_xlfn.IFS(H79&gt;=90,"A",H79&gt;=75,"B",H79&gt;=60,"C",H79&lt;60,"D")</f>
        <v>D</v>
      </c>
      <c r="U79" t="str">
        <f t="shared" si="4"/>
        <v>10:30 AM</v>
      </c>
      <c r="V79" t="str">
        <f t="shared" si="5"/>
        <v>On Time</v>
      </c>
      <c r="W79" t="str">
        <f t="shared" si="6"/>
        <v>1 Hours 22 Minutes</v>
      </c>
      <c r="X79" t="str">
        <f t="shared" si="7"/>
        <v>Long Time Login</v>
      </c>
      <c r="AA79" s="35" t="s">
        <v>202</v>
      </c>
      <c r="AB79" s="35" t="s">
        <v>203</v>
      </c>
      <c r="AC79" s="35">
        <v>36</v>
      </c>
      <c r="AD79" s="35">
        <v>95</v>
      </c>
      <c r="AE79" s="35" t="s">
        <v>25</v>
      </c>
      <c r="AF79" s="35">
        <v>0</v>
      </c>
      <c r="AH79" s="35" t="s">
        <v>27</v>
      </c>
      <c r="AK79" s="34" t="s">
        <v>1377</v>
      </c>
    </row>
    <row r="80" spans="1:37">
      <c r="A80" t="s">
        <v>204</v>
      </c>
      <c r="B80" t="s">
        <v>205</v>
      </c>
      <c r="C80">
        <v>26</v>
      </c>
      <c r="D80" t="s">
        <v>21</v>
      </c>
      <c r="E80" t="s">
        <v>113</v>
      </c>
      <c r="F80" t="s">
        <v>31</v>
      </c>
      <c r="G80" t="s">
        <v>32</v>
      </c>
      <c r="H80">
        <v>52</v>
      </c>
      <c r="I80">
        <v>70</v>
      </c>
      <c r="J80" t="s">
        <v>25</v>
      </c>
      <c r="K80">
        <v>12000</v>
      </c>
      <c r="L80">
        <v>10160</v>
      </c>
      <c r="M80">
        <v>4000</v>
      </c>
      <c r="N80" t="s">
        <v>26</v>
      </c>
      <c r="O80" t="s">
        <v>27</v>
      </c>
      <c r="P80" s="1">
        <v>45782</v>
      </c>
      <c r="Q80" s="1">
        <v>45812</v>
      </c>
      <c r="R80" s="2">
        <v>0.41666666666666669</v>
      </c>
      <c r="S80" s="2">
        <v>0.57291666666666663</v>
      </c>
      <c r="T80" t="str" cm="1">
        <f t="array" ref="T80">_xlfn.IFS(H80&gt;=90,"A",H80&gt;=75,"B",H80&gt;=60,"C",H80&lt;60,"D")</f>
        <v>D</v>
      </c>
      <c r="U80" t="str">
        <f t="shared" si="4"/>
        <v>10:00 AM</v>
      </c>
      <c r="V80" t="str">
        <f t="shared" si="5"/>
        <v>On Time</v>
      </c>
      <c r="W80" t="str">
        <f t="shared" si="6"/>
        <v>3 Hours 45 Minutes</v>
      </c>
      <c r="X80" t="str">
        <f t="shared" si="7"/>
        <v>Short Time Login</v>
      </c>
      <c r="AA80" s="34" t="s">
        <v>204</v>
      </c>
      <c r="AB80" s="34" t="s">
        <v>205</v>
      </c>
      <c r="AC80" s="34">
        <v>52</v>
      </c>
      <c r="AD80" s="34">
        <v>70</v>
      </c>
      <c r="AE80" s="34" t="s">
        <v>25</v>
      </c>
      <c r="AF80" s="34">
        <v>4000</v>
      </c>
      <c r="AH80" s="34" t="s">
        <v>27</v>
      </c>
      <c r="AK80" s="35" t="s">
        <v>1377</v>
      </c>
    </row>
    <row r="81" spans="1:37">
      <c r="A81" t="s">
        <v>206</v>
      </c>
      <c r="B81" t="s">
        <v>207</v>
      </c>
      <c r="C81">
        <v>24</v>
      </c>
      <c r="D81" t="s">
        <v>35</v>
      </c>
      <c r="E81" t="s">
        <v>113</v>
      </c>
      <c r="F81" t="s">
        <v>57</v>
      </c>
      <c r="G81" t="s">
        <v>58</v>
      </c>
      <c r="H81">
        <v>37</v>
      </c>
      <c r="I81">
        <v>98</v>
      </c>
      <c r="J81" t="s">
        <v>25</v>
      </c>
      <c r="K81">
        <v>15000</v>
      </c>
      <c r="L81">
        <v>15930</v>
      </c>
      <c r="M81">
        <v>0</v>
      </c>
      <c r="N81" t="s">
        <v>11</v>
      </c>
      <c r="O81" t="s">
        <v>27</v>
      </c>
      <c r="P81" s="1">
        <v>45682</v>
      </c>
      <c r="Q81" s="1">
        <v>45712</v>
      </c>
      <c r="R81" s="2">
        <v>0.3840277777777778</v>
      </c>
      <c r="S81" s="2">
        <v>0.5541666666666667</v>
      </c>
      <c r="T81" t="str" cm="1">
        <f t="array" ref="T81">_xlfn.IFS(H81&gt;=90,"A",H81&gt;=75,"B",H81&gt;=60,"C",H81&lt;60,"D")</f>
        <v>D</v>
      </c>
      <c r="U81" t="str">
        <f t="shared" si="4"/>
        <v>09:13 AM</v>
      </c>
      <c r="V81" t="str">
        <f t="shared" si="5"/>
        <v>On Time</v>
      </c>
      <c r="W81" t="str">
        <f t="shared" si="6"/>
        <v>4 Hours 5 Minutes</v>
      </c>
      <c r="X81" t="str">
        <f t="shared" si="7"/>
        <v>Short Time Login</v>
      </c>
      <c r="AA81" s="35" t="s">
        <v>206</v>
      </c>
      <c r="AB81" s="35" t="s">
        <v>207</v>
      </c>
      <c r="AC81" s="35">
        <v>37</v>
      </c>
      <c r="AD81" s="35">
        <v>98</v>
      </c>
      <c r="AE81" s="35" t="s">
        <v>25</v>
      </c>
      <c r="AF81" s="35">
        <v>0</v>
      </c>
      <c r="AH81" s="35" t="s">
        <v>27</v>
      </c>
      <c r="AK81" s="34" t="s">
        <v>1377</v>
      </c>
    </row>
    <row r="82" spans="1:37" ht="15" thickBot="1">
      <c r="A82" t="s">
        <v>208</v>
      </c>
      <c r="B82" t="s">
        <v>209</v>
      </c>
      <c r="C82">
        <v>26</v>
      </c>
      <c r="D82" t="s">
        <v>21</v>
      </c>
      <c r="E82" t="s">
        <v>39</v>
      </c>
      <c r="F82" t="s">
        <v>57</v>
      </c>
      <c r="G82" t="s">
        <v>58</v>
      </c>
      <c r="H82">
        <v>61</v>
      </c>
      <c r="I82">
        <v>73</v>
      </c>
      <c r="J82" t="s">
        <v>68</v>
      </c>
      <c r="K82">
        <v>10000</v>
      </c>
      <c r="L82">
        <v>7800</v>
      </c>
      <c r="M82">
        <v>4000</v>
      </c>
      <c r="N82" t="s">
        <v>26</v>
      </c>
      <c r="O82" t="s">
        <v>27</v>
      </c>
      <c r="P82" s="1">
        <v>45913</v>
      </c>
      <c r="Q82" s="1">
        <v>45943</v>
      </c>
      <c r="R82" s="2">
        <v>0.35138888888888886</v>
      </c>
      <c r="S82" s="2">
        <v>0.4375</v>
      </c>
      <c r="T82" t="str" cm="1">
        <f t="array" ref="T82">_xlfn.IFS(H82&gt;=90,"A",H82&gt;=75,"B",H82&gt;=60,"C",H82&lt;60,"D")</f>
        <v>C</v>
      </c>
      <c r="U82" t="str">
        <f t="shared" si="4"/>
        <v>08:26 AM</v>
      </c>
      <c r="V82" t="str">
        <f t="shared" si="5"/>
        <v>On Time</v>
      </c>
      <c r="W82" t="str">
        <f t="shared" si="6"/>
        <v>2 Hours 4 Minutes</v>
      </c>
      <c r="X82" t="str">
        <f t="shared" si="7"/>
        <v>Short Time Login</v>
      </c>
      <c r="AA82" s="34" t="s">
        <v>208</v>
      </c>
      <c r="AB82" s="34" t="s">
        <v>209</v>
      </c>
      <c r="AC82" s="34">
        <v>61</v>
      </c>
      <c r="AD82" s="34">
        <v>73</v>
      </c>
      <c r="AE82" s="34" t="s">
        <v>68</v>
      </c>
      <c r="AF82" s="34">
        <v>4000</v>
      </c>
      <c r="AH82" s="34" t="s">
        <v>27</v>
      </c>
      <c r="AK82" s="36" t="s">
        <v>1376</v>
      </c>
    </row>
    <row r="83" spans="1:37">
      <c r="A83" t="s">
        <v>210</v>
      </c>
      <c r="B83" t="s">
        <v>211</v>
      </c>
      <c r="C83">
        <v>25</v>
      </c>
      <c r="D83" t="s">
        <v>35</v>
      </c>
      <c r="E83" t="s">
        <v>36</v>
      </c>
      <c r="F83" t="s">
        <v>57</v>
      </c>
      <c r="G83" t="s">
        <v>58</v>
      </c>
      <c r="H83">
        <v>37</v>
      </c>
      <c r="I83">
        <v>66</v>
      </c>
      <c r="J83" t="s">
        <v>25</v>
      </c>
      <c r="K83">
        <v>10000</v>
      </c>
      <c r="L83">
        <v>7210</v>
      </c>
      <c r="M83">
        <v>4000</v>
      </c>
      <c r="N83" t="s">
        <v>26</v>
      </c>
      <c r="O83" t="s">
        <v>27</v>
      </c>
      <c r="P83" s="1">
        <v>45965</v>
      </c>
      <c r="Q83" s="1">
        <v>46055</v>
      </c>
      <c r="R83" s="2">
        <v>0.38611111111111113</v>
      </c>
      <c r="S83" s="2">
        <v>0.51736111111111116</v>
      </c>
      <c r="T83" t="str" cm="1">
        <f t="array" ref="T83">_xlfn.IFS(H83&gt;=90,"A",H83&gt;=75,"B",H83&gt;=60,"C",H83&lt;60,"D")</f>
        <v>D</v>
      </c>
      <c r="U83" t="str">
        <f t="shared" si="4"/>
        <v>09:16 AM</v>
      </c>
      <c r="V83" t="str">
        <f t="shared" si="5"/>
        <v>On Time</v>
      </c>
      <c r="W83" t="str">
        <f t="shared" si="6"/>
        <v>3 Hours 9 Minutes</v>
      </c>
      <c r="X83" t="str">
        <f t="shared" si="7"/>
        <v>Short Time Login</v>
      </c>
      <c r="AA83" s="35" t="s">
        <v>210</v>
      </c>
      <c r="AB83" s="35" t="s">
        <v>211</v>
      </c>
      <c r="AC83" s="35">
        <v>37</v>
      </c>
      <c r="AD83" s="35">
        <v>66</v>
      </c>
      <c r="AE83" s="35" t="s">
        <v>25</v>
      </c>
      <c r="AF83" s="35">
        <v>4000</v>
      </c>
      <c r="AH83" s="35" t="s">
        <v>27</v>
      </c>
    </row>
    <row r="84" spans="1:37">
      <c r="A84" t="s">
        <v>212</v>
      </c>
      <c r="B84" t="s">
        <v>213</v>
      </c>
      <c r="C84">
        <v>19</v>
      </c>
      <c r="D84" t="s">
        <v>35</v>
      </c>
      <c r="E84" t="s">
        <v>22</v>
      </c>
      <c r="F84" t="s">
        <v>40</v>
      </c>
      <c r="G84" t="s">
        <v>41</v>
      </c>
      <c r="H84">
        <v>76</v>
      </c>
      <c r="I84">
        <v>95</v>
      </c>
      <c r="J84" t="s">
        <v>45</v>
      </c>
      <c r="K84">
        <v>10000</v>
      </c>
      <c r="L84">
        <v>6030</v>
      </c>
      <c r="M84">
        <v>4000</v>
      </c>
      <c r="N84" t="s">
        <v>26</v>
      </c>
      <c r="O84" t="s">
        <v>27</v>
      </c>
      <c r="P84" s="1">
        <v>45751</v>
      </c>
      <c r="Q84" s="1">
        <v>45811</v>
      </c>
      <c r="R84" s="2">
        <v>0.41458333333333336</v>
      </c>
      <c r="S84" s="2">
        <v>0.60347222222222219</v>
      </c>
      <c r="T84" t="str" cm="1">
        <f t="array" ref="T84">_xlfn.IFS(H84&gt;=90,"A",H84&gt;=75,"B",H84&gt;=60,"C",H84&lt;60,"D")</f>
        <v>B</v>
      </c>
      <c r="U84" t="str">
        <f t="shared" si="4"/>
        <v>09:57 AM</v>
      </c>
      <c r="V84" t="str">
        <f t="shared" si="5"/>
        <v>On Time</v>
      </c>
      <c r="W84" t="str">
        <f t="shared" si="6"/>
        <v>4 Hours 32 Minutes</v>
      </c>
      <c r="X84" t="str">
        <f t="shared" si="7"/>
        <v>Short Time Login</v>
      </c>
      <c r="AA84" s="34" t="s">
        <v>212</v>
      </c>
      <c r="AB84" s="34" t="s">
        <v>213</v>
      </c>
      <c r="AC84" s="34">
        <v>76</v>
      </c>
      <c r="AD84" s="34">
        <v>95</v>
      </c>
      <c r="AE84" s="34" t="s">
        <v>45</v>
      </c>
      <c r="AF84" s="34">
        <v>4000</v>
      </c>
      <c r="AH84" s="34" t="s">
        <v>27</v>
      </c>
    </row>
    <row r="85" spans="1:37">
      <c r="A85" t="s">
        <v>214</v>
      </c>
      <c r="B85" t="s">
        <v>215</v>
      </c>
      <c r="C85">
        <v>25</v>
      </c>
      <c r="D85" t="s">
        <v>35</v>
      </c>
      <c r="E85" t="s">
        <v>30</v>
      </c>
      <c r="F85" t="s">
        <v>31</v>
      </c>
      <c r="G85" t="s">
        <v>32</v>
      </c>
      <c r="H85">
        <v>85</v>
      </c>
      <c r="I85">
        <v>75</v>
      </c>
      <c r="J85" t="s">
        <v>45</v>
      </c>
      <c r="K85">
        <v>15000</v>
      </c>
      <c r="L85">
        <v>12520</v>
      </c>
      <c r="M85">
        <v>4000</v>
      </c>
      <c r="N85" t="s">
        <v>26</v>
      </c>
      <c r="O85" t="s">
        <v>27</v>
      </c>
      <c r="P85" s="1">
        <v>45984</v>
      </c>
      <c r="Q85" s="1">
        <v>46014</v>
      </c>
      <c r="R85" s="2">
        <v>0.37847222222222221</v>
      </c>
      <c r="S85" s="2">
        <v>0.45347222222222222</v>
      </c>
      <c r="T85" t="str" cm="1">
        <f t="array" ref="T85">_xlfn.IFS(H85&gt;=90,"A",H85&gt;=75,"B",H85&gt;=60,"C",H85&lt;60,"D")</f>
        <v>B</v>
      </c>
      <c r="U85" t="str">
        <f t="shared" si="4"/>
        <v>09:05 AM</v>
      </c>
      <c r="V85" t="str">
        <f t="shared" si="5"/>
        <v>On Time</v>
      </c>
      <c r="W85" t="str">
        <f t="shared" si="6"/>
        <v>1 Hours 48 Minutes</v>
      </c>
      <c r="X85" t="str">
        <f t="shared" si="7"/>
        <v>Short Time Login</v>
      </c>
      <c r="AA85" s="35" t="s">
        <v>214</v>
      </c>
      <c r="AB85" s="35" t="s">
        <v>215</v>
      </c>
      <c r="AC85" s="35">
        <v>85</v>
      </c>
      <c r="AD85" s="35">
        <v>75</v>
      </c>
      <c r="AE85" s="35" t="s">
        <v>45</v>
      </c>
      <c r="AF85" s="35">
        <v>4000</v>
      </c>
      <c r="AH85" s="35" t="s">
        <v>27</v>
      </c>
    </row>
    <row r="86" spans="1:37">
      <c r="A86" t="s">
        <v>216</v>
      </c>
      <c r="B86" t="s">
        <v>217</v>
      </c>
      <c r="C86">
        <v>24</v>
      </c>
      <c r="D86" t="s">
        <v>21</v>
      </c>
      <c r="E86" t="s">
        <v>39</v>
      </c>
      <c r="F86" t="s">
        <v>57</v>
      </c>
      <c r="G86" t="s">
        <v>58</v>
      </c>
      <c r="H86">
        <v>41</v>
      </c>
      <c r="I86">
        <v>82</v>
      </c>
      <c r="J86" t="s">
        <v>25</v>
      </c>
      <c r="K86">
        <v>15000</v>
      </c>
      <c r="L86">
        <v>13930</v>
      </c>
      <c r="M86">
        <v>2000</v>
      </c>
      <c r="N86" t="s">
        <v>26</v>
      </c>
      <c r="O86" t="s">
        <v>27</v>
      </c>
      <c r="P86" s="1">
        <v>46008</v>
      </c>
      <c r="Q86" s="1">
        <v>46128</v>
      </c>
      <c r="R86" s="2">
        <v>0.37777777777777777</v>
      </c>
      <c r="S86" s="2">
        <v>0.57013888888888886</v>
      </c>
      <c r="T86" t="str" cm="1">
        <f t="array" ref="T86">_xlfn.IFS(H86&gt;=90,"A",H86&gt;=75,"B",H86&gt;=60,"C",H86&lt;60,"D")</f>
        <v>D</v>
      </c>
      <c r="U86" t="str">
        <f t="shared" si="4"/>
        <v>09:04 AM</v>
      </c>
      <c r="V86" t="str">
        <f t="shared" si="5"/>
        <v>Delayed</v>
      </c>
      <c r="W86" t="str">
        <f t="shared" si="6"/>
        <v>4 Hours 37 Minutes</v>
      </c>
      <c r="X86" t="str">
        <f t="shared" si="7"/>
        <v>Short Time Login</v>
      </c>
      <c r="AA86" s="34" t="s">
        <v>216</v>
      </c>
      <c r="AB86" s="34" t="s">
        <v>217</v>
      </c>
      <c r="AC86" s="34">
        <v>41</v>
      </c>
      <c r="AD86" s="34">
        <v>82</v>
      </c>
      <c r="AE86" s="34" t="s">
        <v>25</v>
      </c>
      <c r="AF86" s="34">
        <v>2000</v>
      </c>
      <c r="AH86" s="34" t="s">
        <v>27</v>
      </c>
    </row>
    <row r="87" spans="1:37">
      <c r="A87" t="s">
        <v>218</v>
      </c>
      <c r="B87" t="s">
        <v>213</v>
      </c>
      <c r="C87">
        <v>20</v>
      </c>
      <c r="D87" t="s">
        <v>21</v>
      </c>
      <c r="E87" t="s">
        <v>113</v>
      </c>
      <c r="F87" t="s">
        <v>63</v>
      </c>
      <c r="G87" t="s">
        <v>64</v>
      </c>
      <c r="H87">
        <v>76</v>
      </c>
      <c r="I87">
        <v>89</v>
      </c>
      <c r="J87" t="s">
        <v>45</v>
      </c>
      <c r="K87">
        <v>15000</v>
      </c>
      <c r="L87">
        <v>12520</v>
      </c>
      <c r="M87">
        <v>4000</v>
      </c>
      <c r="N87" t="s">
        <v>26</v>
      </c>
      <c r="O87" t="s">
        <v>27</v>
      </c>
      <c r="P87" s="1">
        <v>45671</v>
      </c>
      <c r="Q87" s="1">
        <v>45761</v>
      </c>
      <c r="R87" s="2">
        <v>0.42291666666666666</v>
      </c>
      <c r="S87" s="2">
        <v>0.49513888888888891</v>
      </c>
      <c r="T87" t="str" cm="1">
        <f t="array" ref="T87">_xlfn.IFS(H87&gt;=90,"A",H87&gt;=75,"B",H87&gt;=60,"C",H87&lt;60,"D")</f>
        <v>B</v>
      </c>
      <c r="U87" t="str">
        <f t="shared" si="4"/>
        <v>10:09 AM</v>
      </c>
      <c r="V87" t="str">
        <f t="shared" si="5"/>
        <v>On Time</v>
      </c>
      <c r="W87" t="str">
        <f t="shared" si="6"/>
        <v>1 Hours 44 Minutes</v>
      </c>
      <c r="X87" t="str">
        <f t="shared" si="7"/>
        <v>Long Time Login</v>
      </c>
      <c r="AA87" s="35" t="s">
        <v>218</v>
      </c>
      <c r="AB87" s="35" t="s">
        <v>213</v>
      </c>
      <c r="AC87" s="35">
        <v>76</v>
      </c>
      <c r="AD87" s="35">
        <v>89</v>
      </c>
      <c r="AE87" s="35" t="s">
        <v>45</v>
      </c>
      <c r="AF87" s="35">
        <v>4000</v>
      </c>
      <c r="AH87" s="35" t="s">
        <v>27</v>
      </c>
    </row>
    <row r="88" spans="1:37">
      <c r="A88" t="s">
        <v>219</v>
      </c>
      <c r="B88" t="s">
        <v>220</v>
      </c>
      <c r="C88">
        <v>28</v>
      </c>
      <c r="D88" t="s">
        <v>35</v>
      </c>
      <c r="E88" t="s">
        <v>30</v>
      </c>
      <c r="F88" t="s">
        <v>23</v>
      </c>
      <c r="G88" t="s">
        <v>24</v>
      </c>
      <c r="H88">
        <v>35</v>
      </c>
      <c r="I88">
        <v>82</v>
      </c>
      <c r="J88" t="s">
        <v>25</v>
      </c>
      <c r="K88">
        <v>20000</v>
      </c>
      <c r="L88">
        <v>20420</v>
      </c>
      <c r="M88">
        <v>2000</v>
      </c>
      <c r="N88" t="s">
        <v>26</v>
      </c>
      <c r="O88" t="s">
        <v>27</v>
      </c>
      <c r="P88" s="1">
        <v>45939</v>
      </c>
      <c r="Q88" s="1">
        <v>45969</v>
      </c>
      <c r="R88" s="2">
        <v>0.37291666666666667</v>
      </c>
      <c r="S88" s="2">
        <v>0.45763888888888887</v>
      </c>
      <c r="T88" t="str" cm="1">
        <f t="array" ref="T88">_xlfn.IFS(H88&gt;=90,"A",H88&gt;=75,"B",H88&gt;=60,"C",H88&lt;60,"D")</f>
        <v>D</v>
      </c>
      <c r="U88" t="str">
        <f t="shared" si="4"/>
        <v>08:57 AM</v>
      </c>
      <c r="V88" t="str">
        <f t="shared" si="5"/>
        <v>On Time</v>
      </c>
      <c r="W88" t="str">
        <f t="shared" si="6"/>
        <v>2 Hours 2 Minutes</v>
      </c>
      <c r="X88" t="str">
        <f t="shared" si="7"/>
        <v>Short Time Login</v>
      </c>
      <c r="AA88" s="34" t="s">
        <v>219</v>
      </c>
      <c r="AB88" s="34" t="s">
        <v>220</v>
      </c>
      <c r="AC88" s="34">
        <v>35</v>
      </c>
      <c r="AD88" s="34">
        <v>82</v>
      </c>
      <c r="AE88" s="34" t="s">
        <v>25</v>
      </c>
      <c r="AF88" s="34">
        <v>2000</v>
      </c>
      <c r="AH88" s="34" t="s">
        <v>27</v>
      </c>
    </row>
    <row r="89" spans="1:37">
      <c r="A89" t="s">
        <v>221</v>
      </c>
      <c r="B89" t="s">
        <v>222</v>
      </c>
      <c r="C89">
        <v>28</v>
      </c>
      <c r="D89" t="s">
        <v>35</v>
      </c>
      <c r="E89" t="s">
        <v>96</v>
      </c>
      <c r="F89" t="s">
        <v>53</v>
      </c>
      <c r="G89" t="s">
        <v>54</v>
      </c>
      <c r="H89">
        <v>58</v>
      </c>
      <c r="I89">
        <v>69</v>
      </c>
      <c r="J89" t="s">
        <v>25</v>
      </c>
      <c r="K89">
        <v>12000</v>
      </c>
      <c r="L89">
        <v>12160</v>
      </c>
      <c r="M89">
        <v>2000</v>
      </c>
      <c r="N89" t="s">
        <v>26</v>
      </c>
      <c r="O89" t="s">
        <v>27</v>
      </c>
      <c r="P89" s="1">
        <v>45783</v>
      </c>
      <c r="Q89" s="1">
        <v>45903</v>
      </c>
      <c r="R89" s="2">
        <v>0.44166666666666665</v>
      </c>
      <c r="S89" s="2">
        <v>0.63055555555555554</v>
      </c>
      <c r="T89" t="str" cm="1">
        <f t="array" ref="T89">_xlfn.IFS(H89&gt;=90,"A",H89&gt;=75,"B",H89&gt;=60,"C",H89&lt;60,"D")</f>
        <v>D</v>
      </c>
      <c r="U89" t="str">
        <f t="shared" si="4"/>
        <v>10:36 AM</v>
      </c>
      <c r="V89" t="str">
        <f t="shared" si="5"/>
        <v>Delayed</v>
      </c>
      <c r="W89" t="str">
        <f t="shared" si="6"/>
        <v>4 Hours 32 Minutes</v>
      </c>
      <c r="X89" t="str">
        <f t="shared" si="7"/>
        <v>Long Time Login</v>
      </c>
      <c r="AA89" s="35" t="s">
        <v>221</v>
      </c>
      <c r="AB89" s="35" t="s">
        <v>222</v>
      </c>
      <c r="AC89" s="35">
        <v>58</v>
      </c>
      <c r="AD89" s="35">
        <v>69</v>
      </c>
      <c r="AE89" s="35" t="s">
        <v>25</v>
      </c>
      <c r="AF89" s="35">
        <v>2000</v>
      </c>
      <c r="AH89" s="35" t="s">
        <v>27</v>
      </c>
    </row>
    <row r="90" spans="1:37">
      <c r="A90" t="s">
        <v>223</v>
      </c>
      <c r="B90" t="s">
        <v>38</v>
      </c>
      <c r="C90">
        <v>27</v>
      </c>
      <c r="D90" t="s">
        <v>21</v>
      </c>
      <c r="E90" t="s">
        <v>62</v>
      </c>
      <c r="F90" t="s">
        <v>53</v>
      </c>
      <c r="G90" t="s">
        <v>54</v>
      </c>
      <c r="H90">
        <v>65</v>
      </c>
      <c r="I90">
        <v>82</v>
      </c>
      <c r="J90" t="s">
        <v>68</v>
      </c>
      <c r="K90">
        <v>15000</v>
      </c>
      <c r="L90">
        <v>15930</v>
      </c>
      <c r="M90">
        <v>0</v>
      </c>
      <c r="N90" t="s">
        <v>11</v>
      </c>
      <c r="O90" t="s">
        <v>27</v>
      </c>
      <c r="P90" s="1">
        <v>45877</v>
      </c>
      <c r="Q90" s="1">
        <v>45937</v>
      </c>
      <c r="R90" s="2">
        <v>0.44305555555555554</v>
      </c>
      <c r="S90" s="2">
        <v>0.57847222222222228</v>
      </c>
      <c r="T90" t="str" cm="1">
        <f t="array" ref="T90">_xlfn.IFS(H90&gt;=90,"A",H90&gt;=75,"B",H90&gt;=60,"C",H90&lt;60,"D")</f>
        <v>C</v>
      </c>
      <c r="U90" t="str">
        <f t="shared" si="4"/>
        <v>10:38 AM</v>
      </c>
      <c r="V90" t="str">
        <f t="shared" si="5"/>
        <v>On Time</v>
      </c>
      <c r="W90" t="str">
        <f t="shared" si="6"/>
        <v>3 Hours 15 Minutes</v>
      </c>
      <c r="X90" t="str">
        <f t="shared" si="7"/>
        <v>Long Time Login</v>
      </c>
      <c r="AA90" s="34" t="s">
        <v>223</v>
      </c>
      <c r="AB90" s="34" t="s">
        <v>38</v>
      </c>
      <c r="AC90" s="34">
        <v>65</v>
      </c>
      <c r="AD90" s="34">
        <v>82</v>
      </c>
      <c r="AE90" s="34" t="s">
        <v>68</v>
      </c>
      <c r="AF90" s="34">
        <v>0</v>
      </c>
      <c r="AH90" s="34" t="s">
        <v>27</v>
      </c>
    </row>
    <row r="91" spans="1:37">
      <c r="A91" t="s">
        <v>224</v>
      </c>
      <c r="B91" t="s">
        <v>194</v>
      </c>
      <c r="C91">
        <v>21</v>
      </c>
      <c r="D91" t="s">
        <v>21</v>
      </c>
      <c r="E91" t="s">
        <v>67</v>
      </c>
      <c r="F91" t="s">
        <v>23</v>
      </c>
      <c r="G91" t="s">
        <v>24</v>
      </c>
      <c r="H91">
        <v>100</v>
      </c>
      <c r="I91">
        <v>93</v>
      </c>
      <c r="J91" t="s">
        <v>59</v>
      </c>
      <c r="K91">
        <v>10000</v>
      </c>
      <c r="L91">
        <v>7800</v>
      </c>
      <c r="M91">
        <v>4000</v>
      </c>
      <c r="N91" t="s">
        <v>26</v>
      </c>
      <c r="O91" t="s">
        <v>27</v>
      </c>
      <c r="P91" s="1">
        <v>45693</v>
      </c>
      <c r="Q91" s="1">
        <v>45723</v>
      </c>
      <c r="R91" s="2">
        <v>0.3659722222222222</v>
      </c>
      <c r="S91" s="2">
        <v>0.54513888888888884</v>
      </c>
      <c r="T91" t="str" cm="1">
        <f t="array" ref="T91">_xlfn.IFS(H91&gt;=90,"A",H91&gt;=75,"B",H91&gt;=60,"C",H91&lt;60,"D")</f>
        <v>A</v>
      </c>
      <c r="U91" t="str">
        <f t="shared" si="4"/>
        <v>08:47 AM</v>
      </c>
      <c r="V91" t="str">
        <f t="shared" si="5"/>
        <v>On Time</v>
      </c>
      <c r="W91" t="str">
        <f t="shared" si="6"/>
        <v>4 Hours 18 Minutes</v>
      </c>
      <c r="X91" t="str">
        <f t="shared" si="7"/>
        <v>Short Time Login</v>
      </c>
      <c r="AA91" s="35" t="s">
        <v>224</v>
      </c>
      <c r="AB91" s="35" t="s">
        <v>194</v>
      </c>
      <c r="AC91" s="35">
        <v>100</v>
      </c>
      <c r="AD91" s="35">
        <v>93</v>
      </c>
      <c r="AE91" s="35" t="s">
        <v>59</v>
      </c>
      <c r="AF91" s="35">
        <v>4000</v>
      </c>
      <c r="AH91" s="35" t="s">
        <v>27</v>
      </c>
    </row>
    <row r="92" spans="1:37">
      <c r="A92" t="s">
        <v>225</v>
      </c>
      <c r="B92" t="s">
        <v>226</v>
      </c>
      <c r="C92">
        <v>23</v>
      </c>
      <c r="D92" t="s">
        <v>21</v>
      </c>
      <c r="E92" t="s">
        <v>22</v>
      </c>
      <c r="F92" t="s">
        <v>57</v>
      </c>
      <c r="G92" t="s">
        <v>58</v>
      </c>
      <c r="H92">
        <v>100</v>
      </c>
      <c r="I92">
        <v>83</v>
      </c>
      <c r="J92" t="s">
        <v>59</v>
      </c>
      <c r="K92">
        <v>10000</v>
      </c>
      <c r="L92">
        <v>11800</v>
      </c>
      <c r="M92">
        <v>0</v>
      </c>
      <c r="N92" t="s">
        <v>11</v>
      </c>
      <c r="O92" t="s">
        <v>27</v>
      </c>
      <c r="P92" s="1">
        <v>45871</v>
      </c>
      <c r="Q92" s="1">
        <v>45901</v>
      </c>
      <c r="R92" s="2">
        <v>0.34861111111111109</v>
      </c>
      <c r="S92" s="2">
        <v>0.41111111111111109</v>
      </c>
      <c r="T92" t="str" cm="1">
        <f t="array" ref="T92">_xlfn.IFS(H92&gt;=90,"A",H92&gt;=75,"B",H92&gt;=60,"C",H92&lt;60,"D")</f>
        <v>A</v>
      </c>
      <c r="U92" t="str">
        <f t="shared" si="4"/>
        <v>08:22 AM</v>
      </c>
      <c r="V92" t="str">
        <f t="shared" si="5"/>
        <v>On Time</v>
      </c>
      <c r="W92" t="str">
        <f t="shared" si="6"/>
        <v>1 Hours 30 Minutes</v>
      </c>
      <c r="X92" t="str">
        <f t="shared" si="7"/>
        <v>Short Time Login</v>
      </c>
      <c r="AA92" s="34" t="s">
        <v>225</v>
      </c>
      <c r="AB92" s="34" t="s">
        <v>226</v>
      </c>
      <c r="AC92" s="34">
        <v>100</v>
      </c>
      <c r="AD92" s="34">
        <v>83</v>
      </c>
      <c r="AE92" s="34" t="s">
        <v>59</v>
      </c>
      <c r="AF92" s="34">
        <v>0</v>
      </c>
      <c r="AH92" s="34" t="s">
        <v>27</v>
      </c>
    </row>
    <row r="93" spans="1:37">
      <c r="A93" t="s">
        <v>227</v>
      </c>
      <c r="B93" t="s">
        <v>228</v>
      </c>
      <c r="C93">
        <v>26</v>
      </c>
      <c r="D93" t="s">
        <v>35</v>
      </c>
      <c r="E93" t="s">
        <v>62</v>
      </c>
      <c r="F93" t="s">
        <v>53</v>
      </c>
      <c r="G93" t="s">
        <v>54</v>
      </c>
      <c r="H93">
        <v>46</v>
      </c>
      <c r="I93">
        <v>79</v>
      </c>
      <c r="J93" t="s">
        <v>25</v>
      </c>
      <c r="K93">
        <v>10000</v>
      </c>
      <c r="L93">
        <v>11210</v>
      </c>
      <c r="M93">
        <v>0</v>
      </c>
      <c r="N93" t="s">
        <v>11</v>
      </c>
      <c r="O93" t="s">
        <v>27</v>
      </c>
      <c r="P93" s="1">
        <v>46003</v>
      </c>
      <c r="Q93" s="1">
        <v>46063</v>
      </c>
      <c r="R93" s="2">
        <v>0.34236111111111112</v>
      </c>
      <c r="S93" s="2">
        <v>0.39305555555555555</v>
      </c>
      <c r="T93" t="str" cm="1">
        <f t="array" ref="T93">_xlfn.IFS(H93&gt;=90,"A",H93&gt;=75,"B",H93&gt;=60,"C",H93&lt;60,"D")</f>
        <v>D</v>
      </c>
      <c r="U93" t="str">
        <f t="shared" si="4"/>
        <v>08:13 AM</v>
      </c>
      <c r="V93" t="str">
        <f t="shared" si="5"/>
        <v>On Time</v>
      </c>
      <c r="W93" t="str">
        <f t="shared" si="6"/>
        <v>1 Hours 13 Minutes</v>
      </c>
      <c r="X93" t="str">
        <f t="shared" si="7"/>
        <v>Short Time Login</v>
      </c>
      <c r="AA93" s="35" t="s">
        <v>227</v>
      </c>
      <c r="AB93" s="35" t="s">
        <v>228</v>
      </c>
      <c r="AC93" s="35">
        <v>46</v>
      </c>
      <c r="AD93" s="35">
        <v>79</v>
      </c>
      <c r="AE93" s="35" t="s">
        <v>25</v>
      </c>
      <c r="AF93" s="35">
        <v>0</v>
      </c>
      <c r="AH93" s="35" t="s">
        <v>27</v>
      </c>
    </row>
    <row r="94" spans="1:37">
      <c r="A94" t="s">
        <v>229</v>
      </c>
      <c r="B94" t="s">
        <v>230</v>
      </c>
      <c r="C94">
        <v>28</v>
      </c>
      <c r="D94" t="s">
        <v>21</v>
      </c>
      <c r="E94" t="s">
        <v>39</v>
      </c>
      <c r="F94" t="s">
        <v>63</v>
      </c>
      <c r="G94" t="s">
        <v>64</v>
      </c>
      <c r="H94">
        <v>87</v>
      </c>
      <c r="I94">
        <v>88</v>
      </c>
      <c r="J94" t="s">
        <v>45</v>
      </c>
      <c r="K94">
        <v>12000</v>
      </c>
      <c r="L94">
        <v>10160</v>
      </c>
      <c r="M94">
        <v>4000</v>
      </c>
      <c r="N94" t="s">
        <v>26</v>
      </c>
      <c r="O94" t="s">
        <v>27</v>
      </c>
      <c r="P94" s="1">
        <v>46007</v>
      </c>
      <c r="Q94" s="1">
        <v>46067</v>
      </c>
      <c r="R94" s="2">
        <v>0.35208333333333336</v>
      </c>
      <c r="S94" s="2">
        <v>0.48888888888888887</v>
      </c>
      <c r="T94" t="str" cm="1">
        <f t="array" ref="T94">_xlfn.IFS(H94&gt;=90,"A",H94&gt;=75,"B",H94&gt;=60,"C",H94&lt;60,"D")</f>
        <v>B</v>
      </c>
      <c r="U94" t="str">
        <f t="shared" si="4"/>
        <v>08:27 AM</v>
      </c>
      <c r="V94" t="str">
        <f t="shared" si="5"/>
        <v>On Time</v>
      </c>
      <c r="W94" t="str">
        <f t="shared" si="6"/>
        <v>3 Hours 17 Minutes</v>
      </c>
      <c r="X94" t="str">
        <f t="shared" si="7"/>
        <v>Short Time Login</v>
      </c>
      <c r="AA94" s="34" t="s">
        <v>229</v>
      </c>
      <c r="AB94" s="34" t="s">
        <v>230</v>
      </c>
      <c r="AC94" s="34">
        <v>87</v>
      </c>
      <c r="AD94" s="34">
        <v>88</v>
      </c>
      <c r="AE94" s="34" t="s">
        <v>45</v>
      </c>
      <c r="AF94" s="34">
        <v>4000</v>
      </c>
      <c r="AH94" s="34" t="s">
        <v>27</v>
      </c>
    </row>
    <row r="95" spans="1:37">
      <c r="A95" t="s">
        <v>231</v>
      </c>
      <c r="B95" t="s">
        <v>232</v>
      </c>
      <c r="C95">
        <v>22</v>
      </c>
      <c r="D95" t="s">
        <v>21</v>
      </c>
      <c r="E95" t="s">
        <v>48</v>
      </c>
      <c r="F95" t="s">
        <v>88</v>
      </c>
      <c r="G95" t="s">
        <v>89</v>
      </c>
      <c r="H95">
        <v>96</v>
      </c>
      <c r="I95">
        <v>88</v>
      </c>
      <c r="J95" t="s">
        <v>59</v>
      </c>
      <c r="K95">
        <v>10000</v>
      </c>
      <c r="L95">
        <v>10620</v>
      </c>
      <c r="M95">
        <v>0</v>
      </c>
      <c r="N95" t="s">
        <v>11</v>
      </c>
      <c r="O95" t="s">
        <v>27</v>
      </c>
      <c r="P95" s="1">
        <v>45904</v>
      </c>
      <c r="Q95" s="1">
        <v>45934</v>
      </c>
      <c r="R95" s="2">
        <v>0.39930555555555558</v>
      </c>
      <c r="S95" s="2">
        <v>0.45763888888888887</v>
      </c>
      <c r="T95" t="str" cm="1">
        <f t="array" ref="T95">_xlfn.IFS(H95&gt;=90,"A",H95&gt;=75,"B",H95&gt;=60,"C",H95&lt;60,"D")</f>
        <v>A</v>
      </c>
      <c r="U95" t="str">
        <f t="shared" si="4"/>
        <v>09:35 AM</v>
      </c>
      <c r="V95" t="str">
        <f t="shared" si="5"/>
        <v>On Time</v>
      </c>
      <c r="W95" t="str">
        <f t="shared" si="6"/>
        <v>1 Hours 24 Minutes</v>
      </c>
      <c r="X95" t="str">
        <f t="shared" si="7"/>
        <v>Short Time Login</v>
      </c>
      <c r="AA95" s="35" t="s">
        <v>231</v>
      </c>
      <c r="AB95" s="35" t="s">
        <v>232</v>
      </c>
      <c r="AC95" s="35">
        <v>96</v>
      </c>
      <c r="AD95" s="35">
        <v>88</v>
      </c>
      <c r="AE95" s="35" t="s">
        <v>59</v>
      </c>
      <c r="AF95" s="35">
        <v>0</v>
      </c>
      <c r="AH95" s="35" t="s">
        <v>27</v>
      </c>
    </row>
    <row r="96" spans="1:37">
      <c r="A96" t="s">
        <v>233</v>
      </c>
      <c r="B96" t="s">
        <v>234</v>
      </c>
      <c r="C96">
        <v>22</v>
      </c>
      <c r="D96" t="s">
        <v>35</v>
      </c>
      <c r="E96" t="s">
        <v>30</v>
      </c>
      <c r="F96" t="s">
        <v>23</v>
      </c>
      <c r="G96" t="s">
        <v>24</v>
      </c>
      <c r="H96">
        <v>55</v>
      </c>
      <c r="I96">
        <v>68</v>
      </c>
      <c r="J96" t="s">
        <v>25</v>
      </c>
      <c r="K96">
        <v>10000</v>
      </c>
      <c r="L96">
        <v>6030</v>
      </c>
      <c r="M96">
        <v>4000</v>
      </c>
      <c r="N96" t="s">
        <v>26</v>
      </c>
      <c r="O96" t="s">
        <v>27</v>
      </c>
      <c r="P96" s="1">
        <v>45732</v>
      </c>
      <c r="Q96" s="1">
        <v>45792</v>
      </c>
      <c r="R96" s="2">
        <v>0.36249999999999999</v>
      </c>
      <c r="S96" s="2">
        <v>0.44444444444444442</v>
      </c>
      <c r="T96" t="str" cm="1">
        <f t="array" ref="T96">_xlfn.IFS(H96&gt;=90,"A",H96&gt;=75,"B",H96&gt;=60,"C",H96&lt;60,"D")</f>
        <v>D</v>
      </c>
      <c r="U96" t="str">
        <f t="shared" si="4"/>
        <v>08:42 AM</v>
      </c>
      <c r="V96" t="str">
        <f t="shared" si="5"/>
        <v>On Time</v>
      </c>
      <c r="W96" t="str">
        <f t="shared" si="6"/>
        <v>1 Hours 58 Minutes</v>
      </c>
      <c r="X96" t="str">
        <f t="shared" si="7"/>
        <v>Short Time Login</v>
      </c>
      <c r="AA96" s="34" t="s">
        <v>233</v>
      </c>
      <c r="AB96" s="34" t="s">
        <v>234</v>
      </c>
      <c r="AC96" s="34">
        <v>55</v>
      </c>
      <c r="AD96" s="34">
        <v>68</v>
      </c>
      <c r="AE96" s="34" t="s">
        <v>25</v>
      </c>
      <c r="AF96" s="34">
        <v>4000</v>
      </c>
      <c r="AH96" s="34" t="s">
        <v>27</v>
      </c>
    </row>
    <row r="97" spans="1:34">
      <c r="A97" t="s">
        <v>235</v>
      </c>
      <c r="B97" t="s">
        <v>236</v>
      </c>
      <c r="C97">
        <v>21</v>
      </c>
      <c r="D97" t="s">
        <v>21</v>
      </c>
      <c r="E97" t="s">
        <v>36</v>
      </c>
      <c r="F97" t="s">
        <v>53</v>
      </c>
      <c r="G97" t="s">
        <v>54</v>
      </c>
      <c r="H97">
        <v>56</v>
      </c>
      <c r="I97">
        <v>72</v>
      </c>
      <c r="J97" t="s">
        <v>25</v>
      </c>
      <c r="K97">
        <v>20000</v>
      </c>
      <c r="L97">
        <v>21830</v>
      </c>
      <c r="M97">
        <v>0</v>
      </c>
      <c r="N97" t="s">
        <v>11</v>
      </c>
      <c r="O97" t="s">
        <v>27</v>
      </c>
      <c r="P97" s="1">
        <v>45959</v>
      </c>
      <c r="Q97" s="1">
        <v>46079</v>
      </c>
      <c r="R97" s="2">
        <v>0.44374999999999998</v>
      </c>
      <c r="S97" s="2">
        <v>0.63541666666666663</v>
      </c>
      <c r="T97" t="str" cm="1">
        <f t="array" ref="T97">_xlfn.IFS(H97&gt;=90,"A",H97&gt;=75,"B",H97&gt;=60,"C",H97&lt;60,"D")</f>
        <v>D</v>
      </c>
      <c r="U97" t="str">
        <f t="shared" si="4"/>
        <v>10:39 AM</v>
      </c>
      <c r="V97" t="str">
        <f t="shared" si="5"/>
        <v>Delayed</v>
      </c>
      <c r="W97" t="str">
        <f t="shared" si="6"/>
        <v>4 Hours 36 Minutes</v>
      </c>
      <c r="X97" t="str">
        <f t="shared" si="7"/>
        <v>Long Time Login</v>
      </c>
      <c r="AA97" s="35" t="s">
        <v>235</v>
      </c>
      <c r="AB97" s="35" t="s">
        <v>236</v>
      </c>
      <c r="AC97" s="35">
        <v>56</v>
      </c>
      <c r="AD97" s="35">
        <v>72</v>
      </c>
      <c r="AE97" s="35" t="s">
        <v>25</v>
      </c>
      <c r="AF97" s="35">
        <v>0</v>
      </c>
      <c r="AH97" s="35" t="s">
        <v>27</v>
      </c>
    </row>
    <row r="98" spans="1:34">
      <c r="A98" t="s">
        <v>237</v>
      </c>
      <c r="B98" t="s">
        <v>238</v>
      </c>
      <c r="C98">
        <v>24</v>
      </c>
      <c r="D98" t="s">
        <v>21</v>
      </c>
      <c r="E98" t="s">
        <v>44</v>
      </c>
      <c r="F98" t="s">
        <v>57</v>
      </c>
      <c r="G98" t="s">
        <v>58</v>
      </c>
      <c r="H98">
        <v>61</v>
      </c>
      <c r="I98">
        <v>70</v>
      </c>
      <c r="J98" t="s">
        <v>68</v>
      </c>
      <c r="K98">
        <v>20000</v>
      </c>
      <c r="L98">
        <v>19010</v>
      </c>
      <c r="M98">
        <v>4000</v>
      </c>
      <c r="N98" t="s">
        <v>26</v>
      </c>
      <c r="O98" t="s">
        <v>27</v>
      </c>
      <c r="P98" s="1">
        <v>45686</v>
      </c>
      <c r="Q98" s="1">
        <v>45716</v>
      </c>
      <c r="R98" s="2">
        <v>0.44444444444444442</v>
      </c>
      <c r="S98" s="2">
        <v>0.64166666666666672</v>
      </c>
      <c r="T98" t="str" cm="1">
        <f t="array" ref="T98">_xlfn.IFS(H98&gt;=90,"A",H98&gt;=75,"B",H98&gt;=60,"C",H98&lt;60,"D")</f>
        <v>C</v>
      </c>
      <c r="U98" t="str">
        <f t="shared" si="4"/>
        <v>10:40 AM</v>
      </c>
      <c r="V98" t="str">
        <f t="shared" si="5"/>
        <v>On Time</v>
      </c>
      <c r="W98" t="str">
        <f t="shared" si="6"/>
        <v>4 Hours 44 Minutes</v>
      </c>
      <c r="X98" t="str">
        <f t="shared" si="7"/>
        <v>Long Time Login</v>
      </c>
      <c r="AA98" s="34" t="s">
        <v>237</v>
      </c>
      <c r="AB98" s="34" t="s">
        <v>238</v>
      </c>
      <c r="AC98" s="34">
        <v>61</v>
      </c>
      <c r="AD98" s="34">
        <v>70</v>
      </c>
      <c r="AE98" s="34" t="s">
        <v>68</v>
      </c>
      <c r="AF98" s="34">
        <v>4000</v>
      </c>
      <c r="AH98" s="34" t="s">
        <v>27</v>
      </c>
    </row>
    <row r="99" spans="1:34">
      <c r="A99" t="s">
        <v>239</v>
      </c>
      <c r="B99" t="s">
        <v>106</v>
      </c>
      <c r="C99">
        <v>28</v>
      </c>
      <c r="D99" t="s">
        <v>35</v>
      </c>
      <c r="E99" t="s">
        <v>36</v>
      </c>
      <c r="F99" t="s">
        <v>53</v>
      </c>
      <c r="G99" t="s">
        <v>54</v>
      </c>
      <c r="H99">
        <v>67</v>
      </c>
      <c r="I99">
        <v>93</v>
      </c>
      <c r="J99" t="s">
        <v>68</v>
      </c>
      <c r="K99">
        <v>20000</v>
      </c>
      <c r="L99">
        <v>23600</v>
      </c>
      <c r="M99">
        <v>0</v>
      </c>
      <c r="N99" t="s">
        <v>11</v>
      </c>
      <c r="O99" t="s">
        <v>27</v>
      </c>
      <c r="P99" s="1">
        <v>45767</v>
      </c>
      <c r="Q99" s="1">
        <v>45947</v>
      </c>
      <c r="R99" s="2">
        <v>0.45416666666666666</v>
      </c>
      <c r="S99" s="2">
        <v>0.65277777777777779</v>
      </c>
      <c r="T99" t="str" cm="1">
        <f t="array" ref="T99">_xlfn.IFS(H99&gt;=90,"A",H99&gt;=75,"B",H99&gt;=60,"C",H99&lt;60,"D")</f>
        <v>C</v>
      </c>
      <c r="U99" t="str">
        <f t="shared" si="4"/>
        <v>10:54 AM</v>
      </c>
      <c r="V99" t="str">
        <f t="shared" si="5"/>
        <v>Delayed</v>
      </c>
      <c r="W99" t="str">
        <f t="shared" si="6"/>
        <v>4 Hours 46 Minutes</v>
      </c>
      <c r="X99" t="str">
        <f t="shared" si="7"/>
        <v>Long Time Login</v>
      </c>
      <c r="AA99" s="35" t="s">
        <v>239</v>
      </c>
      <c r="AB99" s="35" t="s">
        <v>106</v>
      </c>
      <c r="AC99" s="35">
        <v>67</v>
      </c>
      <c r="AD99" s="35">
        <v>93</v>
      </c>
      <c r="AE99" s="35" t="s">
        <v>68</v>
      </c>
      <c r="AF99" s="35">
        <v>0</v>
      </c>
      <c r="AH99" s="35" t="s">
        <v>27</v>
      </c>
    </row>
    <row r="100" spans="1:34">
      <c r="A100" t="s">
        <v>240</v>
      </c>
      <c r="B100" t="s">
        <v>241</v>
      </c>
      <c r="C100">
        <v>23</v>
      </c>
      <c r="D100" t="s">
        <v>35</v>
      </c>
      <c r="E100" t="s">
        <v>36</v>
      </c>
      <c r="F100" t="s">
        <v>88</v>
      </c>
      <c r="G100" t="s">
        <v>89</v>
      </c>
      <c r="H100">
        <v>87</v>
      </c>
      <c r="I100">
        <v>81</v>
      </c>
      <c r="J100" t="s">
        <v>45</v>
      </c>
      <c r="K100">
        <v>15000</v>
      </c>
      <c r="L100">
        <v>14520</v>
      </c>
      <c r="M100">
        <v>2000</v>
      </c>
      <c r="N100" t="s">
        <v>26</v>
      </c>
      <c r="O100" t="s">
        <v>27</v>
      </c>
      <c r="P100" s="1">
        <v>45775</v>
      </c>
      <c r="Q100" s="1">
        <v>45835</v>
      </c>
      <c r="R100" s="2">
        <v>0.36180555555555555</v>
      </c>
      <c r="S100" s="2">
        <v>0.41597222222222224</v>
      </c>
      <c r="T100" t="str" cm="1">
        <f t="array" ref="T100">_xlfn.IFS(H100&gt;=90,"A",H100&gt;=75,"B",H100&gt;=60,"C",H100&lt;60,"D")</f>
        <v>B</v>
      </c>
      <c r="U100" t="str">
        <f t="shared" si="4"/>
        <v>08:41 AM</v>
      </c>
      <c r="V100" t="str">
        <f t="shared" si="5"/>
        <v>On Time</v>
      </c>
      <c r="W100" t="str">
        <f t="shared" si="6"/>
        <v>1 Hours 18 Minutes</v>
      </c>
      <c r="X100" t="str">
        <f t="shared" si="7"/>
        <v>Short Time Login</v>
      </c>
      <c r="AA100" s="34" t="s">
        <v>240</v>
      </c>
      <c r="AB100" s="34" t="s">
        <v>241</v>
      </c>
      <c r="AC100" s="34">
        <v>87</v>
      </c>
      <c r="AD100" s="34">
        <v>81</v>
      </c>
      <c r="AE100" s="34" t="s">
        <v>45</v>
      </c>
      <c r="AF100" s="34">
        <v>2000</v>
      </c>
      <c r="AH100" s="34" t="s">
        <v>27</v>
      </c>
    </row>
    <row r="101" spans="1:34">
      <c r="A101" t="s">
        <v>242</v>
      </c>
      <c r="B101" t="s">
        <v>243</v>
      </c>
      <c r="C101">
        <v>21</v>
      </c>
      <c r="D101" t="s">
        <v>35</v>
      </c>
      <c r="E101" t="s">
        <v>96</v>
      </c>
      <c r="F101" t="s">
        <v>88</v>
      </c>
      <c r="G101" t="s">
        <v>89</v>
      </c>
      <c r="H101">
        <v>47</v>
      </c>
      <c r="I101">
        <v>83</v>
      </c>
      <c r="J101" t="s">
        <v>25</v>
      </c>
      <c r="K101">
        <v>18000</v>
      </c>
      <c r="L101">
        <v>16650</v>
      </c>
      <c r="M101">
        <v>4000</v>
      </c>
      <c r="N101" t="s">
        <v>26</v>
      </c>
      <c r="O101" t="s">
        <v>27</v>
      </c>
      <c r="P101" s="1">
        <v>45746</v>
      </c>
      <c r="Q101" s="1">
        <v>45776</v>
      </c>
      <c r="R101" s="2">
        <v>0.35416666666666669</v>
      </c>
      <c r="S101" s="2">
        <v>0.43194444444444446</v>
      </c>
      <c r="T101" t="str" cm="1">
        <f t="array" ref="T101">_xlfn.IFS(H101&gt;=90,"A",H101&gt;=75,"B",H101&gt;=60,"C",H101&lt;60,"D")</f>
        <v>D</v>
      </c>
      <c r="U101" t="str">
        <f t="shared" si="4"/>
        <v>08:30 AM</v>
      </c>
      <c r="V101" t="str">
        <f t="shared" si="5"/>
        <v>On Time</v>
      </c>
      <c r="W101" t="str">
        <f t="shared" si="6"/>
        <v>1 Hours 52 Minutes</v>
      </c>
      <c r="X101" t="str">
        <f t="shared" si="7"/>
        <v>Short Time Login</v>
      </c>
      <c r="AA101" s="35" t="s">
        <v>242</v>
      </c>
      <c r="AB101" s="35" t="s">
        <v>243</v>
      </c>
      <c r="AC101" s="35">
        <v>47</v>
      </c>
      <c r="AD101" s="35">
        <v>83</v>
      </c>
      <c r="AE101" s="35" t="s">
        <v>25</v>
      </c>
      <c r="AF101" s="35">
        <v>4000</v>
      </c>
      <c r="AH101" s="35" t="s">
        <v>27</v>
      </c>
    </row>
    <row r="102" spans="1:34">
      <c r="A102" t="s">
        <v>244</v>
      </c>
      <c r="B102" t="s">
        <v>124</v>
      </c>
      <c r="C102">
        <v>20</v>
      </c>
      <c r="D102" t="s">
        <v>21</v>
      </c>
      <c r="E102" t="s">
        <v>30</v>
      </c>
      <c r="F102" t="s">
        <v>57</v>
      </c>
      <c r="G102" t="s">
        <v>58</v>
      </c>
      <c r="H102">
        <v>42</v>
      </c>
      <c r="I102">
        <v>73</v>
      </c>
      <c r="J102" t="s">
        <v>25</v>
      </c>
      <c r="K102">
        <v>15000</v>
      </c>
      <c r="L102">
        <v>12520</v>
      </c>
      <c r="M102">
        <v>4000</v>
      </c>
      <c r="N102" t="s">
        <v>26</v>
      </c>
      <c r="O102" t="s">
        <v>27</v>
      </c>
      <c r="P102" s="1">
        <v>45982</v>
      </c>
      <c r="Q102" s="1">
        <v>46102</v>
      </c>
      <c r="R102" s="2">
        <v>0.3840277777777778</v>
      </c>
      <c r="S102" s="2">
        <v>0.48819444444444443</v>
      </c>
      <c r="T102" t="str" cm="1">
        <f t="array" ref="T102">_xlfn.IFS(H102&gt;=90,"A",H102&gt;=75,"B",H102&gt;=60,"C",H102&lt;60,"D")</f>
        <v>D</v>
      </c>
      <c r="U102" t="str">
        <f t="shared" si="4"/>
        <v>09:13 AM</v>
      </c>
      <c r="V102" t="str">
        <f t="shared" si="5"/>
        <v>Delayed</v>
      </c>
      <c r="W102" t="str">
        <f t="shared" si="6"/>
        <v>2 Hours 30 Minutes</v>
      </c>
      <c r="X102" t="str">
        <f t="shared" si="7"/>
        <v>Short Time Login</v>
      </c>
      <c r="AA102" s="34" t="s">
        <v>244</v>
      </c>
      <c r="AB102" s="34" t="s">
        <v>124</v>
      </c>
      <c r="AC102" s="34">
        <v>42</v>
      </c>
      <c r="AD102" s="34">
        <v>73</v>
      </c>
      <c r="AE102" s="34" t="s">
        <v>25</v>
      </c>
      <c r="AF102" s="34">
        <v>4000</v>
      </c>
      <c r="AH102" s="34" t="s">
        <v>27</v>
      </c>
    </row>
    <row r="103" spans="1:34">
      <c r="A103" t="s">
        <v>245</v>
      </c>
      <c r="B103" t="s">
        <v>246</v>
      </c>
      <c r="C103">
        <v>22</v>
      </c>
      <c r="D103" t="s">
        <v>21</v>
      </c>
      <c r="E103" t="s">
        <v>62</v>
      </c>
      <c r="F103" t="s">
        <v>49</v>
      </c>
      <c r="G103" t="s">
        <v>50</v>
      </c>
      <c r="H103">
        <v>44</v>
      </c>
      <c r="I103">
        <v>61</v>
      </c>
      <c r="J103" t="s">
        <v>25</v>
      </c>
      <c r="K103">
        <v>10000</v>
      </c>
      <c r="L103">
        <v>9800</v>
      </c>
      <c r="M103">
        <v>2000</v>
      </c>
      <c r="N103" t="s">
        <v>26</v>
      </c>
      <c r="O103" t="s">
        <v>27</v>
      </c>
      <c r="P103" s="1">
        <v>45977</v>
      </c>
      <c r="Q103" s="1">
        <v>46007</v>
      </c>
      <c r="R103" s="2">
        <v>0.43611111111111112</v>
      </c>
      <c r="S103" s="2">
        <v>0.62916666666666665</v>
      </c>
      <c r="T103" t="str" cm="1">
        <f t="array" ref="T103">_xlfn.IFS(H103&gt;=90,"A",H103&gt;=75,"B",H103&gt;=60,"C",H103&lt;60,"D")</f>
        <v>D</v>
      </c>
      <c r="U103" t="str">
        <f t="shared" si="4"/>
        <v>10:28 AM</v>
      </c>
      <c r="V103" t="str">
        <f t="shared" si="5"/>
        <v>On Time</v>
      </c>
      <c r="W103" t="str">
        <f t="shared" si="6"/>
        <v>4 Hours 38 Minutes</v>
      </c>
      <c r="X103" t="str">
        <f t="shared" si="7"/>
        <v>Long Time Login</v>
      </c>
      <c r="AA103" s="35" t="s">
        <v>245</v>
      </c>
      <c r="AB103" s="35" t="s">
        <v>246</v>
      </c>
      <c r="AC103" s="35">
        <v>44</v>
      </c>
      <c r="AD103" s="35">
        <v>61</v>
      </c>
      <c r="AE103" s="35" t="s">
        <v>25</v>
      </c>
      <c r="AF103" s="35">
        <v>2000</v>
      </c>
      <c r="AH103" s="35" t="s">
        <v>27</v>
      </c>
    </row>
    <row r="104" spans="1:34">
      <c r="A104" t="s">
        <v>247</v>
      </c>
      <c r="B104" t="s">
        <v>248</v>
      </c>
      <c r="C104">
        <v>21</v>
      </c>
      <c r="D104" t="s">
        <v>35</v>
      </c>
      <c r="E104" t="s">
        <v>67</v>
      </c>
      <c r="F104" t="s">
        <v>53</v>
      </c>
      <c r="G104" t="s">
        <v>54</v>
      </c>
      <c r="H104">
        <v>64</v>
      </c>
      <c r="I104">
        <v>90</v>
      </c>
      <c r="J104" t="s">
        <v>68</v>
      </c>
      <c r="K104">
        <v>20000</v>
      </c>
      <c r="L104">
        <v>21010</v>
      </c>
      <c r="M104">
        <v>2000</v>
      </c>
      <c r="N104" t="s">
        <v>26</v>
      </c>
      <c r="O104" t="s">
        <v>27</v>
      </c>
      <c r="P104" s="1">
        <v>45917</v>
      </c>
      <c r="Q104" s="1">
        <v>46037</v>
      </c>
      <c r="R104" s="2">
        <v>0.33402777777777776</v>
      </c>
      <c r="S104" s="2">
        <v>0.40833333333333333</v>
      </c>
      <c r="T104" t="str" cm="1">
        <f t="array" ref="T104">_xlfn.IFS(H104&gt;=90,"A",H104&gt;=75,"B",H104&gt;=60,"C",H104&lt;60,"D")</f>
        <v>C</v>
      </c>
      <c r="U104" t="str">
        <f t="shared" si="4"/>
        <v>08:01 AM</v>
      </c>
      <c r="V104" t="str">
        <f t="shared" si="5"/>
        <v>Delayed</v>
      </c>
      <c r="W104" t="str">
        <f t="shared" si="6"/>
        <v>1 Hours 47 Minutes</v>
      </c>
      <c r="X104" t="str">
        <f t="shared" si="7"/>
        <v>Short Time Login</v>
      </c>
      <c r="AA104" s="34" t="s">
        <v>247</v>
      </c>
      <c r="AB104" s="34" t="s">
        <v>248</v>
      </c>
      <c r="AC104" s="34">
        <v>64</v>
      </c>
      <c r="AD104" s="34">
        <v>90</v>
      </c>
      <c r="AE104" s="34" t="s">
        <v>68</v>
      </c>
      <c r="AF104" s="34">
        <v>2000</v>
      </c>
      <c r="AH104" s="34" t="s">
        <v>27</v>
      </c>
    </row>
    <row r="105" spans="1:34">
      <c r="A105" t="s">
        <v>249</v>
      </c>
      <c r="B105" t="s">
        <v>250</v>
      </c>
      <c r="C105">
        <v>20</v>
      </c>
      <c r="D105" t="s">
        <v>35</v>
      </c>
      <c r="E105" t="s">
        <v>36</v>
      </c>
      <c r="F105" t="s">
        <v>23</v>
      </c>
      <c r="G105" t="s">
        <v>24</v>
      </c>
      <c r="H105">
        <v>67</v>
      </c>
      <c r="I105">
        <v>83</v>
      </c>
      <c r="J105" t="s">
        <v>68</v>
      </c>
      <c r="K105">
        <v>10000</v>
      </c>
      <c r="L105">
        <v>6620</v>
      </c>
      <c r="M105">
        <v>4000</v>
      </c>
      <c r="N105" t="s">
        <v>26</v>
      </c>
      <c r="O105" t="s">
        <v>27</v>
      </c>
      <c r="P105" s="1">
        <v>45978</v>
      </c>
      <c r="Q105" s="1">
        <v>46008</v>
      </c>
      <c r="R105" s="2">
        <v>0.41249999999999998</v>
      </c>
      <c r="S105" s="2">
        <v>0.46250000000000002</v>
      </c>
      <c r="T105" t="str" cm="1">
        <f t="array" ref="T105">_xlfn.IFS(H105&gt;=90,"A",H105&gt;=75,"B",H105&gt;=60,"C",H105&lt;60,"D")</f>
        <v>C</v>
      </c>
      <c r="U105" t="str">
        <f t="shared" si="4"/>
        <v>09:54 AM</v>
      </c>
      <c r="V105" t="str">
        <f t="shared" si="5"/>
        <v>On Time</v>
      </c>
      <c r="W105" t="str">
        <f t="shared" si="6"/>
        <v>1 Hours 12 Minutes</v>
      </c>
      <c r="X105" t="str">
        <f t="shared" si="7"/>
        <v>Short Time Login</v>
      </c>
      <c r="AA105" s="35" t="s">
        <v>249</v>
      </c>
      <c r="AB105" s="35" t="s">
        <v>250</v>
      </c>
      <c r="AC105" s="35">
        <v>67</v>
      </c>
      <c r="AD105" s="35">
        <v>83</v>
      </c>
      <c r="AE105" s="35" t="s">
        <v>68</v>
      </c>
      <c r="AF105" s="35">
        <v>4000</v>
      </c>
      <c r="AH105" s="35" t="s">
        <v>27</v>
      </c>
    </row>
    <row r="106" spans="1:34">
      <c r="A106" t="s">
        <v>251</v>
      </c>
      <c r="B106" t="s">
        <v>252</v>
      </c>
      <c r="C106">
        <v>23</v>
      </c>
      <c r="D106" t="s">
        <v>21</v>
      </c>
      <c r="E106" t="s">
        <v>96</v>
      </c>
      <c r="F106" t="s">
        <v>49</v>
      </c>
      <c r="G106" t="s">
        <v>50</v>
      </c>
      <c r="H106">
        <v>60</v>
      </c>
      <c r="I106">
        <v>67</v>
      </c>
      <c r="J106" t="s">
        <v>68</v>
      </c>
      <c r="K106">
        <v>12000</v>
      </c>
      <c r="L106">
        <v>14160</v>
      </c>
      <c r="M106">
        <v>0</v>
      </c>
      <c r="N106" t="s">
        <v>11</v>
      </c>
      <c r="O106" t="s">
        <v>27</v>
      </c>
      <c r="P106" s="1">
        <v>45808</v>
      </c>
      <c r="Q106" s="1">
        <v>45988</v>
      </c>
      <c r="R106" s="2">
        <v>0.39305555555555555</v>
      </c>
      <c r="S106" s="2">
        <v>0.50347222222222221</v>
      </c>
      <c r="T106" t="str" cm="1">
        <f t="array" ref="T106">_xlfn.IFS(H106&gt;=90,"A",H106&gt;=75,"B",H106&gt;=60,"C",H106&lt;60,"D")</f>
        <v>C</v>
      </c>
      <c r="U106" t="str">
        <f t="shared" si="4"/>
        <v>09:26 AM</v>
      </c>
      <c r="V106" t="str">
        <f t="shared" si="5"/>
        <v>Delayed</v>
      </c>
      <c r="W106" t="str">
        <f t="shared" si="6"/>
        <v>2 Hours 39 Minutes</v>
      </c>
      <c r="X106" t="str">
        <f t="shared" si="7"/>
        <v>Short Time Login</v>
      </c>
      <c r="AA106" s="34" t="s">
        <v>251</v>
      </c>
      <c r="AB106" s="34" t="s">
        <v>252</v>
      </c>
      <c r="AC106" s="34">
        <v>60</v>
      </c>
      <c r="AD106" s="34">
        <v>67</v>
      </c>
      <c r="AE106" s="34" t="s">
        <v>68</v>
      </c>
      <c r="AF106" s="34">
        <v>0</v>
      </c>
      <c r="AH106" s="34" t="s">
        <v>27</v>
      </c>
    </row>
    <row r="107" spans="1:34">
      <c r="A107" t="s">
        <v>253</v>
      </c>
      <c r="B107" t="s">
        <v>238</v>
      </c>
      <c r="C107">
        <v>27</v>
      </c>
      <c r="D107" t="s">
        <v>35</v>
      </c>
      <c r="E107" t="s">
        <v>67</v>
      </c>
      <c r="F107" t="s">
        <v>31</v>
      </c>
      <c r="G107" t="s">
        <v>32</v>
      </c>
      <c r="H107">
        <v>39</v>
      </c>
      <c r="I107">
        <v>84</v>
      </c>
      <c r="J107" t="s">
        <v>25</v>
      </c>
      <c r="K107">
        <v>10000</v>
      </c>
      <c r="L107">
        <v>7800</v>
      </c>
      <c r="M107">
        <v>4000</v>
      </c>
      <c r="N107" t="s">
        <v>26</v>
      </c>
      <c r="O107" t="s">
        <v>27</v>
      </c>
      <c r="P107" s="1">
        <v>45879</v>
      </c>
      <c r="Q107" s="1">
        <v>45969</v>
      </c>
      <c r="R107" s="2">
        <v>0.34305555555555556</v>
      </c>
      <c r="S107" s="2">
        <v>0.39374999999999999</v>
      </c>
      <c r="T107" t="str" cm="1">
        <f t="array" ref="T107">_xlfn.IFS(H107&gt;=90,"A",H107&gt;=75,"B",H107&gt;=60,"C",H107&lt;60,"D")</f>
        <v>D</v>
      </c>
      <c r="U107" t="str">
        <f t="shared" si="4"/>
        <v>08:14 AM</v>
      </c>
      <c r="V107" t="str">
        <f t="shared" si="5"/>
        <v>On Time</v>
      </c>
      <c r="W107" t="str">
        <f t="shared" si="6"/>
        <v>1 Hours 13 Minutes</v>
      </c>
      <c r="X107" t="str">
        <f t="shared" si="7"/>
        <v>Short Time Login</v>
      </c>
      <c r="AA107" s="35" t="s">
        <v>253</v>
      </c>
      <c r="AB107" s="35" t="s">
        <v>238</v>
      </c>
      <c r="AC107" s="35">
        <v>39</v>
      </c>
      <c r="AD107" s="35">
        <v>84</v>
      </c>
      <c r="AE107" s="35" t="s">
        <v>25</v>
      </c>
      <c r="AF107" s="35">
        <v>4000</v>
      </c>
      <c r="AH107" s="35" t="s">
        <v>27</v>
      </c>
    </row>
    <row r="108" spans="1:34">
      <c r="A108" t="s">
        <v>254</v>
      </c>
      <c r="B108" t="s">
        <v>169</v>
      </c>
      <c r="C108">
        <v>19</v>
      </c>
      <c r="D108" t="s">
        <v>35</v>
      </c>
      <c r="E108" t="s">
        <v>44</v>
      </c>
      <c r="F108" t="s">
        <v>57</v>
      </c>
      <c r="G108" t="s">
        <v>58</v>
      </c>
      <c r="H108">
        <v>87</v>
      </c>
      <c r="I108">
        <v>79</v>
      </c>
      <c r="J108" t="s">
        <v>45</v>
      </c>
      <c r="K108">
        <v>15000</v>
      </c>
      <c r="L108">
        <v>15930</v>
      </c>
      <c r="M108">
        <v>0</v>
      </c>
      <c r="N108" t="s">
        <v>11</v>
      </c>
      <c r="O108" t="s">
        <v>27</v>
      </c>
      <c r="P108" s="1">
        <v>45722</v>
      </c>
      <c r="Q108" s="1">
        <v>45812</v>
      </c>
      <c r="R108" s="2">
        <v>0.38194444444444442</v>
      </c>
      <c r="S108" s="2">
        <v>0.55694444444444446</v>
      </c>
      <c r="T108" t="str" cm="1">
        <f t="array" ref="T108">_xlfn.IFS(H108&gt;=90,"A",H108&gt;=75,"B",H108&gt;=60,"C",H108&lt;60,"D")</f>
        <v>B</v>
      </c>
      <c r="U108" t="str">
        <f t="shared" si="4"/>
        <v>09:10 AM</v>
      </c>
      <c r="V108" t="str">
        <f t="shared" si="5"/>
        <v>On Time</v>
      </c>
      <c r="W108" t="str">
        <f t="shared" si="6"/>
        <v>4 Hours 12 Minutes</v>
      </c>
      <c r="X108" t="str">
        <f t="shared" si="7"/>
        <v>Short Time Login</v>
      </c>
      <c r="AA108" s="34" t="s">
        <v>254</v>
      </c>
      <c r="AB108" s="34" t="s">
        <v>169</v>
      </c>
      <c r="AC108" s="34">
        <v>87</v>
      </c>
      <c r="AD108" s="34">
        <v>79</v>
      </c>
      <c r="AE108" s="34" t="s">
        <v>45</v>
      </c>
      <c r="AF108" s="34">
        <v>0</v>
      </c>
      <c r="AH108" s="34" t="s">
        <v>27</v>
      </c>
    </row>
    <row r="109" spans="1:34">
      <c r="A109" t="s">
        <v>255</v>
      </c>
      <c r="B109" t="s">
        <v>256</v>
      </c>
      <c r="C109">
        <v>24</v>
      </c>
      <c r="D109" t="s">
        <v>21</v>
      </c>
      <c r="E109" t="s">
        <v>44</v>
      </c>
      <c r="F109" t="s">
        <v>40</v>
      </c>
      <c r="G109" t="s">
        <v>41</v>
      </c>
      <c r="H109">
        <v>49</v>
      </c>
      <c r="I109">
        <v>84</v>
      </c>
      <c r="J109" t="s">
        <v>25</v>
      </c>
      <c r="K109">
        <v>15000</v>
      </c>
      <c r="L109">
        <v>13930</v>
      </c>
      <c r="M109">
        <v>2000</v>
      </c>
      <c r="N109" t="s">
        <v>26</v>
      </c>
      <c r="O109" t="s">
        <v>27</v>
      </c>
      <c r="P109" s="1">
        <v>45986</v>
      </c>
      <c r="Q109" s="1">
        <v>46046</v>
      </c>
      <c r="R109" s="2">
        <v>0.39861111111111114</v>
      </c>
      <c r="S109" s="2">
        <v>0.59930555555555554</v>
      </c>
      <c r="T109" t="str" cm="1">
        <f t="array" ref="T109">_xlfn.IFS(H109&gt;=90,"A",H109&gt;=75,"B",H109&gt;=60,"C",H109&lt;60,"D")</f>
        <v>D</v>
      </c>
      <c r="U109" t="str">
        <f t="shared" si="4"/>
        <v>09:34 AM</v>
      </c>
      <c r="V109" t="str">
        <f t="shared" si="5"/>
        <v>On Time</v>
      </c>
      <c r="W109" t="str">
        <f t="shared" si="6"/>
        <v>4 Hours 49 Minutes</v>
      </c>
      <c r="X109" t="str">
        <f t="shared" si="7"/>
        <v>Short Time Login</v>
      </c>
      <c r="AA109" s="35" t="s">
        <v>255</v>
      </c>
      <c r="AB109" s="35" t="s">
        <v>256</v>
      </c>
      <c r="AC109" s="35">
        <v>49</v>
      </c>
      <c r="AD109" s="35">
        <v>84</v>
      </c>
      <c r="AE109" s="35" t="s">
        <v>25</v>
      </c>
      <c r="AF109" s="35">
        <v>2000</v>
      </c>
      <c r="AH109" s="35" t="s">
        <v>27</v>
      </c>
    </row>
    <row r="110" spans="1:34">
      <c r="A110" t="s">
        <v>257</v>
      </c>
      <c r="B110" t="s">
        <v>258</v>
      </c>
      <c r="C110">
        <v>28</v>
      </c>
      <c r="D110" t="s">
        <v>35</v>
      </c>
      <c r="E110" t="s">
        <v>30</v>
      </c>
      <c r="F110" t="s">
        <v>57</v>
      </c>
      <c r="G110" t="s">
        <v>58</v>
      </c>
      <c r="H110">
        <v>100</v>
      </c>
      <c r="I110">
        <v>67</v>
      </c>
      <c r="J110" t="s">
        <v>59</v>
      </c>
      <c r="K110">
        <v>18000</v>
      </c>
      <c r="L110">
        <v>20060</v>
      </c>
      <c r="M110">
        <v>0</v>
      </c>
      <c r="N110" t="s">
        <v>11</v>
      </c>
      <c r="O110" t="s">
        <v>127</v>
      </c>
      <c r="P110" s="1">
        <v>45684</v>
      </c>
      <c r="Q110" s="1">
        <v>45774</v>
      </c>
      <c r="R110" s="2">
        <v>0.34444444444444444</v>
      </c>
      <c r="S110" s="2">
        <v>0.55138888888888893</v>
      </c>
      <c r="T110" t="str" cm="1">
        <f t="array" ref="T110">_xlfn.IFS(H110&gt;=90,"A",H110&gt;=75,"B",H110&gt;=60,"C",H110&lt;60,"D")</f>
        <v>A</v>
      </c>
      <c r="U110" t="str">
        <f t="shared" si="4"/>
        <v>08:16 AM</v>
      </c>
      <c r="V110" t="str">
        <f t="shared" si="5"/>
        <v>On Time</v>
      </c>
      <c r="W110" t="str">
        <f t="shared" si="6"/>
        <v>4 Hours 58 Minutes</v>
      </c>
      <c r="X110" t="str">
        <f t="shared" si="7"/>
        <v>Short Time Login</v>
      </c>
      <c r="AA110" s="34" t="s">
        <v>257</v>
      </c>
      <c r="AB110" s="34" t="s">
        <v>258</v>
      </c>
      <c r="AC110" s="34">
        <v>100</v>
      </c>
      <c r="AD110" s="34">
        <v>67</v>
      </c>
      <c r="AE110" s="34" t="s">
        <v>59</v>
      </c>
      <c r="AF110" s="34">
        <v>0</v>
      </c>
      <c r="AH110" s="34" t="s">
        <v>127</v>
      </c>
    </row>
    <row r="111" spans="1:34">
      <c r="A111" t="s">
        <v>259</v>
      </c>
      <c r="B111" t="s">
        <v>190</v>
      </c>
      <c r="C111">
        <v>28</v>
      </c>
      <c r="D111" t="s">
        <v>21</v>
      </c>
      <c r="E111" t="s">
        <v>48</v>
      </c>
      <c r="F111" t="s">
        <v>88</v>
      </c>
      <c r="G111" t="s">
        <v>89</v>
      </c>
      <c r="H111">
        <v>85</v>
      </c>
      <c r="I111">
        <v>60</v>
      </c>
      <c r="J111" t="s">
        <v>45</v>
      </c>
      <c r="K111">
        <v>18000</v>
      </c>
      <c r="L111">
        <v>15470</v>
      </c>
      <c r="M111">
        <v>4000</v>
      </c>
      <c r="N111" t="s">
        <v>26</v>
      </c>
      <c r="O111" t="s">
        <v>27</v>
      </c>
      <c r="P111" s="1">
        <v>45745</v>
      </c>
      <c r="Q111" s="1">
        <v>45775</v>
      </c>
      <c r="R111" s="2">
        <v>0.45763888888888887</v>
      </c>
      <c r="S111" s="2">
        <v>0.66180555555555554</v>
      </c>
      <c r="T111" t="str" cm="1">
        <f t="array" ref="T111">_xlfn.IFS(H111&gt;=90,"A",H111&gt;=75,"B",H111&gt;=60,"C",H111&lt;60,"D")</f>
        <v>B</v>
      </c>
      <c r="U111" t="str">
        <f t="shared" si="4"/>
        <v>10:59 AM</v>
      </c>
      <c r="V111" t="str">
        <f t="shared" si="5"/>
        <v>On Time</v>
      </c>
      <c r="W111" t="str">
        <f t="shared" si="6"/>
        <v>4 Hours 54 Minutes</v>
      </c>
      <c r="X111" t="str">
        <f t="shared" si="7"/>
        <v>Long Time Login</v>
      </c>
      <c r="AA111" s="35" t="s">
        <v>259</v>
      </c>
      <c r="AB111" s="35" t="s">
        <v>190</v>
      </c>
      <c r="AC111" s="35">
        <v>85</v>
      </c>
      <c r="AD111" s="35">
        <v>60</v>
      </c>
      <c r="AE111" s="35" t="s">
        <v>45</v>
      </c>
      <c r="AF111" s="35">
        <v>4000</v>
      </c>
      <c r="AH111" s="35" t="s">
        <v>27</v>
      </c>
    </row>
    <row r="112" spans="1:34">
      <c r="A112" t="s">
        <v>260</v>
      </c>
      <c r="B112" t="s">
        <v>261</v>
      </c>
      <c r="C112">
        <v>28</v>
      </c>
      <c r="D112" t="s">
        <v>35</v>
      </c>
      <c r="E112" t="s">
        <v>30</v>
      </c>
      <c r="F112" t="s">
        <v>63</v>
      </c>
      <c r="G112" t="s">
        <v>64</v>
      </c>
      <c r="H112">
        <v>38</v>
      </c>
      <c r="I112">
        <v>64</v>
      </c>
      <c r="J112" t="s">
        <v>25</v>
      </c>
      <c r="K112">
        <v>10000</v>
      </c>
      <c r="L112">
        <v>8030</v>
      </c>
      <c r="M112">
        <v>2000</v>
      </c>
      <c r="N112" t="s">
        <v>26</v>
      </c>
      <c r="O112" t="s">
        <v>27</v>
      </c>
      <c r="P112" s="1">
        <v>45738</v>
      </c>
      <c r="Q112" s="1">
        <v>45768</v>
      </c>
      <c r="R112" s="2">
        <v>0.44722222222222224</v>
      </c>
      <c r="S112" s="2">
        <v>0.65</v>
      </c>
      <c r="T112" t="str" cm="1">
        <f t="array" ref="T112">_xlfn.IFS(H112&gt;=90,"A",H112&gt;=75,"B",H112&gt;=60,"C",H112&lt;60,"D")</f>
        <v>D</v>
      </c>
      <c r="U112" t="str">
        <f t="shared" si="4"/>
        <v>10:44 AM</v>
      </c>
      <c r="V112" t="str">
        <f t="shared" si="5"/>
        <v>On Time</v>
      </c>
      <c r="W112" t="str">
        <f t="shared" si="6"/>
        <v>4 Hours 52 Minutes</v>
      </c>
      <c r="X112" t="str">
        <f t="shared" si="7"/>
        <v>Long Time Login</v>
      </c>
      <c r="AA112" s="34" t="s">
        <v>260</v>
      </c>
      <c r="AB112" s="34" t="s">
        <v>261</v>
      </c>
      <c r="AC112" s="34">
        <v>38</v>
      </c>
      <c r="AD112" s="34">
        <v>64</v>
      </c>
      <c r="AE112" s="34" t="s">
        <v>25</v>
      </c>
      <c r="AF112" s="34">
        <v>2000</v>
      </c>
      <c r="AH112" s="34" t="s">
        <v>27</v>
      </c>
    </row>
    <row r="113" spans="1:34">
      <c r="A113" t="s">
        <v>262</v>
      </c>
      <c r="B113" t="s">
        <v>83</v>
      </c>
      <c r="C113">
        <v>28</v>
      </c>
      <c r="D113" t="s">
        <v>35</v>
      </c>
      <c r="E113" t="s">
        <v>44</v>
      </c>
      <c r="F113" t="s">
        <v>49</v>
      </c>
      <c r="G113" t="s">
        <v>50</v>
      </c>
      <c r="H113">
        <v>39</v>
      </c>
      <c r="I113">
        <v>99</v>
      </c>
      <c r="J113" t="s">
        <v>25</v>
      </c>
      <c r="K113">
        <v>15000</v>
      </c>
      <c r="L113">
        <v>11930</v>
      </c>
      <c r="M113">
        <v>4000</v>
      </c>
      <c r="N113" t="s">
        <v>26</v>
      </c>
      <c r="O113" t="s">
        <v>27</v>
      </c>
      <c r="P113" s="1">
        <v>45813</v>
      </c>
      <c r="Q113" s="1">
        <v>45843</v>
      </c>
      <c r="R113" s="2">
        <v>0.42152777777777778</v>
      </c>
      <c r="S113" s="2">
        <v>0.55000000000000004</v>
      </c>
      <c r="T113" t="str" cm="1">
        <f t="array" ref="T113">_xlfn.IFS(H113&gt;=90,"A",H113&gt;=75,"B",H113&gt;=60,"C",H113&lt;60,"D")</f>
        <v>D</v>
      </c>
      <c r="U113" t="str">
        <f t="shared" si="4"/>
        <v>10:07 AM</v>
      </c>
      <c r="V113" t="str">
        <f t="shared" si="5"/>
        <v>On Time</v>
      </c>
      <c r="W113" t="str">
        <f t="shared" si="6"/>
        <v>3 Hours 5 Minutes</v>
      </c>
      <c r="X113" t="str">
        <f t="shared" si="7"/>
        <v>Long Time Login</v>
      </c>
      <c r="AA113" s="35" t="s">
        <v>262</v>
      </c>
      <c r="AB113" s="35" t="s">
        <v>83</v>
      </c>
      <c r="AC113" s="35">
        <v>39</v>
      </c>
      <c r="AD113" s="35">
        <v>99</v>
      </c>
      <c r="AE113" s="35" t="s">
        <v>25</v>
      </c>
      <c r="AF113" s="35">
        <v>4000</v>
      </c>
      <c r="AH113" s="35" t="s">
        <v>27</v>
      </c>
    </row>
    <row r="114" spans="1:34">
      <c r="A114" t="s">
        <v>263</v>
      </c>
      <c r="B114" t="s">
        <v>264</v>
      </c>
      <c r="C114">
        <v>27</v>
      </c>
      <c r="D114" t="s">
        <v>35</v>
      </c>
      <c r="E114" t="s">
        <v>44</v>
      </c>
      <c r="F114" t="s">
        <v>88</v>
      </c>
      <c r="G114" t="s">
        <v>89</v>
      </c>
      <c r="H114">
        <v>87</v>
      </c>
      <c r="I114">
        <v>100</v>
      </c>
      <c r="J114" t="s">
        <v>45</v>
      </c>
      <c r="K114">
        <v>10000</v>
      </c>
      <c r="L114">
        <v>10620</v>
      </c>
      <c r="M114">
        <v>0</v>
      </c>
      <c r="N114" t="s">
        <v>11</v>
      </c>
      <c r="O114" t="s">
        <v>27</v>
      </c>
      <c r="P114" s="1">
        <v>45825</v>
      </c>
      <c r="Q114" s="1">
        <v>46005</v>
      </c>
      <c r="R114" s="2">
        <v>0.41805555555555557</v>
      </c>
      <c r="S114" s="2">
        <v>0.50902777777777775</v>
      </c>
      <c r="T114" t="str" cm="1">
        <f t="array" ref="T114">_xlfn.IFS(H114&gt;=90,"A",H114&gt;=75,"B",H114&gt;=60,"C",H114&lt;60,"D")</f>
        <v>B</v>
      </c>
      <c r="U114" t="str">
        <f t="shared" si="4"/>
        <v>10:02 AM</v>
      </c>
      <c r="V114" t="str">
        <f t="shared" si="5"/>
        <v>Delayed</v>
      </c>
      <c r="W114" t="str">
        <f t="shared" si="6"/>
        <v>2 Hours 11 Minutes</v>
      </c>
      <c r="X114" t="str">
        <f t="shared" si="7"/>
        <v>Long Time Login</v>
      </c>
      <c r="AA114" s="34" t="s">
        <v>263</v>
      </c>
      <c r="AB114" s="34" t="s">
        <v>264</v>
      </c>
      <c r="AC114" s="34">
        <v>87</v>
      </c>
      <c r="AD114" s="34">
        <v>100</v>
      </c>
      <c r="AE114" s="34" t="s">
        <v>45</v>
      </c>
      <c r="AF114" s="34">
        <v>0</v>
      </c>
      <c r="AH114" s="34" t="s">
        <v>27</v>
      </c>
    </row>
    <row r="115" spans="1:34">
      <c r="A115" t="s">
        <v>265</v>
      </c>
      <c r="B115" t="s">
        <v>266</v>
      </c>
      <c r="C115">
        <v>21</v>
      </c>
      <c r="D115" t="s">
        <v>35</v>
      </c>
      <c r="E115" t="s">
        <v>73</v>
      </c>
      <c r="F115" t="s">
        <v>88</v>
      </c>
      <c r="G115" t="s">
        <v>89</v>
      </c>
      <c r="H115">
        <v>58</v>
      </c>
      <c r="I115">
        <v>89</v>
      </c>
      <c r="J115" t="s">
        <v>25</v>
      </c>
      <c r="K115">
        <v>20000</v>
      </c>
      <c r="L115">
        <v>19010</v>
      </c>
      <c r="M115">
        <v>4000</v>
      </c>
      <c r="N115" t="s">
        <v>26</v>
      </c>
      <c r="O115" t="s">
        <v>27</v>
      </c>
      <c r="P115" s="1">
        <v>45880</v>
      </c>
      <c r="Q115" s="1">
        <v>45970</v>
      </c>
      <c r="R115" s="2">
        <v>0.44444444444444442</v>
      </c>
      <c r="S115" s="2">
        <v>0.59791666666666665</v>
      </c>
      <c r="T115" t="str" cm="1">
        <f t="array" ref="T115">_xlfn.IFS(H115&gt;=90,"A",H115&gt;=75,"B",H115&gt;=60,"C",H115&lt;60,"D")</f>
        <v>D</v>
      </c>
      <c r="U115" t="str">
        <f t="shared" si="4"/>
        <v>10:40 AM</v>
      </c>
      <c r="V115" t="str">
        <f t="shared" si="5"/>
        <v>On Time</v>
      </c>
      <c r="W115" t="str">
        <f t="shared" si="6"/>
        <v>3 Hours 41 Minutes</v>
      </c>
      <c r="X115" t="str">
        <f t="shared" si="7"/>
        <v>Long Time Login</v>
      </c>
      <c r="AA115" s="35" t="s">
        <v>265</v>
      </c>
      <c r="AB115" s="35" t="s">
        <v>266</v>
      </c>
      <c r="AC115" s="35">
        <v>58</v>
      </c>
      <c r="AD115" s="35">
        <v>89</v>
      </c>
      <c r="AE115" s="35" t="s">
        <v>25</v>
      </c>
      <c r="AF115" s="35">
        <v>4000</v>
      </c>
      <c r="AH115" s="35" t="s">
        <v>27</v>
      </c>
    </row>
    <row r="116" spans="1:34">
      <c r="A116" t="s">
        <v>267</v>
      </c>
      <c r="B116" t="s">
        <v>268</v>
      </c>
      <c r="C116">
        <v>23</v>
      </c>
      <c r="D116" t="s">
        <v>35</v>
      </c>
      <c r="E116" t="s">
        <v>44</v>
      </c>
      <c r="F116" t="s">
        <v>57</v>
      </c>
      <c r="G116" t="s">
        <v>58</v>
      </c>
      <c r="H116">
        <v>50</v>
      </c>
      <c r="I116">
        <v>86</v>
      </c>
      <c r="J116" t="s">
        <v>25</v>
      </c>
      <c r="K116">
        <v>12000</v>
      </c>
      <c r="L116">
        <v>13570</v>
      </c>
      <c r="M116">
        <v>0</v>
      </c>
      <c r="N116" t="s">
        <v>11</v>
      </c>
      <c r="O116" t="s">
        <v>27</v>
      </c>
      <c r="P116" s="1">
        <v>45699</v>
      </c>
      <c r="Q116" s="1">
        <v>45879</v>
      </c>
      <c r="R116" s="2">
        <v>0.42291666666666666</v>
      </c>
      <c r="S116" s="2">
        <v>0.55902777777777779</v>
      </c>
      <c r="T116" t="str" cm="1">
        <f t="array" ref="T116">_xlfn.IFS(H116&gt;=90,"A",H116&gt;=75,"B",H116&gt;=60,"C",H116&lt;60,"D")</f>
        <v>D</v>
      </c>
      <c r="U116" t="str">
        <f t="shared" si="4"/>
        <v>10:09 AM</v>
      </c>
      <c r="V116" t="str">
        <f t="shared" si="5"/>
        <v>Delayed</v>
      </c>
      <c r="W116" t="str">
        <f t="shared" si="6"/>
        <v>3 Hours 16 Minutes</v>
      </c>
      <c r="X116" t="str">
        <f t="shared" si="7"/>
        <v>Long Time Login</v>
      </c>
      <c r="AA116" s="34" t="s">
        <v>267</v>
      </c>
      <c r="AB116" s="34" t="s">
        <v>268</v>
      </c>
      <c r="AC116" s="34">
        <v>50</v>
      </c>
      <c r="AD116" s="34">
        <v>86</v>
      </c>
      <c r="AE116" s="34" t="s">
        <v>25</v>
      </c>
      <c r="AF116" s="34">
        <v>0</v>
      </c>
      <c r="AH116" s="34" t="s">
        <v>27</v>
      </c>
    </row>
    <row r="117" spans="1:34">
      <c r="A117" t="s">
        <v>269</v>
      </c>
      <c r="B117" t="s">
        <v>270</v>
      </c>
      <c r="C117">
        <v>26</v>
      </c>
      <c r="D117" t="s">
        <v>35</v>
      </c>
      <c r="E117" t="s">
        <v>22</v>
      </c>
      <c r="F117" t="s">
        <v>53</v>
      </c>
      <c r="G117" t="s">
        <v>54</v>
      </c>
      <c r="H117">
        <v>95</v>
      </c>
      <c r="I117">
        <v>69</v>
      </c>
      <c r="J117" t="s">
        <v>59</v>
      </c>
      <c r="K117">
        <v>18000</v>
      </c>
      <c r="L117">
        <v>16060</v>
      </c>
      <c r="M117">
        <v>4000</v>
      </c>
      <c r="N117" t="s">
        <v>26</v>
      </c>
      <c r="O117" t="s">
        <v>27</v>
      </c>
      <c r="P117" s="1">
        <v>45897</v>
      </c>
      <c r="Q117" s="1">
        <v>46077</v>
      </c>
      <c r="R117" s="2">
        <v>0.3972222222222222</v>
      </c>
      <c r="S117" s="2">
        <v>0.50972222222222219</v>
      </c>
      <c r="T117" t="str" cm="1">
        <f t="array" ref="T117">_xlfn.IFS(H117&gt;=90,"A",H117&gt;=75,"B",H117&gt;=60,"C",H117&lt;60,"D")</f>
        <v>A</v>
      </c>
      <c r="U117" t="str">
        <f t="shared" si="4"/>
        <v>09:32 AM</v>
      </c>
      <c r="V117" t="str">
        <f t="shared" si="5"/>
        <v>Delayed</v>
      </c>
      <c r="W117" t="str">
        <f t="shared" si="6"/>
        <v>2 Hours 42 Minutes</v>
      </c>
      <c r="X117" t="str">
        <f t="shared" si="7"/>
        <v>Short Time Login</v>
      </c>
      <c r="AA117" s="35" t="s">
        <v>269</v>
      </c>
      <c r="AB117" s="35" t="s">
        <v>270</v>
      </c>
      <c r="AC117" s="35">
        <v>95</v>
      </c>
      <c r="AD117" s="35">
        <v>69</v>
      </c>
      <c r="AE117" s="35" t="s">
        <v>59</v>
      </c>
      <c r="AF117" s="35">
        <v>4000</v>
      </c>
      <c r="AH117" s="35" t="s">
        <v>27</v>
      </c>
    </row>
    <row r="118" spans="1:34">
      <c r="A118" t="s">
        <v>271</v>
      </c>
      <c r="B118" t="s">
        <v>272</v>
      </c>
      <c r="C118">
        <v>28</v>
      </c>
      <c r="D118" t="s">
        <v>21</v>
      </c>
      <c r="E118" t="s">
        <v>122</v>
      </c>
      <c r="F118" t="s">
        <v>63</v>
      </c>
      <c r="G118" t="s">
        <v>64</v>
      </c>
      <c r="H118">
        <v>81</v>
      </c>
      <c r="I118">
        <v>88</v>
      </c>
      <c r="J118" t="s">
        <v>45</v>
      </c>
      <c r="K118">
        <v>18000</v>
      </c>
      <c r="L118">
        <v>20650</v>
      </c>
      <c r="M118">
        <v>0</v>
      </c>
      <c r="N118" t="s">
        <v>11</v>
      </c>
      <c r="O118" t="s">
        <v>27</v>
      </c>
      <c r="P118" s="1">
        <v>45661</v>
      </c>
      <c r="Q118" s="1">
        <v>45781</v>
      </c>
      <c r="R118" s="2">
        <v>0.38472222222222224</v>
      </c>
      <c r="S118" s="2">
        <v>0.44027777777777777</v>
      </c>
      <c r="T118" t="str" cm="1">
        <f t="array" ref="T118">_xlfn.IFS(H118&gt;=90,"A",H118&gt;=75,"B",H118&gt;=60,"C",H118&lt;60,"D")</f>
        <v>B</v>
      </c>
      <c r="U118" t="str">
        <f t="shared" si="4"/>
        <v>09:14 AM</v>
      </c>
      <c r="V118" t="str">
        <f t="shared" si="5"/>
        <v>Delayed</v>
      </c>
      <c r="W118" t="str">
        <f t="shared" si="6"/>
        <v>1 Hours 20 Minutes</v>
      </c>
      <c r="X118" t="str">
        <f t="shared" si="7"/>
        <v>Short Time Login</v>
      </c>
      <c r="AA118" s="34" t="s">
        <v>271</v>
      </c>
      <c r="AB118" s="34" t="s">
        <v>272</v>
      </c>
      <c r="AC118" s="34">
        <v>81</v>
      </c>
      <c r="AD118" s="34">
        <v>88</v>
      </c>
      <c r="AE118" s="34" t="s">
        <v>45</v>
      </c>
      <c r="AF118" s="34">
        <v>0</v>
      </c>
      <c r="AH118" s="34" t="s">
        <v>27</v>
      </c>
    </row>
    <row r="119" spans="1:34">
      <c r="A119" t="s">
        <v>273</v>
      </c>
      <c r="B119" t="s">
        <v>124</v>
      </c>
      <c r="C119">
        <v>19</v>
      </c>
      <c r="D119" t="s">
        <v>21</v>
      </c>
      <c r="E119" t="s">
        <v>44</v>
      </c>
      <c r="F119" t="s">
        <v>40</v>
      </c>
      <c r="G119" t="s">
        <v>41</v>
      </c>
      <c r="H119">
        <v>98</v>
      </c>
      <c r="I119">
        <v>100</v>
      </c>
      <c r="J119" t="s">
        <v>59</v>
      </c>
      <c r="K119">
        <v>18000</v>
      </c>
      <c r="L119">
        <v>18060</v>
      </c>
      <c r="M119">
        <v>2000</v>
      </c>
      <c r="N119" t="s">
        <v>26</v>
      </c>
      <c r="O119" t="s">
        <v>27</v>
      </c>
      <c r="P119" s="1">
        <v>45770</v>
      </c>
      <c r="Q119" s="1">
        <v>45800</v>
      </c>
      <c r="R119" s="2">
        <v>0.37708333333333333</v>
      </c>
      <c r="S119" s="2">
        <v>0.54583333333333328</v>
      </c>
      <c r="T119" t="str" cm="1">
        <f t="array" ref="T119">_xlfn.IFS(H119&gt;=90,"A",H119&gt;=75,"B",H119&gt;=60,"C",H119&lt;60,"D")</f>
        <v>A</v>
      </c>
      <c r="U119" t="str">
        <f t="shared" si="4"/>
        <v>09:03 AM</v>
      </c>
      <c r="V119" t="str">
        <f t="shared" si="5"/>
        <v>On Time</v>
      </c>
      <c r="W119" t="str">
        <f t="shared" si="6"/>
        <v>4 Hours 3 Minutes</v>
      </c>
      <c r="X119" t="str">
        <f t="shared" si="7"/>
        <v>Short Time Login</v>
      </c>
      <c r="AA119" s="35" t="s">
        <v>273</v>
      </c>
      <c r="AB119" s="35" t="s">
        <v>124</v>
      </c>
      <c r="AC119" s="35">
        <v>98</v>
      </c>
      <c r="AD119" s="35">
        <v>100</v>
      </c>
      <c r="AE119" s="35" t="s">
        <v>59</v>
      </c>
      <c r="AF119" s="35">
        <v>2000</v>
      </c>
      <c r="AH119" s="35" t="s">
        <v>27</v>
      </c>
    </row>
    <row r="120" spans="1:34">
      <c r="A120" t="s">
        <v>274</v>
      </c>
      <c r="B120" t="s">
        <v>199</v>
      </c>
      <c r="C120">
        <v>18</v>
      </c>
      <c r="D120" t="s">
        <v>35</v>
      </c>
      <c r="E120" t="s">
        <v>48</v>
      </c>
      <c r="F120" t="s">
        <v>31</v>
      </c>
      <c r="G120" t="s">
        <v>32</v>
      </c>
      <c r="H120">
        <v>74</v>
      </c>
      <c r="I120">
        <v>60</v>
      </c>
      <c r="J120" t="s">
        <v>68</v>
      </c>
      <c r="K120">
        <v>15000</v>
      </c>
      <c r="L120">
        <v>17110</v>
      </c>
      <c r="M120">
        <v>0</v>
      </c>
      <c r="N120" t="s">
        <v>11</v>
      </c>
      <c r="O120" t="s">
        <v>27</v>
      </c>
      <c r="P120" s="1">
        <v>45921</v>
      </c>
      <c r="Q120" s="1">
        <v>46011</v>
      </c>
      <c r="R120" s="2">
        <v>0.42430555555555555</v>
      </c>
      <c r="S120" s="2">
        <v>0.51944444444444449</v>
      </c>
      <c r="T120" t="str" cm="1">
        <f t="array" ref="T120">_xlfn.IFS(H120&gt;=90,"A",H120&gt;=75,"B",H120&gt;=60,"C",H120&lt;60,"D")</f>
        <v>C</v>
      </c>
      <c r="U120" t="str">
        <f t="shared" si="4"/>
        <v>10:11 AM</v>
      </c>
      <c r="V120" t="str">
        <f t="shared" si="5"/>
        <v>On Time</v>
      </c>
      <c r="W120" t="str">
        <f t="shared" si="6"/>
        <v>2 Hours 17 Minutes</v>
      </c>
      <c r="X120" t="str">
        <f t="shared" si="7"/>
        <v>Long Time Login</v>
      </c>
      <c r="AA120" s="34" t="s">
        <v>274</v>
      </c>
      <c r="AB120" s="34" t="s">
        <v>199</v>
      </c>
      <c r="AC120" s="34">
        <v>74</v>
      </c>
      <c r="AD120" s="34">
        <v>60</v>
      </c>
      <c r="AE120" s="34" t="s">
        <v>68</v>
      </c>
      <c r="AF120" s="34">
        <v>0</v>
      </c>
      <c r="AH120" s="34" t="s">
        <v>27</v>
      </c>
    </row>
    <row r="121" spans="1:34">
      <c r="A121" t="s">
        <v>275</v>
      </c>
      <c r="B121" t="s">
        <v>276</v>
      </c>
      <c r="C121">
        <v>28</v>
      </c>
      <c r="D121" t="s">
        <v>21</v>
      </c>
      <c r="E121" t="s">
        <v>48</v>
      </c>
      <c r="F121" t="s">
        <v>53</v>
      </c>
      <c r="G121" t="s">
        <v>54</v>
      </c>
      <c r="H121">
        <v>91</v>
      </c>
      <c r="I121">
        <v>79</v>
      </c>
      <c r="J121" t="s">
        <v>59</v>
      </c>
      <c r="K121">
        <v>20000</v>
      </c>
      <c r="L121">
        <v>23600</v>
      </c>
      <c r="M121">
        <v>0</v>
      </c>
      <c r="N121" t="s">
        <v>11</v>
      </c>
      <c r="O121" t="s">
        <v>27</v>
      </c>
      <c r="P121" s="1">
        <v>45890</v>
      </c>
      <c r="Q121" s="1">
        <v>45920</v>
      </c>
      <c r="R121" s="2">
        <v>0.41666666666666669</v>
      </c>
      <c r="S121" s="2">
        <v>0.61944444444444446</v>
      </c>
      <c r="T121" t="str" cm="1">
        <f t="array" ref="T121">_xlfn.IFS(H121&gt;=90,"A",H121&gt;=75,"B",H121&gt;=60,"C",H121&lt;60,"D")</f>
        <v>A</v>
      </c>
      <c r="U121" t="str">
        <f t="shared" si="4"/>
        <v>10:00 AM</v>
      </c>
      <c r="V121" t="str">
        <f t="shared" si="5"/>
        <v>On Time</v>
      </c>
      <c r="W121" t="str">
        <f t="shared" si="6"/>
        <v>4 Hours 52 Minutes</v>
      </c>
      <c r="X121" t="str">
        <f t="shared" si="7"/>
        <v>Short Time Login</v>
      </c>
      <c r="AA121" s="35" t="s">
        <v>275</v>
      </c>
      <c r="AB121" s="35" t="s">
        <v>276</v>
      </c>
      <c r="AC121" s="35">
        <v>91</v>
      </c>
      <c r="AD121" s="35">
        <v>79</v>
      </c>
      <c r="AE121" s="35" t="s">
        <v>59</v>
      </c>
      <c r="AF121" s="35">
        <v>0</v>
      </c>
      <c r="AH121" s="35" t="s">
        <v>27</v>
      </c>
    </row>
    <row r="122" spans="1:34">
      <c r="A122" t="s">
        <v>277</v>
      </c>
      <c r="B122" t="s">
        <v>278</v>
      </c>
      <c r="C122">
        <v>26</v>
      </c>
      <c r="D122" t="s">
        <v>21</v>
      </c>
      <c r="E122" t="s">
        <v>113</v>
      </c>
      <c r="F122" t="s">
        <v>57</v>
      </c>
      <c r="G122" t="s">
        <v>58</v>
      </c>
      <c r="H122">
        <v>97</v>
      </c>
      <c r="I122">
        <v>99</v>
      </c>
      <c r="J122" t="s">
        <v>59</v>
      </c>
      <c r="K122">
        <v>10000</v>
      </c>
      <c r="L122">
        <v>9800</v>
      </c>
      <c r="M122">
        <v>2000</v>
      </c>
      <c r="N122" t="s">
        <v>26</v>
      </c>
      <c r="O122" t="s">
        <v>27</v>
      </c>
      <c r="P122" s="1">
        <v>45806</v>
      </c>
      <c r="Q122" s="1">
        <v>45986</v>
      </c>
      <c r="R122" s="2">
        <v>0.3527777777777778</v>
      </c>
      <c r="S122" s="2">
        <v>0.47708333333333336</v>
      </c>
      <c r="T122" t="str" cm="1">
        <f t="array" ref="T122">_xlfn.IFS(H122&gt;=90,"A",H122&gt;=75,"B",H122&gt;=60,"C",H122&lt;60,"D")</f>
        <v>A</v>
      </c>
      <c r="U122" t="str">
        <f t="shared" si="4"/>
        <v>08:28 AM</v>
      </c>
      <c r="V122" t="str">
        <f t="shared" si="5"/>
        <v>Delayed</v>
      </c>
      <c r="W122" t="str">
        <f t="shared" si="6"/>
        <v>2 Hours 59 Minutes</v>
      </c>
      <c r="X122" t="str">
        <f t="shared" si="7"/>
        <v>Short Time Login</v>
      </c>
      <c r="AA122" s="34" t="s">
        <v>277</v>
      </c>
      <c r="AB122" s="34" t="s">
        <v>278</v>
      </c>
      <c r="AC122" s="34">
        <v>97</v>
      </c>
      <c r="AD122" s="34">
        <v>99</v>
      </c>
      <c r="AE122" s="34" t="s">
        <v>59</v>
      </c>
      <c r="AF122" s="34">
        <v>2000</v>
      </c>
      <c r="AH122" s="34" t="s">
        <v>27</v>
      </c>
    </row>
    <row r="123" spans="1:34">
      <c r="A123" t="s">
        <v>279</v>
      </c>
      <c r="B123" t="s">
        <v>197</v>
      </c>
      <c r="C123">
        <v>22</v>
      </c>
      <c r="D123" t="s">
        <v>21</v>
      </c>
      <c r="E123" t="s">
        <v>30</v>
      </c>
      <c r="F123" t="s">
        <v>40</v>
      </c>
      <c r="G123" t="s">
        <v>41</v>
      </c>
      <c r="H123">
        <v>36</v>
      </c>
      <c r="I123">
        <v>100</v>
      </c>
      <c r="J123" t="s">
        <v>25</v>
      </c>
      <c r="K123">
        <v>15000</v>
      </c>
      <c r="L123">
        <v>11930</v>
      </c>
      <c r="M123">
        <v>4000</v>
      </c>
      <c r="N123" t="s">
        <v>26</v>
      </c>
      <c r="O123" t="s">
        <v>127</v>
      </c>
      <c r="P123" s="1">
        <v>46003</v>
      </c>
      <c r="Q123" s="1">
        <v>46093</v>
      </c>
      <c r="R123" s="2">
        <v>0.40069444444444446</v>
      </c>
      <c r="S123" s="2">
        <v>0.56527777777777777</v>
      </c>
      <c r="T123" t="str" cm="1">
        <f t="array" ref="T123">_xlfn.IFS(H123&gt;=90,"A",H123&gt;=75,"B",H123&gt;=60,"C",H123&lt;60,"D")</f>
        <v>D</v>
      </c>
      <c r="U123" t="str">
        <f t="shared" si="4"/>
        <v>09:37 AM</v>
      </c>
      <c r="V123" t="str">
        <f t="shared" si="5"/>
        <v>On Time</v>
      </c>
      <c r="W123" t="str">
        <f t="shared" si="6"/>
        <v>3 Hours 57 Minutes</v>
      </c>
      <c r="X123" t="str">
        <f t="shared" si="7"/>
        <v>Short Time Login</v>
      </c>
      <c r="AA123" s="35" t="s">
        <v>279</v>
      </c>
      <c r="AB123" s="35" t="s">
        <v>197</v>
      </c>
      <c r="AC123" s="35">
        <v>36</v>
      </c>
      <c r="AD123" s="35">
        <v>100</v>
      </c>
      <c r="AE123" s="35" t="s">
        <v>25</v>
      </c>
      <c r="AF123" s="35">
        <v>4000</v>
      </c>
      <c r="AH123" s="35" t="s">
        <v>127</v>
      </c>
    </row>
    <row r="124" spans="1:34">
      <c r="A124" t="s">
        <v>280</v>
      </c>
      <c r="B124" t="s">
        <v>177</v>
      </c>
      <c r="C124">
        <v>21</v>
      </c>
      <c r="D124" t="s">
        <v>21</v>
      </c>
      <c r="E124" t="s">
        <v>39</v>
      </c>
      <c r="F124" t="s">
        <v>88</v>
      </c>
      <c r="G124" t="s">
        <v>89</v>
      </c>
      <c r="H124">
        <v>69</v>
      </c>
      <c r="I124">
        <v>99</v>
      </c>
      <c r="J124" t="s">
        <v>68</v>
      </c>
      <c r="K124">
        <v>18000</v>
      </c>
      <c r="L124">
        <v>20650</v>
      </c>
      <c r="M124">
        <v>0</v>
      </c>
      <c r="N124" t="s">
        <v>11</v>
      </c>
      <c r="O124" t="s">
        <v>27</v>
      </c>
      <c r="P124" s="1">
        <v>45743</v>
      </c>
      <c r="Q124" s="1">
        <v>45773</v>
      </c>
      <c r="R124" s="2">
        <v>0.37291666666666667</v>
      </c>
      <c r="S124" s="2">
        <v>0.52986111111111112</v>
      </c>
      <c r="T124" t="str" cm="1">
        <f t="array" ref="T124">_xlfn.IFS(H124&gt;=90,"A",H124&gt;=75,"B",H124&gt;=60,"C",H124&lt;60,"D")</f>
        <v>C</v>
      </c>
      <c r="U124" t="str">
        <f t="shared" si="4"/>
        <v>08:57 AM</v>
      </c>
      <c r="V124" t="str">
        <f t="shared" si="5"/>
        <v>On Time</v>
      </c>
      <c r="W124" t="str">
        <f t="shared" si="6"/>
        <v>3 Hours 46 Minutes</v>
      </c>
      <c r="X124" t="str">
        <f t="shared" si="7"/>
        <v>Short Time Login</v>
      </c>
      <c r="AA124" s="34" t="s">
        <v>280</v>
      </c>
      <c r="AB124" s="34" t="s">
        <v>177</v>
      </c>
      <c r="AC124" s="34">
        <v>69</v>
      </c>
      <c r="AD124" s="34">
        <v>99</v>
      </c>
      <c r="AE124" s="34" t="s">
        <v>68</v>
      </c>
      <c r="AF124" s="34">
        <v>0</v>
      </c>
      <c r="AH124" s="34" t="s">
        <v>27</v>
      </c>
    </row>
    <row r="125" spans="1:34">
      <c r="A125" t="s">
        <v>281</v>
      </c>
      <c r="B125" t="s">
        <v>282</v>
      </c>
      <c r="C125">
        <v>18</v>
      </c>
      <c r="D125" t="s">
        <v>35</v>
      </c>
      <c r="E125" t="s">
        <v>122</v>
      </c>
      <c r="F125" t="s">
        <v>31</v>
      </c>
      <c r="G125" t="s">
        <v>32</v>
      </c>
      <c r="H125">
        <v>50</v>
      </c>
      <c r="I125">
        <v>98</v>
      </c>
      <c r="J125" t="s">
        <v>25</v>
      </c>
      <c r="K125">
        <v>10000</v>
      </c>
      <c r="L125">
        <v>11800</v>
      </c>
      <c r="M125">
        <v>0</v>
      </c>
      <c r="N125" t="s">
        <v>11</v>
      </c>
      <c r="O125" t="s">
        <v>27</v>
      </c>
      <c r="P125" s="1">
        <v>45958</v>
      </c>
      <c r="Q125" s="1">
        <v>46078</v>
      </c>
      <c r="R125" s="2">
        <v>0.37013888888888891</v>
      </c>
      <c r="S125" s="2">
        <v>0.42222222222222222</v>
      </c>
      <c r="T125" t="str" cm="1">
        <f t="array" ref="T125">_xlfn.IFS(H125&gt;=90,"A",H125&gt;=75,"B",H125&gt;=60,"C",H125&lt;60,"D")</f>
        <v>D</v>
      </c>
      <c r="U125" t="str">
        <f t="shared" si="4"/>
        <v>08:53 AM</v>
      </c>
      <c r="V125" t="str">
        <f t="shared" si="5"/>
        <v>Delayed</v>
      </c>
      <c r="W125" t="str">
        <f t="shared" si="6"/>
        <v>1 Hours 15 Minutes</v>
      </c>
      <c r="X125" t="str">
        <f t="shared" si="7"/>
        <v>Short Time Login</v>
      </c>
      <c r="AA125" s="35" t="s">
        <v>281</v>
      </c>
      <c r="AB125" s="35" t="s">
        <v>282</v>
      </c>
      <c r="AC125" s="35">
        <v>50</v>
      </c>
      <c r="AD125" s="35">
        <v>98</v>
      </c>
      <c r="AE125" s="35" t="s">
        <v>25</v>
      </c>
      <c r="AF125" s="35">
        <v>0</v>
      </c>
      <c r="AH125" s="35" t="s">
        <v>27</v>
      </c>
    </row>
    <row r="126" spans="1:34">
      <c r="A126" t="s">
        <v>283</v>
      </c>
      <c r="B126" t="s">
        <v>222</v>
      </c>
      <c r="C126">
        <v>28</v>
      </c>
      <c r="D126" t="s">
        <v>35</v>
      </c>
      <c r="E126" t="s">
        <v>44</v>
      </c>
      <c r="F126" t="s">
        <v>23</v>
      </c>
      <c r="G126" t="s">
        <v>24</v>
      </c>
      <c r="H126">
        <v>38</v>
      </c>
      <c r="I126">
        <v>68</v>
      </c>
      <c r="J126" t="s">
        <v>25</v>
      </c>
      <c r="K126">
        <v>18000</v>
      </c>
      <c r="L126">
        <v>20060</v>
      </c>
      <c r="M126">
        <v>0</v>
      </c>
      <c r="N126" t="s">
        <v>11</v>
      </c>
      <c r="O126" t="s">
        <v>127</v>
      </c>
      <c r="P126" s="1">
        <v>45876</v>
      </c>
      <c r="Q126" s="1">
        <v>45996</v>
      </c>
      <c r="R126" s="2">
        <v>0.34305555555555556</v>
      </c>
      <c r="S126" s="2">
        <v>0.3923611111111111</v>
      </c>
      <c r="T126" t="str" cm="1">
        <f t="array" ref="T126">_xlfn.IFS(H126&gt;=90,"A",H126&gt;=75,"B",H126&gt;=60,"C",H126&lt;60,"D")</f>
        <v>D</v>
      </c>
      <c r="U126" t="str">
        <f t="shared" si="4"/>
        <v>08:14 AM</v>
      </c>
      <c r="V126" t="str">
        <f t="shared" si="5"/>
        <v>Delayed</v>
      </c>
      <c r="W126" t="str">
        <f t="shared" si="6"/>
        <v>1 Hours 11 Minutes</v>
      </c>
      <c r="X126" t="str">
        <f t="shared" si="7"/>
        <v>Short Time Login</v>
      </c>
      <c r="AA126" s="34" t="s">
        <v>283</v>
      </c>
      <c r="AB126" s="34" t="s">
        <v>222</v>
      </c>
      <c r="AC126" s="34">
        <v>38</v>
      </c>
      <c r="AD126" s="34">
        <v>68</v>
      </c>
      <c r="AE126" s="34" t="s">
        <v>25</v>
      </c>
      <c r="AF126" s="34">
        <v>0</v>
      </c>
      <c r="AH126" s="34" t="s">
        <v>127</v>
      </c>
    </row>
    <row r="127" spans="1:34">
      <c r="A127" t="s">
        <v>284</v>
      </c>
      <c r="B127" t="s">
        <v>79</v>
      </c>
      <c r="C127">
        <v>18</v>
      </c>
      <c r="D127" t="s">
        <v>35</v>
      </c>
      <c r="E127" t="s">
        <v>36</v>
      </c>
      <c r="F127" t="s">
        <v>49</v>
      </c>
      <c r="G127" t="s">
        <v>50</v>
      </c>
      <c r="H127">
        <v>100</v>
      </c>
      <c r="I127">
        <v>63</v>
      </c>
      <c r="J127" t="s">
        <v>59</v>
      </c>
      <c r="K127">
        <v>18000</v>
      </c>
      <c r="L127">
        <v>17470</v>
      </c>
      <c r="M127">
        <v>2000</v>
      </c>
      <c r="N127" t="s">
        <v>26</v>
      </c>
      <c r="O127" t="s">
        <v>27</v>
      </c>
      <c r="P127" s="1">
        <v>45670</v>
      </c>
      <c r="Q127" s="1">
        <v>45850</v>
      </c>
      <c r="R127" s="2">
        <v>0.37013888888888891</v>
      </c>
      <c r="S127" s="2">
        <v>0.41875000000000001</v>
      </c>
      <c r="T127" t="str" cm="1">
        <f t="array" ref="T127">_xlfn.IFS(H127&gt;=90,"A",H127&gt;=75,"B",H127&gt;=60,"C",H127&lt;60,"D")</f>
        <v>A</v>
      </c>
      <c r="U127" t="str">
        <f t="shared" si="4"/>
        <v>08:53 AM</v>
      </c>
      <c r="V127" t="str">
        <f t="shared" si="5"/>
        <v>Delayed</v>
      </c>
      <c r="W127" t="str">
        <f t="shared" si="6"/>
        <v>1 Hours 10 Minutes</v>
      </c>
      <c r="X127" t="str">
        <f t="shared" si="7"/>
        <v>Short Time Login</v>
      </c>
      <c r="AA127" s="35" t="s">
        <v>284</v>
      </c>
      <c r="AB127" s="35" t="s">
        <v>79</v>
      </c>
      <c r="AC127" s="35">
        <v>100</v>
      </c>
      <c r="AD127" s="35">
        <v>63</v>
      </c>
      <c r="AE127" s="35" t="s">
        <v>59</v>
      </c>
      <c r="AF127" s="35">
        <v>2000</v>
      </c>
      <c r="AH127" s="35" t="s">
        <v>27</v>
      </c>
    </row>
    <row r="128" spans="1:34">
      <c r="A128" t="s">
        <v>285</v>
      </c>
      <c r="B128" t="s">
        <v>264</v>
      </c>
      <c r="C128">
        <v>19</v>
      </c>
      <c r="D128" t="s">
        <v>21</v>
      </c>
      <c r="E128" t="s">
        <v>73</v>
      </c>
      <c r="F128" t="s">
        <v>88</v>
      </c>
      <c r="G128" t="s">
        <v>89</v>
      </c>
      <c r="H128">
        <v>73</v>
      </c>
      <c r="I128">
        <v>60</v>
      </c>
      <c r="J128" t="s">
        <v>68</v>
      </c>
      <c r="K128">
        <v>10000</v>
      </c>
      <c r="L128">
        <v>6030</v>
      </c>
      <c r="M128">
        <v>4000</v>
      </c>
      <c r="N128" t="s">
        <v>26</v>
      </c>
      <c r="O128" t="s">
        <v>27</v>
      </c>
      <c r="P128" s="1">
        <v>45726</v>
      </c>
      <c r="Q128" s="1">
        <v>45756</v>
      </c>
      <c r="R128" s="2">
        <v>0.3972222222222222</v>
      </c>
      <c r="S128" s="2">
        <v>0.54097222222222219</v>
      </c>
      <c r="T128" t="str" cm="1">
        <f t="array" ref="T128">_xlfn.IFS(H128&gt;=90,"A",H128&gt;=75,"B",H128&gt;=60,"C",H128&lt;60,"D")</f>
        <v>C</v>
      </c>
      <c r="U128" t="str">
        <f t="shared" si="4"/>
        <v>09:32 AM</v>
      </c>
      <c r="V128" t="str">
        <f t="shared" si="5"/>
        <v>On Time</v>
      </c>
      <c r="W128" t="str">
        <f t="shared" si="6"/>
        <v>3 Hours 27 Minutes</v>
      </c>
      <c r="X128" t="str">
        <f t="shared" si="7"/>
        <v>Short Time Login</v>
      </c>
      <c r="AA128" s="34" t="s">
        <v>285</v>
      </c>
      <c r="AB128" s="34" t="s">
        <v>264</v>
      </c>
      <c r="AC128" s="34">
        <v>73</v>
      </c>
      <c r="AD128" s="34">
        <v>60</v>
      </c>
      <c r="AE128" s="34" t="s">
        <v>68</v>
      </c>
      <c r="AF128" s="34">
        <v>4000</v>
      </c>
      <c r="AH128" s="34" t="s">
        <v>27</v>
      </c>
    </row>
    <row r="129" spans="1:34">
      <c r="A129" t="s">
        <v>286</v>
      </c>
      <c r="B129" t="s">
        <v>121</v>
      </c>
      <c r="C129">
        <v>23</v>
      </c>
      <c r="D129" t="s">
        <v>21</v>
      </c>
      <c r="E129" t="s">
        <v>96</v>
      </c>
      <c r="F129" t="s">
        <v>31</v>
      </c>
      <c r="G129" t="s">
        <v>32</v>
      </c>
      <c r="H129">
        <v>57</v>
      </c>
      <c r="I129">
        <v>63</v>
      </c>
      <c r="J129" t="s">
        <v>25</v>
      </c>
      <c r="K129">
        <v>15000</v>
      </c>
      <c r="L129">
        <v>14520</v>
      </c>
      <c r="M129">
        <v>2000</v>
      </c>
      <c r="N129" t="s">
        <v>26</v>
      </c>
      <c r="O129" t="s">
        <v>27</v>
      </c>
      <c r="P129" s="1">
        <v>45852</v>
      </c>
      <c r="Q129" s="1">
        <v>45972</v>
      </c>
      <c r="R129" s="2">
        <v>0.35833333333333334</v>
      </c>
      <c r="S129" s="2">
        <v>0.5395833333333333</v>
      </c>
      <c r="T129" t="str" cm="1">
        <f t="array" ref="T129">_xlfn.IFS(H129&gt;=90,"A",H129&gt;=75,"B",H129&gt;=60,"C",H129&lt;60,"D")</f>
        <v>D</v>
      </c>
      <c r="U129" t="str">
        <f t="shared" si="4"/>
        <v>08:36 AM</v>
      </c>
      <c r="V129" t="str">
        <f t="shared" si="5"/>
        <v>Delayed</v>
      </c>
      <c r="W129" t="str">
        <f t="shared" si="6"/>
        <v>4 Hours 21 Minutes</v>
      </c>
      <c r="X129" t="str">
        <f t="shared" si="7"/>
        <v>Short Time Login</v>
      </c>
      <c r="AA129" s="35" t="s">
        <v>286</v>
      </c>
      <c r="AB129" s="35" t="s">
        <v>121</v>
      </c>
      <c r="AC129" s="35">
        <v>57</v>
      </c>
      <c r="AD129" s="35">
        <v>63</v>
      </c>
      <c r="AE129" s="35" t="s">
        <v>25</v>
      </c>
      <c r="AF129" s="35">
        <v>2000</v>
      </c>
      <c r="AH129" s="35" t="s">
        <v>27</v>
      </c>
    </row>
    <row r="130" spans="1:34">
      <c r="A130" t="s">
        <v>287</v>
      </c>
      <c r="B130" t="s">
        <v>162</v>
      </c>
      <c r="C130">
        <v>20</v>
      </c>
      <c r="D130" t="s">
        <v>35</v>
      </c>
      <c r="E130" t="s">
        <v>62</v>
      </c>
      <c r="F130" t="s">
        <v>57</v>
      </c>
      <c r="G130" t="s">
        <v>58</v>
      </c>
      <c r="H130">
        <v>97</v>
      </c>
      <c r="I130">
        <v>74</v>
      </c>
      <c r="J130" t="s">
        <v>59</v>
      </c>
      <c r="K130">
        <v>18000</v>
      </c>
      <c r="L130">
        <v>16060</v>
      </c>
      <c r="M130">
        <v>4000</v>
      </c>
      <c r="N130" t="s">
        <v>26</v>
      </c>
      <c r="O130" t="s">
        <v>27</v>
      </c>
      <c r="P130" s="1">
        <v>45713</v>
      </c>
      <c r="Q130" s="1">
        <v>45803</v>
      </c>
      <c r="R130" s="2">
        <v>0.4201388888888889</v>
      </c>
      <c r="S130" s="2">
        <v>0.58194444444444449</v>
      </c>
      <c r="T130" t="str" cm="1">
        <f t="array" ref="T130">_xlfn.IFS(H130&gt;=90,"A",H130&gt;=75,"B",H130&gt;=60,"C",H130&lt;60,"D")</f>
        <v>A</v>
      </c>
      <c r="U130" t="str">
        <f t="shared" ref="U130:U193" si="8">TEXT(R130,"hh:mm AM/PM")</f>
        <v>10:05 AM</v>
      </c>
      <c r="V130" t="str">
        <f t="shared" ref="V130:V193" si="9">IF(_xlfn.DAYS(Q130,P130)&lt;=90,"On Time","Delayed")</f>
        <v>On Time</v>
      </c>
      <c r="W130" t="str">
        <f t="shared" ref="W130:W193" si="10">HOUR(S130-R130)&amp;" Hours "&amp;MINUTE(S130-R130)&amp;" Minutes"</f>
        <v>3 Hours 53 Minutes</v>
      </c>
      <c r="X130" t="str">
        <f t="shared" ref="X130:X193" si="11">IF(R130&gt;TIME(10,0,0),"Long Time Login","Short Time Login")</f>
        <v>Long Time Login</v>
      </c>
      <c r="AA130" s="34" t="s">
        <v>287</v>
      </c>
      <c r="AB130" s="34" t="s">
        <v>162</v>
      </c>
      <c r="AC130" s="34">
        <v>97</v>
      </c>
      <c r="AD130" s="34">
        <v>74</v>
      </c>
      <c r="AE130" s="34" t="s">
        <v>59</v>
      </c>
      <c r="AF130" s="34">
        <v>4000</v>
      </c>
      <c r="AH130" s="34" t="s">
        <v>27</v>
      </c>
    </row>
    <row r="131" spans="1:34">
      <c r="A131" t="s">
        <v>288</v>
      </c>
      <c r="B131" t="s">
        <v>187</v>
      </c>
      <c r="C131">
        <v>23</v>
      </c>
      <c r="D131" t="s">
        <v>35</v>
      </c>
      <c r="E131" t="s">
        <v>22</v>
      </c>
      <c r="F131" t="s">
        <v>31</v>
      </c>
      <c r="G131" t="s">
        <v>32</v>
      </c>
      <c r="H131">
        <v>62</v>
      </c>
      <c r="I131">
        <v>84</v>
      </c>
      <c r="J131" t="s">
        <v>68</v>
      </c>
      <c r="K131">
        <v>18000</v>
      </c>
      <c r="L131">
        <v>18060</v>
      </c>
      <c r="M131">
        <v>2000</v>
      </c>
      <c r="N131" t="s">
        <v>26</v>
      </c>
      <c r="O131" t="s">
        <v>27</v>
      </c>
      <c r="P131" s="1">
        <v>45797</v>
      </c>
      <c r="Q131" s="1">
        <v>45917</v>
      </c>
      <c r="R131" s="2">
        <v>0.39097222222222222</v>
      </c>
      <c r="S131" s="2">
        <v>0.56458333333333333</v>
      </c>
      <c r="T131" t="str" cm="1">
        <f t="array" ref="T131">_xlfn.IFS(H131&gt;=90,"A",H131&gt;=75,"B",H131&gt;=60,"C",H131&lt;60,"D")</f>
        <v>C</v>
      </c>
      <c r="U131" t="str">
        <f t="shared" si="8"/>
        <v>09:23 AM</v>
      </c>
      <c r="V131" t="str">
        <f t="shared" si="9"/>
        <v>Delayed</v>
      </c>
      <c r="W131" t="str">
        <f t="shared" si="10"/>
        <v>4 Hours 10 Minutes</v>
      </c>
      <c r="X131" t="str">
        <f t="shared" si="11"/>
        <v>Short Time Login</v>
      </c>
      <c r="AA131" s="35" t="s">
        <v>288</v>
      </c>
      <c r="AB131" s="35" t="s">
        <v>187</v>
      </c>
      <c r="AC131" s="35">
        <v>62</v>
      </c>
      <c r="AD131" s="35">
        <v>84</v>
      </c>
      <c r="AE131" s="35" t="s">
        <v>68</v>
      </c>
      <c r="AF131" s="35">
        <v>2000</v>
      </c>
      <c r="AH131" s="35" t="s">
        <v>27</v>
      </c>
    </row>
    <row r="132" spans="1:34">
      <c r="A132" t="s">
        <v>289</v>
      </c>
      <c r="B132" t="s">
        <v>215</v>
      </c>
      <c r="C132">
        <v>21</v>
      </c>
      <c r="D132" t="s">
        <v>35</v>
      </c>
      <c r="E132" t="s">
        <v>44</v>
      </c>
      <c r="F132" t="s">
        <v>49</v>
      </c>
      <c r="G132" t="s">
        <v>50</v>
      </c>
      <c r="H132">
        <v>48</v>
      </c>
      <c r="I132">
        <v>71</v>
      </c>
      <c r="J132" t="s">
        <v>25</v>
      </c>
      <c r="K132">
        <v>10000</v>
      </c>
      <c r="L132">
        <v>6620</v>
      </c>
      <c r="M132">
        <v>4000</v>
      </c>
      <c r="N132" t="s">
        <v>26</v>
      </c>
      <c r="O132" t="s">
        <v>27</v>
      </c>
      <c r="P132" s="1">
        <v>45977</v>
      </c>
      <c r="Q132" s="1">
        <v>46067</v>
      </c>
      <c r="R132" s="2">
        <v>0.34375</v>
      </c>
      <c r="S132" s="2">
        <v>0.43888888888888888</v>
      </c>
      <c r="T132" t="str" cm="1">
        <f t="array" ref="T132">_xlfn.IFS(H132&gt;=90,"A",H132&gt;=75,"B",H132&gt;=60,"C",H132&lt;60,"D")</f>
        <v>D</v>
      </c>
      <c r="U132" t="str">
        <f t="shared" si="8"/>
        <v>08:15 AM</v>
      </c>
      <c r="V132" t="str">
        <f t="shared" si="9"/>
        <v>On Time</v>
      </c>
      <c r="W132" t="str">
        <f t="shared" si="10"/>
        <v>2 Hours 17 Minutes</v>
      </c>
      <c r="X132" t="str">
        <f t="shared" si="11"/>
        <v>Short Time Login</v>
      </c>
      <c r="AA132" s="34" t="s">
        <v>289</v>
      </c>
      <c r="AB132" s="34" t="s">
        <v>215</v>
      </c>
      <c r="AC132" s="34">
        <v>48</v>
      </c>
      <c r="AD132" s="34">
        <v>71</v>
      </c>
      <c r="AE132" s="34" t="s">
        <v>25</v>
      </c>
      <c r="AF132" s="34">
        <v>4000</v>
      </c>
      <c r="AH132" s="34" t="s">
        <v>27</v>
      </c>
    </row>
    <row r="133" spans="1:34">
      <c r="A133" t="s">
        <v>290</v>
      </c>
      <c r="B133" t="s">
        <v>291</v>
      </c>
      <c r="C133">
        <v>28</v>
      </c>
      <c r="D133" t="s">
        <v>35</v>
      </c>
      <c r="E133" t="s">
        <v>73</v>
      </c>
      <c r="F133" t="s">
        <v>23</v>
      </c>
      <c r="G133" t="s">
        <v>24</v>
      </c>
      <c r="H133">
        <v>90</v>
      </c>
      <c r="I133">
        <v>70</v>
      </c>
      <c r="J133" t="s">
        <v>59</v>
      </c>
      <c r="K133">
        <v>10000</v>
      </c>
      <c r="L133">
        <v>7800</v>
      </c>
      <c r="M133">
        <v>4000</v>
      </c>
      <c r="N133" t="s">
        <v>26</v>
      </c>
      <c r="O133" t="s">
        <v>27</v>
      </c>
      <c r="P133" s="1">
        <v>45962</v>
      </c>
      <c r="Q133" s="1">
        <v>46082</v>
      </c>
      <c r="R133" s="2">
        <v>0.41805555555555557</v>
      </c>
      <c r="S133" s="2">
        <v>0.52638888888888891</v>
      </c>
      <c r="T133" t="str" cm="1">
        <f t="array" ref="T133">_xlfn.IFS(H133&gt;=90,"A",H133&gt;=75,"B",H133&gt;=60,"C",H133&lt;60,"D")</f>
        <v>A</v>
      </c>
      <c r="U133" t="str">
        <f t="shared" si="8"/>
        <v>10:02 AM</v>
      </c>
      <c r="V133" t="str">
        <f t="shared" si="9"/>
        <v>Delayed</v>
      </c>
      <c r="W133" t="str">
        <f t="shared" si="10"/>
        <v>2 Hours 36 Minutes</v>
      </c>
      <c r="X133" t="str">
        <f t="shared" si="11"/>
        <v>Long Time Login</v>
      </c>
      <c r="AA133" s="35" t="s">
        <v>290</v>
      </c>
      <c r="AB133" s="35" t="s">
        <v>291</v>
      </c>
      <c r="AC133" s="35">
        <v>90</v>
      </c>
      <c r="AD133" s="35">
        <v>70</v>
      </c>
      <c r="AE133" s="35" t="s">
        <v>59</v>
      </c>
      <c r="AF133" s="35">
        <v>4000</v>
      </c>
      <c r="AH133" s="35" t="s">
        <v>27</v>
      </c>
    </row>
    <row r="134" spans="1:34">
      <c r="A134" t="s">
        <v>292</v>
      </c>
      <c r="B134" t="s">
        <v>293</v>
      </c>
      <c r="C134">
        <v>19</v>
      </c>
      <c r="D134" t="s">
        <v>21</v>
      </c>
      <c r="E134" t="s">
        <v>113</v>
      </c>
      <c r="F134" t="s">
        <v>57</v>
      </c>
      <c r="G134" t="s">
        <v>58</v>
      </c>
      <c r="H134">
        <v>81</v>
      </c>
      <c r="I134">
        <v>77</v>
      </c>
      <c r="J134" t="s">
        <v>45</v>
      </c>
      <c r="K134">
        <v>15000</v>
      </c>
      <c r="L134">
        <v>16520</v>
      </c>
      <c r="M134">
        <v>0</v>
      </c>
      <c r="N134" t="s">
        <v>11</v>
      </c>
      <c r="O134" t="s">
        <v>27</v>
      </c>
      <c r="P134" s="1">
        <v>45989</v>
      </c>
      <c r="Q134" s="1">
        <v>46019</v>
      </c>
      <c r="R134" s="2">
        <v>0.41944444444444445</v>
      </c>
      <c r="S134" s="2">
        <v>0.52083333333333337</v>
      </c>
      <c r="T134" t="str" cm="1">
        <f t="array" ref="T134">_xlfn.IFS(H134&gt;=90,"A",H134&gt;=75,"B",H134&gt;=60,"C",H134&lt;60,"D")</f>
        <v>B</v>
      </c>
      <c r="U134" t="str">
        <f t="shared" si="8"/>
        <v>10:04 AM</v>
      </c>
      <c r="V134" t="str">
        <f t="shared" si="9"/>
        <v>On Time</v>
      </c>
      <c r="W134" t="str">
        <f t="shared" si="10"/>
        <v>2 Hours 26 Minutes</v>
      </c>
      <c r="X134" t="str">
        <f t="shared" si="11"/>
        <v>Long Time Login</v>
      </c>
      <c r="AA134" s="34" t="s">
        <v>292</v>
      </c>
      <c r="AB134" s="34" t="s">
        <v>293</v>
      </c>
      <c r="AC134" s="34">
        <v>81</v>
      </c>
      <c r="AD134" s="34">
        <v>77</v>
      </c>
      <c r="AE134" s="34" t="s">
        <v>45</v>
      </c>
      <c r="AF134" s="34">
        <v>0</v>
      </c>
      <c r="AH134" s="34" t="s">
        <v>27</v>
      </c>
    </row>
    <row r="135" spans="1:34">
      <c r="A135" t="s">
        <v>294</v>
      </c>
      <c r="B135" t="s">
        <v>295</v>
      </c>
      <c r="C135">
        <v>19</v>
      </c>
      <c r="D135" t="s">
        <v>35</v>
      </c>
      <c r="E135" t="s">
        <v>44</v>
      </c>
      <c r="F135" t="s">
        <v>40</v>
      </c>
      <c r="G135" t="s">
        <v>41</v>
      </c>
      <c r="H135">
        <v>52</v>
      </c>
      <c r="I135">
        <v>89</v>
      </c>
      <c r="J135" t="s">
        <v>25</v>
      </c>
      <c r="K135">
        <v>10000</v>
      </c>
      <c r="L135">
        <v>10620</v>
      </c>
      <c r="M135">
        <v>0</v>
      </c>
      <c r="N135" t="s">
        <v>11</v>
      </c>
      <c r="O135" t="s">
        <v>27</v>
      </c>
      <c r="P135" s="1">
        <v>45716</v>
      </c>
      <c r="Q135" s="1">
        <v>45776</v>
      </c>
      <c r="R135" s="2">
        <v>0.42291666666666666</v>
      </c>
      <c r="S135" s="2">
        <v>0.53333333333333333</v>
      </c>
      <c r="T135" t="str" cm="1">
        <f t="array" ref="T135">_xlfn.IFS(H135&gt;=90,"A",H135&gt;=75,"B",H135&gt;=60,"C",H135&lt;60,"D")</f>
        <v>D</v>
      </c>
      <c r="U135" t="str">
        <f t="shared" si="8"/>
        <v>10:09 AM</v>
      </c>
      <c r="V135" t="str">
        <f t="shared" si="9"/>
        <v>On Time</v>
      </c>
      <c r="W135" t="str">
        <f t="shared" si="10"/>
        <v>2 Hours 39 Minutes</v>
      </c>
      <c r="X135" t="str">
        <f t="shared" si="11"/>
        <v>Long Time Login</v>
      </c>
      <c r="AA135" s="35" t="s">
        <v>294</v>
      </c>
      <c r="AB135" s="35" t="s">
        <v>295</v>
      </c>
      <c r="AC135" s="35">
        <v>52</v>
      </c>
      <c r="AD135" s="35">
        <v>89</v>
      </c>
      <c r="AE135" s="35" t="s">
        <v>25</v>
      </c>
      <c r="AF135" s="35">
        <v>0</v>
      </c>
      <c r="AH135" s="35" t="s">
        <v>27</v>
      </c>
    </row>
    <row r="136" spans="1:34">
      <c r="A136" t="s">
        <v>296</v>
      </c>
      <c r="B136" t="s">
        <v>241</v>
      </c>
      <c r="C136">
        <v>22</v>
      </c>
      <c r="D136" t="s">
        <v>35</v>
      </c>
      <c r="E136" t="s">
        <v>48</v>
      </c>
      <c r="F136" t="s">
        <v>49</v>
      </c>
      <c r="G136" t="s">
        <v>50</v>
      </c>
      <c r="H136">
        <v>97</v>
      </c>
      <c r="I136">
        <v>76</v>
      </c>
      <c r="J136" t="s">
        <v>59</v>
      </c>
      <c r="K136">
        <v>20000</v>
      </c>
      <c r="L136">
        <v>20420</v>
      </c>
      <c r="M136">
        <v>2000</v>
      </c>
      <c r="N136" t="s">
        <v>26</v>
      </c>
      <c r="O136" t="s">
        <v>27</v>
      </c>
      <c r="P136" s="1">
        <v>45774</v>
      </c>
      <c r="Q136" s="1">
        <v>45894</v>
      </c>
      <c r="R136" s="2">
        <v>0.38263888888888886</v>
      </c>
      <c r="S136" s="2">
        <v>0.46250000000000002</v>
      </c>
      <c r="T136" t="str" cm="1">
        <f t="array" ref="T136">_xlfn.IFS(H136&gt;=90,"A",H136&gt;=75,"B",H136&gt;=60,"C",H136&lt;60,"D")</f>
        <v>A</v>
      </c>
      <c r="U136" t="str">
        <f t="shared" si="8"/>
        <v>09:11 AM</v>
      </c>
      <c r="V136" t="str">
        <f t="shared" si="9"/>
        <v>Delayed</v>
      </c>
      <c r="W136" t="str">
        <f t="shared" si="10"/>
        <v>1 Hours 55 Minutes</v>
      </c>
      <c r="X136" t="str">
        <f t="shared" si="11"/>
        <v>Short Time Login</v>
      </c>
      <c r="AA136" s="34" t="s">
        <v>296</v>
      </c>
      <c r="AB136" s="34" t="s">
        <v>241</v>
      </c>
      <c r="AC136" s="34">
        <v>97</v>
      </c>
      <c r="AD136" s="34">
        <v>76</v>
      </c>
      <c r="AE136" s="34" t="s">
        <v>59</v>
      </c>
      <c r="AF136" s="34">
        <v>2000</v>
      </c>
      <c r="AH136" s="34" t="s">
        <v>27</v>
      </c>
    </row>
    <row r="137" spans="1:34">
      <c r="A137" t="s">
        <v>297</v>
      </c>
      <c r="B137" t="s">
        <v>197</v>
      </c>
      <c r="C137">
        <v>24</v>
      </c>
      <c r="D137" t="s">
        <v>21</v>
      </c>
      <c r="E137" t="s">
        <v>73</v>
      </c>
      <c r="F137" t="s">
        <v>88</v>
      </c>
      <c r="G137" t="s">
        <v>89</v>
      </c>
      <c r="H137">
        <v>73</v>
      </c>
      <c r="I137">
        <v>92</v>
      </c>
      <c r="J137" t="s">
        <v>68</v>
      </c>
      <c r="K137">
        <v>10000</v>
      </c>
      <c r="L137">
        <v>7800</v>
      </c>
      <c r="M137">
        <v>4000</v>
      </c>
      <c r="N137" t="s">
        <v>26</v>
      </c>
      <c r="O137" t="s">
        <v>27</v>
      </c>
      <c r="P137" s="1">
        <v>45674</v>
      </c>
      <c r="Q137" s="1">
        <v>45764</v>
      </c>
      <c r="R137" s="2">
        <v>0.45277777777777778</v>
      </c>
      <c r="S137" s="2">
        <v>0.50555555555555554</v>
      </c>
      <c r="T137" t="str" cm="1">
        <f t="array" ref="T137">_xlfn.IFS(H137&gt;=90,"A",H137&gt;=75,"B",H137&gt;=60,"C",H137&lt;60,"D")</f>
        <v>C</v>
      </c>
      <c r="U137" t="str">
        <f t="shared" si="8"/>
        <v>10:52 AM</v>
      </c>
      <c r="V137" t="str">
        <f t="shared" si="9"/>
        <v>On Time</v>
      </c>
      <c r="W137" t="str">
        <f t="shared" si="10"/>
        <v>1 Hours 16 Minutes</v>
      </c>
      <c r="X137" t="str">
        <f t="shared" si="11"/>
        <v>Long Time Login</v>
      </c>
      <c r="AA137" s="35" t="s">
        <v>297</v>
      </c>
      <c r="AB137" s="35" t="s">
        <v>197</v>
      </c>
      <c r="AC137" s="35">
        <v>73</v>
      </c>
      <c r="AD137" s="35">
        <v>92</v>
      </c>
      <c r="AE137" s="35" t="s">
        <v>68</v>
      </c>
      <c r="AF137" s="35">
        <v>4000</v>
      </c>
      <c r="AH137" s="35" t="s">
        <v>27</v>
      </c>
    </row>
    <row r="138" spans="1:34">
      <c r="A138" t="s">
        <v>298</v>
      </c>
      <c r="B138" t="s">
        <v>117</v>
      </c>
      <c r="C138">
        <v>21</v>
      </c>
      <c r="D138" t="s">
        <v>35</v>
      </c>
      <c r="E138" t="s">
        <v>36</v>
      </c>
      <c r="F138" t="s">
        <v>23</v>
      </c>
      <c r="G138" t="s">
        <v>24</v>
      </c>
      <c r="H138">
        <v>46</v>
      </c>
      <c r="I138">
        <v>94</v>
      </c>
      <c r="J138" t="s">
        <v>25</v>
      </c>
      <c r="K138">
        <v>20000</v>
      </c>
      <c r="L138">
        <v>21010</v>
      </c>
      <c r="M138">
        <v>2000</v>
      </c>
      <c r="N138" t="s">
        <v>26</v>
      </c>
      <c r="O138" t="s">
        <v>27</v>
      </c>
      <c r="P138" s="1">
        <v>45795</v>
      </c>
      <c r="Q138" s="1">
        <v>45975</v>
      </c>
      <c r="R138" s="2">
        <v>0.38750000000000001</v>
      </c>
      <c r="S138" s="2">
        <v>0.43472222222222223</v>
      </c>
      <c r="T138" t="str" cm="1">
        <f t="array" ref="T138">_xlfn.IFS(H138&gt;=90,"A",H138&gt;=75,"B",H138&gt;=60,"C",H138&lt;60,"D")</f>
        <v>D</v>
      </c>
      <c r="U138" t="str">
        <f t="shared" si="8"/>
        <v>09:18 AM</v>
      </c>
      <c r="V138" t="str">
        <f t="shared" si="9"/>
        <v>Delayed</v>
      </c>
      <c r="W138" t="str">
        <f t="shared" si="10"/>
        <v>1 Hours 8 Minutes</v>
      </c>
      <c r="X138" t="str">
        <f t="shared" si="11"/>
        <v>Short Time Login</v>
      </c>
      <c r="AA138" s="34" t="s">
        <v>298</v>
      </c>
      <c r="AB138" s="34" t="s">
        <v>117</v>
      </c>
      <c r="AC138" s="34">
        <v>46</v>
      </c>
      <c r="AD138" s="34">
        <v>94</v>
      </c>
      <c r="AE138" s="34" t="s">
        <v>25</v>
      </c>
      <c r="AF138" s="34">
        <v>2000</v>
      </c>
      <c r="AH138" s="34" t="s">
        <v>27</v>
      </c>
    </row>
    <row r="139" spans="1:34">
      <c r="A139" t="s">
        <v>299</v>
      </c>
      <c r="B139" t="s">
        <v>300</v>
      </c>
      <c r="C139">
        <v>28</v>
      </c>
      <c r="D139" t="s">
        <v>35</v>
      </c>
      <c r="E139" t="s">
        <v>122</v>
      </c>
      <c r="F139" t="s">
        <v>31</v>
      </c>
      <c r="G139" t="s">
        <v>32</v>
      </c>
      <c r="H139">
        <v>45</v>
      </c>
      <c r="I139">
        <v>88</v>
      </c>
      <c r="J139" t="s">
        <v>25</v>
      </c>
      <c r="K139">
        <v>20000</v>
      </c>
      <c r="L139">
        <v>21010</v>
      </c>
      <c r="M139">
        <v>2000</v>
      </c>
      <c r="N139" t="s">
        <v>26</v>
      </c>
      <c r="O139" t="s">
        <v>27</v>
      </c>
      <c r="P139" s="1">
        <v>45972</v>
      </c>
      <c r="Q139" s="1">
        <v>46002</v>
      </c>
      <c r="R139" s="2">
        <v>0.39444444444444443</v>
      </c>
      <c r="S139" s="2">
        <v>0.48958333333333331</v>
      </c>
      <c r="T139" t="str" cm="1">
        <f t="array" ref="T139">_xlfn.IFS(H139&gt;=90,"A",H139&gt;=75,"B",H139&gt;=60,"C",H139&lt;60,"D")</f>
        <v>D</v>
      </c>
      <c r="U139" t="str">
        <f t="shared" si="8"/>
        <v>09:28 AM</v>
      </c>
      <c r="V139" t="str">
        <f t="shared" si="9"/>
        <v>On Time</v>
      </c>
      <c r="W139" t="str">
        <f t="shared" si="10"/>
        <v>2 Hours 17 Minutes</v>
      </c>
      <c r="X139" t="str">
        <f t="shared" si="11"/>
        <v>Short Time Login</v>
      </c>
      <c r="AA139" s="35" t="s">
        <v>299</v>
      </c>
      <c r="AB139" s="35" t="s">
        <v>300</v>
      </c>
      <c r="AC139" s="35">
        <v>45</v>
      </c>
      <c r="AD139" s="35">
        <v>88</v>
      </c>
      <c r="AE139" s="35" t="s">
        <v>25</v>
      </c>
      <c r="AF139" s="35">
        <v>2000</v>
      </c>
      <c r="AH139" s="35" t="s">
        <v>27</v>
      </c>
    </row>
    <row r="140" spans="1:34">
      <c r="A140" t="s">
        <v>301</v>
      </c>
      <c r="B140" t="s">
        <v>302</v>
      </c>
      <c r="C140">
        <v>27</v>
      </c>
      <c r="D140" t="s">
        <v>21</v>
      </c>
      <c r="E140" t="s">
        <v>96</v>
      </c>
      <c r="F140" t="s">
        <v>31</v>
      </c>
      <c r="G140" t="s">
        <v>32</v>
      </c>
      <c r="H140">
        <v>57</v>
      </c>
      <c r="I140">
        <v>83</v>
      </c>
      <c r="J140" t="s">
        <v>25</v>
      </c>
      <c r="K140">
        <v>10000</v>
      </c>
      <c r="L140">
        <v>11800</v>
      </c>
      <c r="M140">
        <v>0</v>
      </c>
      <c r="N140" t="s">
        <v>11</v>
      </c>
      <c r="O140" t="s">
        <v>27</v>
      </c>
      <c r="P140" s="1">
        <v>45712</v>
      </c>
      <c r="Q140" s="1">
        <v>45772</v>
      </c>
      <c r="R140" s="2">
        <v>0.34652777777777777</v>
      </c>
      <c r="S140" s="2">
        <v>0.42708333333333331</v>
      </c>
      <c r="T140" t="str" cm="1">
        <f t="array" ref="T140">_xlfn.IFS(H140&gt;=90,"A",H140&gt;=75,"B",H140&gt;=60,"C",H140&lt;60,"D")</f>
        <v>D</v>
      </c>
      <c r="U140" t="str">
        <f t="shared" si="8"/>
        <v>08:19 AM</v>
      </c>
      <c r="V140" t="str">
        <f t="shared" si="9"/>
        <v>On Time</v>
      </c>
      <c r="W140" t="str">
        <f t="shared" si="10"/>
        <v>1 Hours 56 Minutes</v>
      </c>
      <c r="X140" t="str">
        <f t="shared" si="11"/>
        <v>Short Time Login</v>
      </c>
      <c r="AA140" s="34" t="s">
        <v>301</v>
      </c>
      <c r="AB140" s="34" t="s">
        <v>302</v>
      </c>
      <c r="AC140" s="34">
        <v>57</v>
      </c>
      <c r="AD140" s="34">
        <v>83</v>
      </c>
      <c r="AE140" s="34" t="s">
        <v>25</v>
      </c>
      <c r="AF140" s="34">
        <v>0</v>
      </c>
      <c r="AH140" s="34" t="s">
        <v>27</v>
      </c>
    </row>
    <row r="141" spans="1:34">
      <c r="A141" t="s">
        <v>303</v>
      </c>
      <c r="B141" t="s">
        <v>47</v>
      </c>
      <c r="C141">
        <v>23</v>
      </c>
      <c r="D141" t="s">
        <v>35</v>
      </c>
      <c r="E141" t="s">
        <v>44</v>
      </c>
      <c r="F141" t="s">
        <v>31</v>
      </c>
      <c r="G141" t="s">
        <v>32</v>
      </c>
      <c r="H141">
        <v>97</v>
      </c>
      <c r="I141">
        <v>89</v>
      </c>
      <c r="J141" t="s">
        <v>59</v>
      </c>
      <c r="K141">
        <v>20000</v>
      </c>
      <c r="L141">
        <v>21010</v>
      </c>
      <c r="M141">
        <v>2000</v>
      </c>
      <c r="N141" t="s">
        <v>26</v>
      </c>
      <c r="O141" t="s">
        <v>27</v>
      </c>
      <c r="P141" s="1">
        <v>46019</v>
      </c>
      <c r="Q141" s="1">
        <v>46109</v>
      </c>
      <c r="R141" s="2">
        <v>0.3347222222222222</v>
      </c>
      <c r="S141" s="2">
        <v>0.42152777777777778</v>
      </c>
      <c r="T141" t="str" cm="1">
        <f t="array" ref="T141">_xlfn.IFS(H141&gt;=90,"A",H141&gt;=75,"B",H141&gt;=60,"C",H141&lt;60,"D")</f>
        <v>A</v>
      </c>
      <c r="U141" t="str">
        <f t="shared" si="8"/>
        <v>08:02 AM</v>
      </c>
      <c r="V141" t="str">
        <f t="shared" si="9"/>
        <v>On Time</v>
      </c>
      <c r="W141" t="str">
        <f t="shared" si="10"/>
        <v>2 Hours 5 Minutes</v>
      </c>
      <c r="X141" t="str">
        <f t="shared" si="11"/>
        <v>Short Time Login</v>
      </c>
      <c r="AA141" s="35" t="s">
        <v>303</v>
      </c>
      <c r="AB141" s="35" t="s">
        <v>47</v>
      </c>
      <c r="AC141" s="35">
        <v>97</v>
      </c>
      <c r="AD141" s="35">
        <v>89</v>
      </c>
      <c r="AE141" s="35" t="s">
        <v>59</v>
      </c>
      <c r="AF141" s="35">
        <v>2000</v>
      </c>
      <c r="AH141" s="35" t="s">
        <v>27</v>
      </c>
    </row>
    <row r="142" spans="1:34">
      <c r="A142" t="s">
        <v>304</v>
      </c>
      <c r="B142" t="s">
        <v>305</v>
      </c>
      <c r="C142">
        <v>21</v>
      </c>
      <c r="D142" t="s">
        <v>21</v>
      </c>
      <c r="E142" t="s">
        <v>73</v>
      </c>
      <c r="F142" t="s">
        <v>40</v>
      </c>
      <c r="G142" t="s">
        <v>41</v>
      </c>
      <c r="H142">
        <v>69</v>
      </c>
      <c r="I142">
        <v>98</v>
      </c>
      <c r="J142" t="s">
        <v>68</v>
      </c>
      <c r="K142">
        <v>18000</v>
      </c>
      <c r="L142">
        <v>18650</v>
      </c>
      <c r="M142">
        <v>2000</v>
      </c>
      <c r="N142" t="s">
        <v>26</v>
      </c>
      <c r="O142" t="s">
        <v>27</v>
      </c>
      <c r="P142" s="1">
        <v>45688</v>
      </c>
      <c r="Q142" s="1">
        <v>45718</v>
      </c>
      <c r="R142" s="2">
        <v>0.44791666666666669</v>
      </c>
      <c r="S142" s="2">
        <v>0.65416666666666667</v>
      </c>
      <c r="T142" t="str" cm="1">
        <f t="array" ref="T142">_xlfn.IFS(H142&gt;=90,"A",H142&gt;=75,"B",H142&gt;=60,"C",H142&lt;60,"D")</f>
        <v>C</v>
      </c>
      <c r="U142" t="str">
        <f t="shared" si="8"/>
        <v>10:45 AM</v>
      </c>
      <c r="V142" t="str">
        <f t="shared" si="9"/>
        <v>On Time</v>
      </c>
      <c r="W142" t="str">
        <f t="shared" si="10"/>
        <v>4 Hours 57 Minutes</v>
      </c>
      <c r="X142" t="str">
        <f t="shared" si="11"/>
        <v>Long Time Login</v>
      </c>
      <c r="AA142" s="34" t="s">
        <v>304</v>
      </c>
      <c r="AB142" s="34" t="s">
        <v>305</v>
      </c>
      <c r="AC142" s="34">
        <v>69</v>
      </c>
      <c r="AD142" s="34">
        <v>98</v>
      </c>
      <c r="AE142" s="34" t="s">
        <v>68</v>
      </c>
      <c r="AF142" s="34">
        <v>2000</v>
      </c>
      <c r="AH142" s="34" t="s">
        <v>27</v>
      </c>
    </row>
    <row r="143" spans="1:34">
      <c r="A143" t="s">
        <v>306</v>
      </c>
      <c r="B143" t="s">
        <v>307</v>
      </c>
      <c r="C143">
        <v>25</v>
      </c>
      <c r="D143" t="s">
        <v>21</v>
      </c>
      <c r="E143" t="s">
        <v>73</v>
      </c>
      <c r="F143" t="s">
        <v>23</v>
      </c>
      <c r="G143" t="s">
        <v>24</v>
      </c>
      <c r="H143">
        <v>90</v>
      </c>
      <c r="I143">
        <v>70</v>
      </c>
      <c r="J143" t="s">
        <v>59</v>
      </c>
      <c r="K143">
        <v>10000</v>
      </c>
      <c r="L143">
        <v>10030</v>
      </c>
      <c r="M143">
        <v>0</v>
      </c>
      <c r="N143" t="s">
        <v>11</v>
      </c>
      <c r="O143" t="s">
        <v>27</v>
      </c>
      <c r="P143" s="1">
        <v>45956</v>
      </c>
      <c r="Q143" s="1">
        <v>46076</v>
      </c>
      <c r="R143" s="2">
        <v>0.44374999999999998</v>
      </c>
      <c r="S143" s="2">
        <v>0.55763888888888891</v>
      </c>
      <c r="T143" t="str" cm="1">
        <f t="array" ref="T143">_xlfn.IFS(H143&gt;=90,"A",H143&gt;=75,"B",H143&gt;=60,"C",H143&lt;60,"D")</f>
        <v>A</v>
      </c>
      <c r="U143" t="str">
        <f t="shared" si="8"/>
        <v>10:39 AM</v>
      </c>
      <c r="V143" t="str">
        <f t="shared" si="9"/>
        <v>Delayed</v>
      </c>
      <c r="W143" t="str">
        <f t="shared" si="10"/>
        <v>2 Hours 44 Minutes</v>
      </c>
      <c r="X143" t="str">
        <f t="shared" si="11"/>
        <v>Long Time Login</v>
      </c>
      <c r="AA143" s="35" t="s">
        <v>306</v>
      </c>
      <c r="AB143" s="35" t="s">
        <v>307</v>
      </c>
      <c r="AC143" s="35">
        <v>90</v>
      </c>
      <c r="AD143" s="35">
        <v>70</v>
      </c>
      <c r="AE143" s="35" t="s">
        <v>59</v>
      </c>
      <c r="AF143" s="35">
        <v>0</v>
      </c>
      <c r="AH143" s="35" t="s">
        <v>27</v>
      </c>
    </row>
    <row r="144" spans="1:34">
      <c r="A144" t="s">
        <v>308</v>
      </c>
      <c r="B144" t="s">
        <v>81</v>
      </c>
      <c r="C144">
        <v>26</v>
      </c>
      <c r="D144" t="s">
        <v>21</v>
      </c>
      <c r="E144" t="s">
        <v>22</v>
      </c>
      <c r="F144" t="s">
        <v>57</v>
      </c>
      <c r="G144" t="s">
        <v>58</v>
      </c>
      <c r="H144">
        <v>90</v>
      </c>
      <c r="I144">
        <v>99</v>
      </c>
      <c r="J144" t="s">
        <v>59</v>
      </c>
      <c r="K144">
        <v>18000</v>
      </c>
      <c r="L144">
        <v>16060</v>
      </c>
      <c r="M144">
        <v>4000</v>
      </c>
      <c r="N144" t="s">
        <v>26</v>
      </c>
      <c r="O144" t="s">
        <v>27</v>
      </c>
      <c r="P144" s="1">
        <v>45812</v>
      </c>
      <c r="Q144" s="1">
        <v>45992</v>
      </c>
      <c r="R144" s="2">
        <v>0.37638888888888888</v>
      </c>
      <c r="S144" s="2">
        <v>0.53819444444444442</v>
      </c>
      <c r="T144" t="str" cm="1">
        <f t="array" ref="T144">_xlfn.IFS(H144&gt;=90,"A",H144&gt;=75,"B",H144&gt;=60,"C",H144&lt;60,"D")</f>
        <v>A</v>
      </c>
      <c r="U144" t="str">
        <f t="shared" si="8"/>
        <v>09:02 AM</v>
      </c>
      <c r="V144" t="str">
        <f t="shared" si="9"/>
        <v>Delayed</v>
      </c>
      <c r="W144" t="str">
        <f t="shared" si="10"/>
        <v>3 Hours 53 Minutes</v>
      </c>
      <c r="X144" t="str">
        <f t="shared" si="11"/>
        <v>Short Time Login</v>
      </c>
      <c r="AA144" s="34" t="s">
        <v>308</v>
      </c>
      <c r="AB144" s="34" t="s">
        <v>81</v>
      </c>
      <c r="AC144" s="34">
        <v>90</v>
      </c>
      <c r="AD144" s="34">
        <v>99</v>
      </c>
      <c r="AE144" s="34" t="s">
        <v>59</v>
      </c>
      <c r="AF144" s="34">
        <v>4000</v>
      </c>
      <c r="AH144" s="34" t="s">
        <v>27</v>
      </c>
    </row>
    <row r="145" spans="1:34">
      <c r="A145" t="s">
        <v>309</v>
      </c>
      <c r="B145" t="s">
        <v>310</v>
      </c>
      <c r="C145">
        <v>25</v>
      </c>
      <c r="D145" t="s">
        <v>21</v>
      </c>
      <c r="E145" t="s">
        <v>30</v>
      </c>
      <c r="F145" t="s">
        <v>57</v>
      </c>
      <c r="G145" t="s">
        <v>58</v>
      </c>
      <c r="H145">
        <v>54</v>
      </c>
      <c r="I145">
        <v>97</v>
      </c>
      <c r="J145" t="s">
        <v>25</v>
      </c>
      <c r="K145">
        <v>12000</v>
      </c>
      <c r="L145">
        <v>10980</v>
      </c>
      <c r="M145">
        <v>2000</v>
      </c>
      <c r="N145" t="s">
        <v>26</v>
      </c>
      <c r="O145" t="s">
        <v>27</v>
      </c>
      <c r="P145" s="1">
        <v>45912</v>
      </c>
      <c r="Q145" s="1">
        <v>46092</v>
      </c>
      <c r="R145" s="2">
        <v>0.36388888888888887</v>
      </c>
      <c r="S145" s="2">
        <v>0.48333333333333334</v>
      </c>
      <c r="T145" t="str" cm="1">
        <f t="array" ref="T145">_xlfn.IFS(H145&gt;=90,"A",H145&gt;=75,"B",H145&gt;=60,"C",H145&lt;60,"D")</f>
        <v>D</v>
      </c>
      <c r="U145" t="str">
        <f t="shared" si="8"/>
        <v>08:44 AM</v>
      </c>
      <c r="V145" t="str">
        <f t="shared" si="9"/>
        <v>Delayed</v>
      </c>
      <c r="W145" t="str">
        <f t="shared" si="10"/>
        <v>2 Hours 52 Minutes</v>
      </c>
      <c r="X145" t="str">
        <f t="shared" si="11"/>
        <v>Short Time Login</v>
      </c>
      <c r="AA145" s="35" t="s">
        <v>309</v>
      </c>
      <c r="AB145" s="35" t="s">
        <v>310</v>
      </c>
      <c r="AC145" s="35">
        <v>54</v>
      </c>
      <c r="AD145" s="35">
        <v>97</v>
      </c>
      <c r="AE145" s="35" t="s">
        <v>25</v>
      </c>
      <c r="AF145" s="35">
        <v>2000</v>
      </c>
      <c r="AH145" s="35" t="s">
        <v>27</v>
      </c>
    </row>
    <row r="146" spans="1:34">
      <c r="A146" t="s">
        <v>311</v>
      </c>
      <c r="B146" t="s">
        <v>95</v>
      </c>
      <c r="C146">
        <v>25</v>
      </c>
      <c r="D146" t="s">
        <v>21</v>
      </c>
      <c r="E146" t="s">
        <v>39</v>
      </c>
      <c r="F146" t="s">
        <v>53</v>
      </c>
      <c r="G146" t="s">
        <v>54</v>
      </c>
      <c r="H146">
        <v>62</v>
      </c>
      <c r="I146">
        <v>89</v>
      </c>
      <c r="J146" t="s">
        <v>68</v>
      </c>
      <c r="K146">
        <v>18000</v>
      </c>
      <c r="L146">
        <v>16060</v>
      </c>
      <c r="M146">
        <v>4000</v>
      </c>
      <c r="N146" t="s">
        <v>26</v>
      </c>
      <c r="O146" t="s">
        <v>27</v>
      </c>
      <c r="P146" s="1">
        <v>45786</v>
      </c>
      <c r="Q146" s="1">
        <v>45966</v>
      </c>
      <c r="R146" s="2">
        <v>0.34444444444444444</v>
      </c>
      <c r="S146" s="2">
        <v>0.39027777777777778</v>
      </c>
      <c r="T146" t="str" cm="1">
        <f t="array" ref="T146">_xlfn.IFS(H146&gt;=90,"A",H146&gt;=75,"B",H146&gt;=60,"C",H146&lt;60,"D")</f>
        <v>C</v>
      </c>
      <c r="U146" t="str">
        <f t="shared" si="8"/>
        <v>08:16 AM</v>
      </c>
      <c r="V146" t="str">
        <f t="shared" si="9"/>
        <v>Delayed</v>
      </c>
      <c r="W146" t="str">
        <f t="shared" si="10"/>
        <v>1 Hours 6 Minutes</v>
      </c>
      <c r="X146" t="str">
        <f t="shared" si="11"/>
        <v>Short Time Login</v>
      </c>
      <c r="AA146" s="34" t="s">
        <v>311</v>
      </c>
      <c r="AB146" s="34" t="s">
        <v>95</v>
      </c>
      <c r="AC146" s="34">
        <v>62</v>
      </c>
      <c r="AD146" s="34">
        <v>89</v>
      </c>
      <c r="AE146" s="34" t="s">
        <v>68</v>
      </c>
      <c r="AF146" s="34">
        <v>4000</v>
      </c>
      <c r="AH146" s="34" t="s">
        <v>27</v>
      </c>
    </row>
    <row r="147" spans="1:34">
      <c r="A147" t="s">
        <v>312</v>
      </c>
      <c r="B147" t="s">
        <v>313</v>
      </c>
      <c r="C147">
        <v>27</v>
      </c>
      <c r="D147" t="s">
        <v>21</v>
      </c>
      <c r="E147" t="s">
        <v>36</v>
      </c>
      <c r="F147" t="s">
        <v>88</v>
      </c>
      <c r="G147" t="s">
        <v>89</v>
      </c>
      <c r="H147">
        <v>87</v>
      </c>
      <c r="I147">
        <v>66</v>
      </c>
      <c r="J147" t="s">
        <v>45</v>
      </c>
      <c r="K147">
        <v>18000</v>
      </c>
      <c r="L147">
        <v>16650</v>
      </c>
      <c r="M147">
        <v>4000</v>
      </c>
      <c r="N147" t="s">
        <v>26</v>
      </c>
      <c r="O147" t="s">
        <v>27</v>
      </c>
      <c r="P147" s="1">
        <v>45703</v>
      </c>
      <c r="Q147" s="1">
        <v>45823</v>
      </c>
      <c r="R147" s="2">
        <v>0.44513888888888886</v>
      </c>
      <c r="S147" s="2">
        <v>0.53194444444444444</v>
      </c>
      <c r="T147" t="str" cm="1">
        <f t="array" ref="T147">_xlfn.IFS(H147&gt;=90,"A",H147&gt;=75,"B",H147&gt;=60,"C",H147&lt;60,"D")</f>
        <v>B</v>
      </c>
      <c r="U147" t="str">
        <f t="shared" si="8"/>
        <v>10:41 AM</v>
      </c>
      <c r="V147" t="str">
        <f t="shared" si="9"/>
        <v>Delayed</v>
      </c>
      <c r="W147" t="str">
        <f t="shared" si="10"/>
        <v>2 Hours 5 Minutes</v>
      </c>
      <c r="X147" t="str">
        <f t="shared" si="11"/>
        <v>Long Time Login</v>
      </c>
      <c r="AA147" s="35" t="s">
        <v>312</v>
      </c>
      <c r="AB147" s="35" t="s">
        <v>313</v>
      </c>
      <c r="AC147" s="35">
        <v>87</v>
      </c>
      <c r="AD147" s="35">
        <v>66</v>
      </c>
      <c r="AE147" s="35" t="s">
        <v>45</v>
      </c>
      <c r="AF147" s="35">
        <v>4000</v>
      </c>
      <c r="AH147" s="35" t="s">
        <v>27</v>
      </c>
    </row>
    <row r="148" spans="1:34">
      <c r="A148" t="s">
        <v>314</v>
      </c>
      <c r="B148" t="s">
        <v>136</v>
      </c>
      <c r="C148">
        <v>25</v>
      </c>
      <c r="D148" t="s">
        <v>21</v>
      </c>
      <c r="E148" t="s">
        <v>30</v>
      </c>
      <c r="F148" t="s">
        <v>49</v>
      </c>
      <c r="G148" t="s">
        <v>50</v>
      </c>
      <c r="H148">
        <v>37</v>
      </c>
      <c r="I148">
        <v>86</v>
      </c>
      <c r="J148" t="s">
        <v>25</v>
      </c>
      <c r="K148">
        <v>20000</v>
      </c>
      <c r="L148">
        <v>17830</v>
      </c>
      <c r="M148">
        <v>4000</v>
      </c>
      <c r="N148" t="s">
        <v>26</v>
      </c>
      <c r="O148" t="s">
        <v>27</v>
      </c>
      <c r="P148" s="1">
        <v>45833</v>
      </c>
      <c r="Q148" s="1">
        <v>46013</v>
      </c>
      <c r="R148" s="2">
        <v>0.41041666666666665</v>
      </c>
      <c r="S148" s="2">
        <v>0.47361111111111109</v>
      </c>
      <c r="T148" t="str" cm="1">
        <f t="array" ref="T148">_xlfn.IFS(H148&gt;=90,"A",H148&gt;=75,"B",H148&gt;=60,"C",H148&lt;60,"D")</f>
        <v>D</v>
      </c>
      <c r="U148" t="str">
        <f t="shared" si="8"/>
        <v>09:51 AM</v>
      </c>
      <c r="V148" t="str">
        <f t="shared" si="9"/>
        <v>Delayed</v>
      </c>
      <c r="W148" t="str">
        <f t="shared" si="10"/>
        <v>1 Hours 31 Minutes</v>
      </c>
      <c r="X148" t="str">
        <f t="shared" si="11"/>
        <v>Short Time Login</v>
      </c>
      <c r="AA148" s="34" t="s">
        <v>314</v>
      </c>
      <c r="AB148" s="34" t="s">
        <v>136</v>
      </c>
      <c r="AC148" s="34">
        <v>37</v>
      </c>
      <c r="AD148" s="34">
        <v>86</v>
      </c>
      <c r="AE148" s="34" t="s">
        <v>25</v>
      </c>
      <c r="AF148" s="34">
        <v>4000</v>
      </c>
      <c r="AH148" s="34" t="s">
        <v>27</v>
      </c>
    </row>
    <row r="149" spans="1:34">
      <c r="A149" t="s">
        <v>315</v>
      </c>
      <c r="B149" t="s">
        <v>316</v>
      </c>
      <c r="C149">
        <v>28</v>
      </c>
      <c r="D149" t="s">
        <v>21</v>
      </c>
      <c r="E149" t="s">
        <v>96</v>
      </c>
      <c r="F149" t="s">
        <v>88</v>
      </c>
      <c r="G149" t="s">
        <v>89</v>
      </c>
      <c r="H149">
        <v>71</v>
      </c>
      <c r="I149">
        <v>61</v>
      </c>
      <c r="J149" t="s">
        <v>68</v>
      </c>
      <c r="K149">
        <v>12000</v>
      </c>
      <c r="L149">
        <v>11570</v>
      </c>
      <c r="M149">
        <v>2000</v>
      </c>
      <c r="N149" t="s">
        <v>26</v>
      </c>
      <c r="O149" t="s">
        <v>27</v>
      </c>
      <c r="P149" s="1">
        <v>45854</v>
      </c>
      <c r="Q149" s="1">
        <v>45944</v>
      </c>
      <c r="R149" s="2">
        <v>0.35833333333333334</v>
      </c>
      <c r="S149" s="2">
        <v>0.46041666666666664</v>
      </c>
      <c r="T149" t="str" cm="1">
        <f t="array" ref="T149">_xlfn.IFS(H149&gt;=90,"A",H149&gt;=75,"B",H149&gt;=60,"C",H149&lt;60,"D")</f>
        <v>C</v>
      </c>
      <c r="U149" t="str">
        <f t="shared" si="8"/>
        <v>08:36 AM</v>
      </c>
      <c r="V149" t="str">
        <f t="shared" si="9"/>
        <v>On Time</v>
      </c>
      <c r="W149" t="str">
        <f t="shared" si="10"/>
        <v>2 Hours 27 Minutes</v>
      </c>
      <c r="X149" t="str">
        <f t="shared" si="11"/>
        <v>Short Time Login</v>
      </c>
      <c r="AA149" s="35" t="s">
        <v>315</v>
      </c>
      <c r="AB149" s="35" t="s">
        <v>316</v>
      </c>
      <c r="AC149" s="35">
        <v>71</v>
      </c>
      <c r="AD149" s="35">
        <v>61</v>
      </c>
      <c r="AE149" s="35" t="s">
        <v>68</v>
      </c>
      <c r="AF149" s="35">
        <v>2000</v>
      </c>
      <c r="AH149" s="35" t="s">
        <v>27</v>
      </c>
    </row>
    <row r="150" spans="1:34">
      <c r="A150" t="s">
        <v>317</v>
      </c>
      <c r="B150" t="s">
        <v>318</v>
      </c>
      <c r="C150">
        <v>26</v>
      </c>
      <c r="D150" t="s">
        <v>35</v>
      </c>
      <c r="E150" t="s">
        <v>48</v>
      </c>
      <c r="F150" t="s">
        <v>23</v>
      </c>
      <c r="G150" t="s">
        <v>24</v>
      </c>
      <c r="H150">
        <v>76</v>
      </c>
      <c r="I150">
        <v>71</v>
      </c>
      <c r="J150" t="s">
        <v>45</v>
      </c>
      <c r="K150">
        <v>18000</v>
      </c>
      <c r="L150">
        <v>20060</v>
      </c>
      <c r="M150">
        <v>0</v>
      </c>
      <c r="N150" t="s">
        <v>11</v>
      </c>
      <c r="O150" t="s">
        <v>27</v>
      </c>
      <c r="P150" s="1">
        <v>45739</v>
      </c>
      <c r="Q150" s="1">
        <v>45919</v>
      </c>
      <c r="R150" s="2">
        <v>0.37986111111111109</v>
      </c>
      <c r="S150" s="2">
        <v>0.58125000000000004</v>
      </c>
      <c r="T150" t="str" cm="1">
        <f t="array" ref="T150">_xlfn.IFS(H150&gt;=90,"A",H150&gt;=75,"B",H150&gt;=60,"C",H150&lt;60,"D")</f>
        <v>B</v>
      </c>
      <c r="U150" t="str">
        <f t="shared" si="8"/>
        <v>09:07 AM</v>
      </c>
      <c r="V150" t="str">
        <f t="shared" si="9"/>
        <v>Delayed</v>
      </c>
      <c r="W150" t="str">
        <f t="shared" si="10"/>
        <v>4 Hours 50 Minutes</v>
      </c>
      <c r="X150" t="str">
        <f t="shared" si="11"/>
        <v>Short Time Login</v>
      </c>
      <c r="AA150" s="34" t="s">
        <v>317</v>
      </c>
      <c r="AB150" s="34" t="s">
        <v>318</v>
      </c>
      <c r="AC150" s="34">
        <v>76</v>
      </c>
      <c r="AD150" s="34">
        <v>71</v>
      </c>
      <c r="AE150" s="34" t="s">
        <v>45</v>
      </c>
      <c r="AF150" s="34">
        <v>0</v>
      </c>
      <c r="AH150" s="34" t="s">
        <v>27</v>
      </c>
    </row>
    <row r="151" spans="1:34">
      <c r="A151" t="s">
        <v>319</v>
      </c>
      <c r="B151" t="s">
        <v>173</v>
      </c>
      <c r="C151">
        <v>23</v>
      </c>
      <c r="D151" t="s">
        <v>35</v>
      </c>
      <c r="E151" t="s">
        <v>22</v>
      </c>
      <c r="F151" t="s">
        <v>49</v>
      </c>
      <c r="G151" t="s">
        <v>50</v>
      </c>
      <c r="H151">
        <v>81</v>
      </c>
      <c r="I151">
        <v>98</v>
      </c>
      <c r="J151" t="s">
        <v>45</v>
      </c>
      <c r="K151">
        <v>12000</v>
      </c>
      <c r="L151">
        <v>12390</v>
      </c>
      <c r="M151">
        <v>0</v>
      </c>
      <c r="N151" t="s">
        <v>11</v>
      </c>
      <c r="O151" t="s">
        <v>27</v>
      </c>
      <c r="P151" s="1">
        <v>45803</v>
      </c>
      <c r="Q151" s="1">
        <v>45983</v>
      </c>
      <c r="R151" s="2">
        <v>0.44583333333333336</v>
      </c>
      <c r="S151" s="2">
        <v>0.6069444444444444</v>
      </c>
      <c r="T151" t="str" cm="1">
        <f t="array" ref="T151">_xlfn.IFS(H151&gt;=90,"A",H151&gt;=75,"B",H151&gt;=60,"C",H151&lt;60,"D")</f>
        <v>B</v>
      </c>
      <c r="U151" t="str">
        <f t="shared" si="8"/>
        <v>10:42 AM</v>
      </c>
      <c r="V151" t="str">
        <f t="shared" si="9"/>
        <v>Delayed</v>
      </c>
      <c r="W151" t="str">
        <f t="shared" si="10"/>
        <v>3 Hours 52 Minutes</v>
      </c>
      <c r="X151" t="str">
        <f t="shared" si="11"/>
        <v>Long Time Login</v>
      </c>
      <c r="AA151" s="35" t="s">
        <v>319</v>
      </c>
      <c r="AB151" s="35" t="s">
        <v>173</v>
      </c>
      <c r="AC151" s="35">
        <v>81</v>
      </c>
      <c r="AD151" s="35">
        <v>98</v>
      </c>
      <c r="AE151" s="35" t="s">
        <v>45</v>
      </c>
      <c r="AF151" s="35">
        <v>0</v>
      </c>
      <c r="AH151" s="35" t="s">
        <v>27</v>
      </c>
    </row>
    <row r="152" spans="1:34">
      <c r="A152" t="s">
        <v>320</v>
      </c>
      <c r="B152" t="s">
        <v>38</v>
      </c>
      <c r="C152">
        <v>28</v>
      </c>
      <c r="D152" t="s">
        <v>35</v>
      </c>
      <c r="E152" t="s">
        <v>96</v>
      </c>
      <c r="F152" t="s">
        <v>40</v>
      </c>
      <c r="G152" t="s">
        <v>41</v>
      </c>
      <c r="H152">
        <v>44</v>
      </c>
      <c r="I152">
        <v>66</v>
      </c>
      <c r="J152" t="s">
        <v>25</v>
      </c>
      <c r="K152">
        <v>15000</v>
      </c>
      <c r="L152">
        <v>15110</v>
      </c>
      <c r="M152">
        <v>2000</v>
      </c>
      <c r="N152" t="s">
        <v>26</v>
      </c>
      <c r="O152" t="s">
        <v>27</v>
      </c>
      <c r="P152" s="1">
        <v>45808</v>
      </c>
      <c r="Q152" s="1">
        <v>45988</v>
      </c>
      <c r="R152" s="2">
        <v>0.44861111111111113</v>
      </c>
      <c r="S152" s="2">
        <v>0.64652777777777781</v>
      </c>
      <c r="T152" t="str" cm="1">
        <f t="array" ref="T152">_xlfn.IFS(H152&gt;=90,"A",H152&gt;=75,"B",H152&gt;=60,"C",H152&lt;60,"D")</f>
        <v>D</v>
      </c>
      <c r="U152" t="str">
        <f t="shared" si="8"/>
        <v>10:46 AM</v>
      </c>
      <c r="V152" t="str">
        <f t="shared" si="9"/>
        <v>Delayed</v>
      </c>
      <c r="W152" t="str">
        <f t="shared" si="10"/>
        <v>4 Hours 45 Minutes</v>
      </c>
      <c r="X152" t="str">
        <f t="shared" si="11"/>
        <v>Long Time Login</v>
      </c>
      <c r="AA152" s="34" t="s">
        <v>320</v>
      </c>
      <c r="AB152" s="34" t="s">
        <v>38</v>
      </c>
      <c r="AC152" s="34">
        <v>44</v>
      </c>
      <c r="AD152" s="34">
        <v>66</v>
      </c>
      <c r="AE152" s="34" t="s">
        <v>25</v>
      </c>
      <c r="AF152" s="34">
        <v>2000</v>
      </c>
      <c r="AH152" s="34" t="s">
        <v>27</v>
      </c>
    </row>
    <row r="153" spans="1:34">
      <c r="A153" t="s">
        <v>321</v>
      </c>
      <c r="B153" t="s">
        <v>52</v>
      </c>
      <c r="C153">
        <v>28</v>
      </c>
      <c r="D153" t="s">
        <v>21</v>
      </c>
      <c r="E153" t="s">
        <v>30</v>
      </c>
      <c r="F153" t="s">
        <v>49</v>
      </c>
      <c r="G153" t="s">
        <v>50</v>
      </c>
      <c r="H153">
        <v>36</v>
      </c>
      <c r="I153">
        <v>69</v>
      </c>
      <c r="J153" t="s">
        <v>25</v>
      </c>
      <c r="K153">
        <v>10000</v>
      </c>
      <c r="L153">
        <v>9210</v>
      </c>
      <c r="M153">
        <v>2000</v>
      </c>
      <c r="N153" t="s">
        <v>26</v>
      </c>
      <c r="O153" t="s">
        <v>27</v>
      </c>
      <c r="P153" s="1">
        <v>45858</v>
      </c>
      <c r="Q153" s="1">
        <v>45918</v>
      </c>
      <c r="R153" s="2">
        <v>0.37916666666666665</v>
      </c>
      <c r="S153" s="2">
        <v>0.55208333333333337</v>
      </c>
      <c r="T153" t="str" cm="1">
        <f t="array" ref="T153">_xlfn.IFS(H153&gt;=90,"A",H153&gt;=75,"B",H153&gt;=60,"C",H153&lt;60,"D")</f>
        <v>D</v>
      </c>
      <c r="U153" t="str">
        <f t="shared" si="8"/>
        <v>09:06 AM</v>
      </c>
      <c r="V153" t="str">
        <f t="shared" si="9"/>
        <v>On Time</v>
      </c>
      <c r="W153" t="str">
        <f t="shared" si="10"/>
        <v>4 Hours 9 Minutes</v>
      </c>
      <c r="X153" t="str">
        <f t="shared" si="11"/>
        <v>Short Time Login</v>
      </c>
      <c r="AA153" s="35" t="s">
        <v>321</v>
      </c>
      <c r="AB153" s="35" t="s">
        <v>52</v>
      </c>
      <c r="AC153" s="35">
        <v>36</v>
      </c>
      <c r="AD153" s="35">
        <v>69</v>
      </c>
      <c r="AE153" s="35" t="s">
        <v>25</v>
      </c>
      <c r="AF153" s="35">
        <v>2000</v>
      </c>
      <c r="AH153" s="35" t="s">
        <v>27</v>
      </c>
    </row>
    <row r="154" spans="1:34">
      <c r="A154" t="s">
        <v>322</v>
      </c>
      <c r="B154" t="s">
        <v>323</v>
      </c>
      <c r="C154">
        <v>26</v>
      </c>
      <c r="D154" t="s">
        <v>21</v>
      </c>
      <c r="E154" t="s">
        <v>30</v>
      </c>
      <c r="F154" t="s">
        <v>57</v>
      </c>
      <c r="G154" t="s">
        <v>58</v>
      </c>
      <c r="H154">
        <v>54</v>
      </c>
      <c r="I154">
        <v>76</v>
      </c>
      <c r="J154" t="s">
        <v>25</v>
      </c>
      <c r="K154">
        <v>12000</v>
      </c>
      <c r="L154">
        <v>9570</v>
      </c>
      <c r="M154">
        <v>4000</v>
      </c>
      <c r="N154" t="s">
        <v>26</v>
      </c>
      <c r="O154" t="s">
        <v>27</v>
      </c>
      <c r="P154" s="1">
        <v>45946</v>
      </c>
      <c r="Q154" s="1">
        <v>46036</v>
      </c>
      <c r="R154" s="2">
        <v>0.34097222222222223</v>
      </c>
      <c r="S154" s="2">
        <v>0.3888888888888889</v>
      </c>
      <c r="T154" t="str" cm="1">
        <f t="array" ref="T154">_xlfn.IFS(H154&gt;=90,"A",H154&gt;=75,"B",H154&gt;=60,"C",H154&lt;60,"D")</f>
        <v>D</v>
      </c>
      <c r="U154" t="str">
        <f t="shared" si="8"/>
        <v>08:11 AM</v>
      </c>
      <c r="V154" t="str">
        <f t="shared" si="9"/>
        <v>On Time</v>
      </c>
      <c r="W154" t="str">
        <f t="shared" si="10"/>
        <v>1 Hours 9 Minutes</v>
      </c>
      <c r="X154" t="str">
        <f t="shared" si="11"/>
        <v>Short Time Login</v>
      </c>
      <c r="AA154" s="34" t="s">
        <v>322</v>
      </c>
      <c r="AB154" s="34" t="s">
        <v>323</v>
      </c>
      <c r="AC154" s="34">
        <v>54</v>
      </c>
      <c r="AD154" s="34">
        <v>76</v>
      </c>
      <c r="AE154" s="34" t="s">
        <v>25</v>
      </c>
      <c r="AF154" s="34">
        <v>4000</v>
      </c>
      <c r="AH154" s="34" t="s">
        <v>27</v>
      </c>
    </row>
    <row r="155" spans="1:34">
      <c r="A155" t="s">
        <v>324</v>
      </c>
      <c r="B155" t="s">
        <v>112</v>
      </c>
      <c r="C155">
        <v>18</v>
      </c>
      <c r="D155" t="s">
        <v>35</v>
      </c>
      <c r="E155" t="s">
        <v>44</v>
      </c>
      <c r="F155" t="s">
        <v>23</v>
      </c>
      <c r="G155" t="s">
        <v>24</v>
      </c>
      <c r="H155">
        <v>37</v>
      </c>
      <c r="I155">
        <v>99</v>
      </c>
      <c r="J155" t="s">
        <v>25</v>
      </c>
      <c r="K155">
        <v>18000</v>
      </c>
      <c r="L155">
        <v>16650</v>
      </c>
      <c r="M155">
        <v>4000</v>
      </c>
      <c r="N155" t="s">
        <v>26</v>
      </c>
      <c r="O155" t="s">
        <v>27</v>
      </c>
      <c r="P155" s="1">
        <v>45757</v>
      </c>
      <c r="Q155" s="1">
        <v>45817</v>
      </c>
      <c r="R155" s="2">
        <v>0.34652777777777777</v>
      </c>
      <c r="S155" s="2">
        <v>0.45347222222222222</v>
      </c>
      <c r="T155" t="str" cm="1">
        <f t="array" ref="T155">_xlfn.IFS(H155&gt;=90,"A",H155&gt;=75,"B",H155&gt;=60,"C",H155&lt;60,"D")</f>
        <v>D</v>
      </c>
      <c r="U155" t="str">
        <f t="shared" si="8"/>
        <v>08:19 AM</v>
      </c>
      <c r="V155" t="str">
        <f t="shared" si="9"/>
        <v>On Time</v>
      </c>
      <c r="W155" t="str">
        <f t="shared" si="10"/>
        <v>2 Hours 34 Minutes</v>
      </c>
      <c r="X155" t="str">
        <f t="shared" si="11"/>
        <v>Short Time Login</v>
      </c>
      <c r="AA155" s="35" t="s">
        <v>324</v>
      </c>
      <c r="AB155" s="35" t="s">
        <v>112</v>
      </c>
      <c r="AC155" s="35">
        <v>37</v>
      </c>
      <c r="AD155" s="35">
        <v>99</v>
      </c>
      <c r="AE155" s="35" t="s">
        <v>25</v>
      </c>
      <c r="AF155" s="35">
        <v>4000</v>
      </c>
      <c r="AH155" s="35" t="s">
        <v>27</v>
      </c>
    </row>
    <row r="156" spans="1:34">
      <c r="A156" t="s">
        <v>325</v>
      </c>
      <c r="B156" t="s">
        <v>305</v>
      </c>
      <c r="C156">
        <v>20</v>
      </c>
      <c r="D156" t="s">
        <v>21</v>
      </c>
      <c r="E156" t="s">
        <v>73</v>
      </c>
      <c r="F156" t="s">
        <v>53</v>
      </c>
      <c r="G156" t="s">
        <v>54</v>
      </c>
      <c r="H156">
        <v>44</v>
      </c>
      <c r="I156">
        <v>60</v>
      </c>
      <c r="J156" t="s">
        <v>25</v>
      </c>
      <c r="K156">
        <v>20000</v>
      </c>
      <c r="L156">
        <v>19830</v>
      </c>
      <c r="M156">
        <v>2000</v>
      </c>
      <c r="N156" t="s">
        <v>26</v>
      </c>
      <c r="O156" t="s">
        <v>127</v>
      </c>
      <c r="P156" s="1">
        <v>45764</v>
      </c>
      <c r="Q156" s="1">
        <v>45884</v>
      </c>
      <c r="R156" s="2">
        <v>0.38541666666666669</v>
      </c>
      <c r="S156" s="2">
        <v>0.49583333333333335</v>
      </c>
      <c r="T156" t="str" cm="1">
        <f t="array" ref="T156">_xlfn.IFS(H156&gt;=90,"A",H156&gt;=75,"B",H156&gt;=60,"C",H156&lt;60,"D")</f>
        <v>D</v>
      </c>
      <c r="U156" t="str">
        <f t="shared" si="8"/>
        <v>09:15 AM</v>
      </c>
      <c r="V156" t="str">
        <f t="shared" si="9"/>
        <v>Delayed</v>
      </c>
      <c r="W156" t="str">
        <f t="shared" si="10"/>
        <v>2 Hours 39 Minutes</v>
      </c>
      <c r="X156" t="str">
        <f t="shared" si="11"/>
        <v>Short Time Login</v>
      </c>
      <c r="AA156" s="34" t="s">
        <v>325</v>
      </c>
      <c r="AB156" s="34" t="s">
        <v>305</v>
      </c>
      <c r="AC156" s="34">
        <v>44</v>
      </c>
      <c r="AD156" s="34">
        <v>60</v>
      </c>
      <c r="AE156" s="34" t="s">
        <v>25</v>
      </c>
      <c r="AF156" s="34">
        <v>2000</v>
      </c>
      <c r="AH156" s="34" t="s">
        <v>127</v>
      </c>
    </row>
    <row r="157" spans="1:34">
      <c r="A157" t="s">
        <v>326</v>
      </c>
      <c r="B157" t="s">
        <v>327</v>
      </c>
      <c r="C157">
        <v>20</v>
      </c>
      <c r="D157" t="s">
        <v>21</v>
      </c>
      <c r="E157" t="s">
        <v>113</v>
      </c>
      <c r="F157" t="s">
        <v>57</v>
      </c>
      <c r="G157" t="s">
        <v>58</v>
      </c>
      <c r="H157">
        <v>77</v>
      </c>
      <c r="I157">
        <v>65</v>
      </c>
      <c r="J157" t="s">
        <v>45</v>
      </c>
      <c r="K157">
        <v>12000</v>
      </c>
      <c r="L157">
        <v>9570</v>
      </c>
      <c r="M157">
        <v>4000</v>
      </c>
      <c r="N157" t="s">
        <v>26</v>
      </c>
      <c r="O157" t="s">
        <v>127</v>
      </c>
      <c r="P157" s="1">
        <v>45882</v>
      </c>
      <c r="Q157" s="1">
        <v>45912</v>
      </c>
      <c r="R157" s="2">
        <v>0.36666666666666664</v>
      </c>
      <c r="S157" s="2">
        <v>0.42152777777777778</v>
      </c>
      <c r="T157" t="str" cm="1">
        <f t="array" ref="T157">_xlfn.IFS(H157&gt;=90,"A",H157&gt;=75,"B",H157&gt;=60,"C",H157&lt;60,"D")</f>
        <v>B</v>
      </c>
      <c r="U157" t="str">
        <f t="shared" si="8"/>
        <v>08:48 AM</v>
      </c>
      <c r="V157" t="str">
        <f t="shared" si="9"/>
        <v>On Time</v>
      </c>
      <c r="W157" t="str">
        <f t="shared" si="10"/>
        <v>1 Hours 19 Minutes</v>
      </c>
      <c r="X157" t="str">
        <f t="shared" si="11"/>
        <v>Short Time Login</v>
      </c>
      <c r="AA157" s="35" t="s">
        <v>326</v>
      </c>
      <c r="AB157" s="35" t="s">
        <v>327</v>
      </c>
      <c r="AC157" s="35">
        <v>77</v>
      </c>
      <c r="AD157" s="35">
        <v>65</v>
      </c>
      <c r="AE157" s="35" t="s">
        <v>45</v>
      </c>
      <c r="AF157" s="35">
        <v>4000</v>
      </c>
      <c r="AH157" s="35" t="s">
        <v>127</v>
      </c>
    </row>
    <row r="158" spans="1:34">
      <c r="A158" t="s">
        <v>328</v>
      </c>
      <c r="B158" t="s">
        <v>329</v>
      </c>
      <c r="C158">
        <v>22</v>
      </c>
      <c r="D158" t="s">
        <v>35</v>
      </c>
      <c r="E158" t="s">
        <v>48</v>
      </c>
      <c r="F158" t="s">
        <v>31</v>
      </c>
      <c r="G158" t="s">
        <v>32</v>
      </c>
      <c r="H158">
        <v>94</v>
      </c>
      <c r="I158">
        <v>80</v>
      </c>
      <c r="J158" t="s">
        <v>59</v>
      </c>
      <c r="K158">
        <v>15000</v>
      </c>
      <c r="L158">
        <v>15930</v>
      </c>
      <c r="M158">
        <v>0</v>
      </c>
      <c r="N158" t="s">
        <v>11</v>
      </c>
      <c r="O158" t="s">
        <v>27</v>
      </c>
      <c r="P158" s="1">
        <v>45813</v>
      </c>
      <c r="Q158" s="1">
        <v>45933</v>
      </c>
      <c r="R158" s="2">
        <v>0.45</v>
      </c>
      <c r="S158" s="2">
        <v>0.65138888888888891</v>
      </c>
      <c r="T158" t="str" cm="1">
        <f t="array" ref="T158">_xlfn.IFS(H158&gt;=90,"A",H158&gt;=75,"B",H158&gt;=60,"C",H158&lt;60,"D")</f>
        <v>A</v>
      </c>
      <c r="U158" t="str">
        <f t="shared" si="8"/>
        <v>10:48 AM</v>
      </c>
      <c r="V158" t="str">
        <f t="shared" si="9"/>
        <v>Delayed</v>
      </c>
      <c r="W158" t="str">
        <f t="shared" si="10"/>
        <v>4 Hours 50 Minutes</v>
      </c>
      <c r="X158" t="str">
        <f t="shared" si="11"/>
        <v>Long Time Login</v>
      </c>
      <c r="AA158" s="34" t="s">
        <v>328</v>
      </c>
      <c r="AB158" s="34" t="s">
        <v>329</v>
      </c>
      <c r="AC158" s="34">
        <v>94</v>
      </c>
      <c r="AD158" s="34">
        <v>80</v>
      </c>
      <c r="AE158" s="34" t="s">
        <v>59</v>
      </c>
      <c r="AF158" s="34">
        <v>0</v>
      </c>
      <c r="AH158" s="34" t="s">
        <v>27</v>
      </c>
    </row>
    <row r="159" spans="1:34">
      <c r="A159" t="s">
        <v>330</v>
      </c>
      <c r="B159" t="s">
        <v>331</v>
      </c>
      <c r="C159">
        <v>20</v>
      </c>
      <c r="D159" t="s">
        <v>21</v>
      </c>
      <c r="E159" t="s">
        <v>30</v>
      </c>
      <c r="F159" t="s">
        <v>88</v>
      </c>
      <c r="G159" t="s">
        <v>89</v>
      </c>
      <c r="H159">
        <v>53</v>
      </c>
      <c r="I159">
        <v>86</v>
      </c>
      <c r="J159" t="s">
        <v>25</v>
      </c>
      <c r="K159">
        <v>10000</v>
      </c>
      <c r="L159">
        <v>8620</v>
      </c>
      <c r="M159">
        <v>2000</v>
      </c>
      <c r="N159" t="s">
        <v>26</v>
      </c>
      <c r="O159" t="s">
        <v>27</v>
      </c>
      <c r="P159" s="1">
        <v>45923</v>
      </c>
      <c r="Q159" s="1">
        <v>46013</v>
      </c>
      <c r="R159" s="2">
        <v>0.41597222222222224</v>
      </c>
      <c r="S159" s="2">
        <v>0.52361111111111114</v>
      </c>
      <c r="T159" t="str" cm="1">
        <f t="array" ref="T159">_xlfn.IFS(H159&gt;=90,"A",H159&gt;=75,"B",H159&gt;=60,"C",H159&lt;60,"D")</f>
        <v>D</v>
      </c>
      <c r="U159" t="str">
        <f t="shared" si="8"/>
        <v>09:59 AM</v>
      </c>
      <c r="V159" t="str">
        <f t="shared" si="9"/>
        <v>On Time</v>
      </c>
      <c r="W159" t="str">
        <f t="shared" si="10"/>
        <v>2 Hours 35 Minutes</v>
      </c>
      <c r="X159" t="str">
        <f t="shared" si="11"/>
        <v>Short Time Login</v>
      </c>
      <c r="AA159" s="35" t="s">
        <v>330</v>
      </c>
      <c r="AB159" s="35" t="s">
        <v>331</v>
      </c>
      <c r="AC159" s="35">
        <v>53</v>
      </c>
      <c r="AD159" s="35">
        <v>86</v>
      </c>
      <c r="AE159" s="35" t="s">
        <v>25</v>
      </c>
      <c r="AF159" s="35">
        <v>2000</v>
      </c>
      <c r="AH159" s="35" t="s">
        <v>27</v>
      </c>
    </row>
    <row r="160" spans="1:34">
      <c r="A160" t="s">
        <v>332</v>
      </c>
      <c r="B160" t="s">
        <v>266</v>
      </c>
      <c r="C160">
        <v>21</v>
      </c>
      <c r="D160" t="s">
        <v>35</v>
      </c>
      <c r="E160" t="s">
        <v>113</v>
      </c>
      <c r="F160" t="s">
        <v>88</v>
      </c>
      <c r="G160" t="s">
        <v>89</v>
      </c>
      <c r="H160">
        <v>86</v>
      </c>
      <c r="I160">
        <v>100</v>
      </c>
      <c r="J160" t="s">
        <v>45</v>
      </c>
      <c r="K160">
        <v>10000</v>
      </c>
      <c r="L160">
        <v>6030</v>
      </c>
      <c r="M160">
        <v>4000</v>
      </c>
      <c r="N160" t="s">
        <v>26</v>
      </c>
      <c r="O160" t="s">
        <v>27</v>
      </c>
      <c r="P160" s="1">
        <v>45778</v>
      </c>
      <c r="Q160" s="1">
        <v>45808</v>
      </c>
      <c r="R160" s="2">
        <v>0.45624999999999999</v>
      </c>
      <c r="S160" s="2">
        <v>0.50208333333333333</v>
      </c>
      <c r="T160" t="str" cm="1">
        <f t="array" ref="T160">_xlfn.IFS(H160&gt;=90,"A",H160&gt;=75,"B",H160&gt;=60,"C",H160&lt;60,"D")</f>
        <v>B</v>
      </c>
      <c r="U160" t="str">
        <f t="shared" si="8"/>
        <v>10:57 AM</v>
      </c>
      <c r="V160" t="str">
        <f t="shared" si="9"/>
        <v>On Time</v>
      </c>
      <c r="W160" t="str">
        <f t="shared" si="10"/>
        <v>1 Hours 6 Minutes</v>
      </c>
      <c r="X160" t="str">
        <f t="shared" si="11"/>
        <v>Long Time Login</v>
      </c>
      <c r="AA160" s="34" t="s">
        <v>332</v>
      </c>
      <c r="AB160" s="34" t="s">
        <v>266</v>
      </c>
      <c r="AC160" s="34">
        <v>86</v>
      </c>
      <c r="AD160" s="34">
        <v>100</v>
      </c>
      <c r="AE160" s="34" t="s">
        <v>45</v>
      </c>
      <c r="AF160" s="34">
        <v>4000</v>
      </c>
      <c r="AH160" s="34" t="s">
        <v>27</v>
      </c>
    </row>
    <row r="161" spans="1:34">
      <c r="A161" t="s">
        <v>333</v>
      </c>
      <c r="B161" t="s">
        <v>334</v>
      </c>
      <c r="C161">
        <v>18</v>
      </c>
      <c r="D161" t="s">
        <v>21</v>
      </c>
      <c r="E161" t="s">
        <v>113</v>
      </c>
      <c r="F161" t="s">
        <v>31</v>
      </c>
      <c r="G161" t="s">
        <v>32</v>
      </c>
      <c r="H161">
        <v>45</v>
      </c>
      <c r="I161">
        <v>99</v>
      </c>
      <c r="J161" t="s">
        <v>25</v>
      </c>
      <c r="K161">
        <v>10000</v>
      </c>
      <c r="L161">
        <v>7800</v>
      </c>
      <c r="M161">
        <v>4000</v>
      </c>
      <c r="N161" t="s">
        <v>26</v>
      </c>
      <c r="O161" t="s">
        <v>27</v>
      </c>
      <c r="P161" s="1">
        <v>45720</v>
      </c>
      <c r="Q161" s="1">
        <v>45750</v>
      </c>
      <c r="R161" s="2">
        <v>0.3840277777777778</v>
      </c>
      <c r="S161" s="2">
        <v>0.46527777777777779</v>
      </c>
      <c r="T161" t="str" cm="1">
        <f t="array" ref="T161">_xlfn.IFS(H161&gt;=90,"A",H161&gt;=75,"B",H161&gt;=60,"C",H161&lt;60,"D")</f>
        <v>D</v>
      </c>
      <c r="U161" t="str">
        <f t="shared" si="8"/>
        <v>09:13 AM</v>
      </c>
      <c r="V161" t="str">
        <f t="shared" si="9"/>
        <v>On Time</v>
      </c>
      <c r="W161" t="str">
        <f t="shared" si="10"/>
        <v>1 Hours 57 Minutes</v>
      </c>
      <c r="X161" t="str">
        <f t="shared" si="11"/>
        <v>Short Time Login</v>
      </c>
      <c r="AA161" s="35" t="s">
        <v>333</v>
      </c>
      <c r="AB161" s="35" t="s">
        <v>334</v>
      </c>
      <c r="AC161" s="35">
        <v>45</v>
      </c>
      <c r="AD161" s="35">
        <v>99</v>
      </c>
      <c r="AE161" s="35" t="s">
        <v>25</v>
      </c>
      <c r="AF161" s="35">
        <v>4000</v>
      </c>
      <c r="AH161" s="35" t="s">
        <v>27</v>
      </c>
    </row>
    <row r="162" spans="1:34">
      <c r="A162" t="s">
        <v>335</v>
      </c>
      <c r="B162" t="s">
        <v>336</v>
      </c>
      <c r="C162">
        <v>18</v>
      </c>
      <c r="D162" t="s">
        <v>21</v>
      </c>
      <c r="E162" t="s">
        <v>113</v>
      </c>
      <c r="F162" t="s">
        <v>49</v>
      </c>
      <c r="G162" t="s">
        <v>50</v>
      </c>
      <c r="H162">
        <v>50</v>
      </c>
      <c r="I162">
        <v>70</v>
      </c>
      <c r="J162" t="s">
        <v>25</v>
      </c>
      <c r="K162">
        <v>10000</v>
      </c>
      <c r="L162">
        <v>9800</v>
      </c>
      <c r="M162">
        <v>2000</v>
      </c>
      <c r="N162" t="s">
        <v>26</v>
      </c>
      <c r="O162" t="s">
        <v>27</v>
      </c>
      <c r="P162" s="1">
        <v>45976</v>
      </c>
      <c r="Q162" s="1">
        <v>46066</v>
      </c>
      <c r="R162" s="2">
        <v>0.35</v>
      </c>
      <c r="S162" s="2">
        <v>0.53819444444444442</v>
      </c>
      <c r="T162" t="str" cm="1">
        <f t="array" ref="T162">_xlfn.IFS(H162&gt;=90,"A",H162&gt;=75,"B",H162&gt;=60,"C",H162&lt;60,"D")</f>
        <v>D</v>
      </c>
      <c r="U162" t="str">
        <f t="shared" si="8"/>
        <v>08:24 AM</v>
      </c>
      <c r="V162" t="str">
        <f t="shared" si="9"/>
        <v>On Time</v>
      </c>
      <c r="W162" t="str">
        <f t="shared" si="10"/>
        <v>4 Hours 31 Minutes</v>
      </c>
      <c r="X162" t="str">
        <f t="shared" si="11"/>
        <v>Short Time Login</v>
      </c>
      <c r="AA162" s="34" t="s">
        <v>335</v>
      </c>
      <c r="AB162" s="34" t="s">
        <v>336</v>
      </c>
      <c r="AC162" s="34">
        <v>50</v>
      </c>
      <c r="AD162" s="34">
        <v>70</v>
      </c>
      <c r="AE162" s="34" t="s">
        <v>25</v>
      </c>
      <c r="AF162" s="34">
        <v>2000</v>
      </c>
      <c r="AH162" s="34" t="s">
        <v>27</v>
      </c>
    </row>
    <row r="163" spans="1:34">
      <c r="A163" t="s">
        <v>337</v>
      </c>
      <c r="B163" t="s">
        <v>338</v>
      </c>
      <c r="C163">
        <v>23</v>
      </c>
      <c r="D163" t="s">
        <v>21</v>
      </c>
      <c r="E163" t="s">
        <v>30</v>
      </c>
      <c r="F163" t="s">
        <v>23</v>
      </c>
      <c r="G163" t="s">
        <v>24</v>
      </c>
      <c r="H163">
        <v>66</v>
      </c>
      <c r="I163">
        <v>76</v>
      </c>
      <c r="J163" t="s">
        <v>68</v>
      </c>
      <c r="K163">
        <v>15000</v>
      </c>
      <c r="L163">
        <v>13110</v>
      </c>
      <c r="M163">
        <v>4000</v>
      </c>
      <c r="N163" t="s">
        <v>26</v>
      </c>
      <c r="O163" t="s">
        <v>27</v>
      </c>
      <c r="P163" s="1">
        <v>45727</v>
      </c>
      <c r="Q163" s="1">
        <v>45847</v>
      </c>
      <c r="R163" s="2">
        <v>0.38333333333333336</v>
      </c>
      <c r="S163" s="2">
        <v>0.57986111111111116</v>
      </c>
      <c r="T163" t="str" cm="1">
        <f t="array" ref="T163">_xlfn.IFS(H163&gt;=90,"A",H163&gt;=75,"B",H163&gt;=60,"C",H163&lt;60,"D")</f>
        <v>C</v>
      </c>
      <c r="U163" t="str">
        <f t="shared" si="8"/>
        <v>09:12 AM</v>
      </c>
      <c r="V163" t="str">
        <f t="shared" si="9"/>
        <v>Delayed</v>
      </c>
      <c r="W163" t="str">
        <f t="shared" si="10"/>
        <v>4 Hours 43 Minutes</v>
      </c>
      <c r="X163" t="str">
        <f t="shared" si="11"/>
        <v>Short Time Login</v>
      </c>
      <c r="AA163" s="35" t="s">
        <v>337</v>
      </c>
      <c r="AB163" s="35" t="s">
        <v>338</v>
      </c>
      <c r="AC163" s="35">
        <v>66</v>
      </c>
      <c r="AD163" s="35">
        <v>76</v>
      </c>
      <c r="AE163" s="35" t="s">
        <v>68</v>
      </c>
      <c r="AF163" s="35">
        <v>4000</v>
      </c>
      <c r="AH163" s="35" t="s">
        <v>27</v>
      </c>
    </row>
    <row r="164" spans="1:34">
      <c r="A164" t="s">
        <v>339</v>
      </c>
      <c r="B164" t="s">
        <v>140</v>
      </c>
      <c r="C164">
        <v>23</v>
      </c>
      <c r="D164" t="s">
        <v>21</v>
      </c>
      <c r="E164" t="s">
        <v>36</v>
      </c>
      <c r="F164" t="s">
        <v>63</v>
      </c>
      <c r="G164" t="s">
        <v>64</v>
      </c>
      <c r="H164">
        <v>60</v>
      </c>
      <c r="I164">
        <v>82</v>
      </c>
      <c r="J164" t="s">
        <v>68</v>
      </c>
      <c r="K164">
        <v>12000</v>
      </c>
      <c r="L164">
        <v>11570</v>
      </c>
      <c r="M164">
        <v>2000</v>
      </c>
      <c r="N164" t="s">
        <v>26</v>
      </c>
      <c r="O164" t="s">
        <v>27</v>
      </c>
      <c r="P164" s="1">
        <v>45992</v>
      </c>
      <c r="Q164" s="1">
        <v>46052</v>
      </c>
      <c r="R164" s="2">
        <v>0.45624999999999999</v>
      </c>
      <c r="S164" s="2">
        <v>0.51527777777777772</v>
      </c>
      <c r="T164" t="str" cm="1">
        <f t="array" ref="T164">_xlfn.IFS(H164&gt;=90,"A",H164&gt;=75,"B",H164&gt;=60,"C",H164&lt;60,"D")</f>
        <v>C</v>
      </c>
      <c r="U164" t="str">
        <f t="shared" si="8"/>
        <v>10:57 AM</v>
      </c>
      <c r="V164" t="str">
        <f t="shared" si="9"/>
        <v>On Time</v>
      </c>
      <c r="W164" t="str">
        <f t="shared" si="10"/>
        <v>1 Hours 25 Minutes</v>
      </c>
      <c r="X164" t="str">
        <f t="shared" si="11"/>
        <v>Long Time Login</v>
      </c>
      <c r="AA164" s="34" t="s">
        <v>339</v>
      </c>
      <c r="AB164" s="34" t="s">
        <v>140</v>
      </c>
      <c r="AC164" s="34">
        <v>60</v>
      </c>
      <c r="AD164" s="34">
        <v>82</v>
      </c>
      <c r="AE164" s="34" t="s">
        <v>68</v>
      </c>
      <c r="AF164" s="34">
        <v>2000</v>
      </c>
      <c r="AH164" s="34" t="s">
        <v>27</v>
      </c>
    </row>
    <row r="165" spans="1:34">
      <c r="A165" t="s">
        <v>340</v>
      </c>
      <c r="B165" t="s">
        <v>323</v>
      </c>
      <c r="C165">
        <v>28</v>
      </c>
      <c r="D165" t="s">
        <v>21</v>
      </c>
      <c r="E165" t="s">
        <v>22</v>
      </c>
      <c r="F165" t="s">
        <v>23</v>
      </c>
      <c r="G165" t="s">
        <v>24</v>
      </c>
      <c r="H165">
        <v>58</v>
      </c>
      <c r="I165">
        <v>98</v>
      </c>
      <c r="J165" t="s">
        <v>25</v>
      </c>
      <c r="K165">
        <v>12000</v>
      </c>
      <c r="L165">
        <v>12980</v>
      </c>
      <c r="M165">
        <v>0</v>
      </c>
      <c r="N165" t="s">
        <v>11</v>
      </c>
      <c r="O165" t="s">
        <v>27</v>
      </c>
      <c r="P165" s="1">
        <v>45933</v>
      </c>
      <c r="Q165" s="1">
        <v>46023</v>
      </c>
      <c r="R165" s="2">
        <v>0.43819444444444444</v>
      </c>
      <c r="S165" s="2">
        <v>0.54097222222222219</v>
      </c>
      <c r="T165" t="str" cm="1">
        <f t="array" ref="T165">_xlfn.IFS(H165&gt;=90,"A",H165&gt;=75,"B",H165&gt;=60,"C",H165&lt;60,"D")</f>
        <v>D</v>
      </c>
      <c r="U165" t="str">
        <f t="shared" si="8"/>
        <v>10:31 AM</v>
      </c>
      <c r="V165" t="str">
        <f t="shared" si="9"/>
        <v>On Time</v>
      </c>
      <c r="W165" t="str">
        <f t="shared" si="10"/>
        <v>2 Hours 28 Minutes</v>
      </c>
      <c r="X165" t="str">
        <f t="shared" si="11"/>
        <v>Long Time Login</v>
      </c>
      <c r="AA165" s="35" t="s">
        <v>340</v>
      </c>
      <c r="AB165" s="35" t="s">
        <v>323</v>
      </c>
      <c r="AC165" s="35">
        <v>58</v>
      </c>
      <c r="AD165" s="35">
        <v>98</v>
      </c>
      <c r="AE165" s="35" t="s">
        <v>25</v>
      </c>
      <c r="AF165" s="35">
        <v>0</v>
      </c>
      <c r="AH165" s="35" t="s">
        <v>27</v>
      </c>
    </row>
    <row r="166" spans="1:34">
      <c r="A166" t="s">
        <v>341</v>
      </c>
      <c r="B166" t="s">
        <v>209</v>
      </c>
      <c r="C166">
        <v>23</v>
      </c>
      <c r="D166" t="s">
        <v>21</v>
      </c>
      <c r="E166" t="s">
        <v>44</v>
      </c>
      <c r="F166" t="s">
        <v>31</v>
      </c>
      <c r="G166" t="s">
        <v>32</v>
      </c>
      <c r="H166">
        <v>62</v>
      </c>
      <c r="I166">
        <v>70</v>
      </c>
      <c r="J166" t="s">
        <v>68</v>
      </c>
      <c r="K166">
        <v>10000</v>
      </c>
      <c r="L166">
        <v>11210</v>
      </c>
      <c r="M166">
        <v>0</v>
      </c>
      <c r="N166" t="s">
        <v>11</v>
      </c>
      <c r="O166" t="s">
        <v>27</v>
      </c>
      <c r="P166" s="1">
        <v>45819</v>
      </c>
      <c r="Q166" s="1">
        <v>45879</v>
      </c>
      <c r="R166" s="2">
        <v>0.4</v>
      </c>
      <c r="S166" s="2">
        <v>0.52638888888888891</v>
      </c>
      <c r="T166" t="str" cm="1">
        <f t="array" ref="T166">_xlfn.IFS(H166&gt;=90,"A",H166&gt;=75,"B",H166&gt;=60,"C",H166&lt;60,"D")</f>
        <v>C</v>
      </c>
      <c r="U166" t="str">
        <f t="shared" si="8"/>
        <v>09:36 AM</v>
      </c>
      <c r="V166" t="str">
        <f t="shared" si="9"/>
        <v>On Time</v>
      </c>
      <c r="W166" t="str">
        <f t="shared" si="10"/>
        <v>3 Hours 2 Minutes</v>
      </c>
      <c r="X166" t="str">
        <f t="shared" si="11"/>
        <v>Short Time Login</v>
      </c>
      <c r="AA166" s="34" t="s">
        <v>341</v>
      </c>
      <c r="AB166" s="34" t="s">
        <v>209</v>
      </c>
      <c r="AC166" s="34">
        <v>62</v>
      </c>
      <c r="AD166" s="34">
        <v>70</v>
      </c>
      <c r="AE166" s="34" t="s">
        <v>68</v>
      </c>
      <c r="AF166" s="34">
        <v>0</v>
      </c>
      <c r="AH166" s="34" t="s">
        <v>27</v>
      </c>
    </row>
    <row r="167" spans="1:34">
      <c r="A167" t="s">
        <v>342</v>
      </c>
      <c r="B167" t="s">
        <v>343</v>
      </c>
      <c r="C167">
        <v>21</v>
      </c>
      <c r="D167" t="s">
        <v>35</v>
      </c>
      <c r="E167" t="s">
        <v>22</v>
      </c>
      <c r="F167" t="s">
        <v>40</v>
      </c>
      <c r="G167" t="s">
        <v>41</v>
      </c>
      <c r="H167">
        <v>95</v>
      </c>
      <c r="I167">
        <v>70</v>
      </c>
      <c r="J167" t="s">
        <v>59</v>
      </c>
      <c r="K167">
        <v>20000</v>
      </c>
      <c r="L167">
        <v>23010</v>
      </c>
      <c r="M167">
        <v>0</v>
      </c>
      <c r="N167" t="s">
        <v>11</v>
      </c>
      <c r="O167" t="s">
        <v>27</v>
      </c>
      <c r="P167" s="1">
        <v>45795</v>
      </c>
      <c r="Q167" s="1">
        <v>45855</v>
      </c>
      <c r="R167" s="2">
        <v>0.42291666666666666</v>
      </c>
      <c r="S167" s="2">
        <v>0.61944444444444446</v>
      </c>
      <c r="T167" t="str" cm="1">
        <f t="array" ref="T167">_xlfn.IFS(H167&gt;=90,"A",H167&gt;=75,"B",H167&gt;=60,"C",H167&lt;60,"D")</f>
        <v>A</v>
      </c>
      <c r="U167" t="str">
        <f t="shared" si="8"/>
        <v>10:09 AM</v>
      </c>
      <c r="V167" t="str">
        <f t="shared" si="9"/>
        <v>On Time</v>
      </c>
      <c r="W167" t="str">
        <f t="shared" si="10"/>
        <v>4 Hours 43 Minutes</v>
      </c>
      <c r="X167" t="str">
        <f t="shared" si="11"/>
        <v>Long Time Login</v>
      </c>
      <c r="AA167" s="35" t="s">
        <v>342</v>
      </c>
      <c r="AB167" s="35" t="s">
        <v>343</v>
      </c>
      <c r="AC167" s="35">
        <v>95</v>
      </c>
      <c r="AD167" s="35">
        <v>70</v>
      </c>
      <c r="AE167" s="35" t="s">
        <v>59</v>
      </c>
      <c r="AF167" s="35">
        <v>0</v>
      </c>
      <c r="AH167" s="35" t="s">
        <v>27</v>
      </c>
    </row>
    <row r="168" spans="1:34">
      <c r="A168" t="s">
        <v>344</v>
      </c>
      <c r="B168" t="s">
        <v>226</v>
      </c>
      <c r="C168">
        <v>22</v>
      </c>
      <c r="D168" t="s">
        <v>35</v>
      </c>
      <c r="E168" t="s">
        <v>30</v>
      </c>
      <c r="F168" t="s">
        <v>40</v>
      </c>
      <c r="G168" t="s">
        <v>41</v>
      </c>
      <c r="H168">
        <v>77</v>
      </c>
      <c r="I168">
        <v>84</v>
      </c>
      <c r="J168" t="s">
        <v>45</v>
      </c>
      <c r="K168">
        <v>10000</v>
      </c>
      <c r="L168">
        <v>11210</v>
      </c>
      <c r="M168">
        <v>0</v>
      </c>
      <c r="N168" t="s">
        <v>11</v>
      </c>
      <c r="O168" t="s">
        <v>27</v>
      </c>
      <c r="P168" s="1">
        <v>45981</v>
      </c>
      <c r="Q168" s="1">
        <v>46161</v>
      </c>
      <c r="R168" s="2">
        <v>0.39305555555555555</v>
      </c>
      <c r="S168" s="2">
        <v>0.53819444444444442</v>
      </c>
      <c r="T168" t="str" cm="1">
        <f t="array" ref="T168">_xlfn.IFS(H168&gt;=90,"A",H168&gt;=75,"B",H168&gt;=60,"C",H168&lt;60,"D")</f>
        <v>B</v>
      </c>
      <c r="U168" t="str">
        <f t="shared" si="8"/>
        <v>09:26 AM</v>
      </c>
      <c r="V168" t="str">
        <f t="shared" si="9"/>
        <v>Delayed</v>
      </c>
      <c r="W168" t="str">
        <f t="shared" si="10"/>
        <v>3 Hours 29 Minutes</v>
      </c>
      <c r="X168" t="str">
        <f t="shared" si="11"/>
        <v>Short Time Login</v>
      </c>
      <c r="AA168" s="34" t="s">
        <v>344</v>
      </c>
      <c r="AB168" s="34" t="s">
        <v>226</v>
      </c>
      <c r="AC168" s="34">
        <v>77</v>
      </c>
      <c r="AD168" s="34">
        <v>84</v>
      </c>
      <c r="AE168" s="34" t="s">
        <v>45</v>
      </c>
      <c r="AF168" s="34">
        <v>0</v>
      </c>
      <c r="AH168" s="34" t="s">
        <v>27</v>
      </c>
    </row>
    <row r="169" spans="1:34">
      <c r="A169" t="s">
        <v>345</v>
      </c>
      <c r="B169" t="s">
        <v>270</v>
      </c>
      <c r="C169">
        <v>22</v>
      </c>
      <c r="D169" t="s">
        <v>21</v>
      </c>
      <c r="E169" t="s">
        <v>73</v>
      </c>
      <c r="F169" t="s">
        <v>57</v>
      </c>
      <c r="G169" t="s">
        <v>58</v>
      </c>
      <c r="H169">
        <v>59</v>
      </c>
      <c r="I169">
        <v>73</v>
      </c>
      <c r="J169" t="s">
        <v>25</v>
      </c>
      <c r="K169">
        <v>10000</v>
      </c>
      <c r="L169">
        <v>8620</v>
      </c>
      <c r="M169">
        <v>2000</v>
      </c>
      <c r="N169" t="s">
        <v>26</v>
      </c>
      <c r="O169" t="s">
        <v>27</v>
      </c>
      <c r="P169" s="1">
        <v>45987</v>
      </c>
      <c r="Q169" s="1">
        <v>46107</v>
      </c>
      <c r="R169" s="2">
        <v>0.44930555555555557</v>
      </c>
      <c r="S169" s="2">
        <v>0.65763888888888888</v>
      </c>
      <c r="T169" t="str" cm="1">
        <f t="array" ref="T169">_xlfn.IFS(H169&gt;=90,"A",H169&gt;=75,"B",H169&gt;=60,"C",H169&lt;60,"D")</f>
        <v>D</v>
      </c>
      <c r="U169" t="str">
        <f t="shared" si="8"/>
        <v>10:47 AM</v>
      </c>
      <c r="V169" t="str">
        <f t="shared" si="9"/>
        <v>Delayed</v>
      </c>
      <c r="W169" t="str">
        <f t="shared" si="10"/>
        <v>5 Hours 0 Minutes</v>
      </c>
      <c r="X169" t="str">
        <f t="shared" si="11"/>
        <v>Long Time Login</v>
      </c>
      <c r="AA169" s="35" t="s">
        <v>345</v>
      </c>
      <c r="AB169" s="35" t="s">
        <v>270</v>
      </c>
      <c r="AC169" s="35">
        <v>59</v>
      </c>
      <c r="AD169" s="35">
        <v>73</v>
      </c>
      <c r="AE169" s="35" t="s">
        <v>25</v>
      </c>
      <c r="AF169" s="35">
        <v>2000</v>
      </c>
      <c r="AH169" s="35" t="s">
        <v>27</v>
      </c>
    </row>
    <row r="170" spans="1:34">
      <c r="A170" t="s">
        <v>346</v>
      </c>
      <c r="B170" t="s">
        <v>347</v>
      </c>
      <c r="C170">
        <v>18</v>
      </c>
      <c r="D170" t="s">
        <v>35</v>
      </c>
      <c r="E170" t="s">
        <v>62</v>
      </c>
      <c r="F170" t="s">
        <v>49</v>
      </c>
      <c r="G170" t="s">
        <v>50</v>
      </c>
      <c r="H170">
        <v>82</v>
      </c>
      <c r="I170">
        <v>94</v>
      </c>
      <c r="J170" t="s">
        <v>45</v>
      </c>
      <c r="K170">
        <v>20000</v>
      </c>
      <c r="L170">
        <v>21830</v>
      </c>
      <c r="M170">
        <v>0</v>
      </c>
      <c r="N170" t="s">
        <v>11</v>
      </c>
      <c r="O170" t="s">
        <v>27</v>
      </c>
      <c r="P170" s="1">
        <v>45890</v>
      </c>
      <c r="Q170" s="1">
        <v>45950</v>
      </c>
      <c r="R170" s="2">
        <v>0.42986111111111114</v>
      </c>
      <c r="S170" s="2">
        <v>0.52500000000000002</v>
      </c>
      <c r="T170" t="str" cm="1">
        <f t="array" ref="T170">_xlfn.IFS(H170&gt;=90,"A",H170&gt;=75,"B",H170&gt;=60,"C",H170&lt;60,"D")</f>
        <v>B</v>
      </c>
      <c r="U170" t="str">
        <f t="shared" si="8"/>
        <v>10:19 AM</v>
      </c>
      <c r="V170" t="str">
        <f t="shared" si="9"/>
        <v>On Time</v>
      </c>
      <c r="W170" t="str">
        <f t="shared" si="10"/>
        <v>2 Hours 17 Minutes</v>
      </c>
      <c r="X170" t="str">
        <f t="shared" si="11"/>
        <v>Long Time Login</v>
      </c>
      <c r="AA170" s="34" t="s">
        <v>346</v>
      </c>
      <c r="AB170" s="34" t="s">
        <v>347</v>
      </c>
      <c r="AC170" s="34">
        <v>82</v>
      </c>
      <c r="AD170" s="34">
        <v>94</v>
      </c>
      <c r="AE170" s="34" t="s">
        <v>45</v>
      </c>
      <c r="AF170" s="34">
        <v>0</v>
      </c>
      <c r="AH170" s="34" t="s">
        <v>27</v>
      </c>
    </row>
    <row r="171" spans="1:34">
      <c r="A171" t="s">
        <v>348</v>
      </c>
      <c r="B171" t="s">
        <v>349</v>
      </c>
      <c r="C171">
        <v>23</v>
      </c>
      <c r="D171" t="s">
        <v>21</v>
      </c>
      <c r="E171" t="s">
        <v>96</v>
      </c>
      <c r="F171" t="s">
        <v>63</v>
      </c>
      <c r="G171" t="s">
        <v>64</v>
      </c>
      <c r="H171">
        <v>78</v>
      </c>
      <c r="I171">
        <v>62</v>
      </c>
      <c r="J171" t="s">
        <v>45</v>
      </c>
      <c r="K171">
        <v>15000</v>
      </c>
      <c r="L171">
        <v>15110</v>
      </c>
      <c r="M171">
        <v>2000</v>
      </c>
      <c r="N171" t="s">
        <v>26</v>
      </c>
      <c r="O171" t="s">
        <v>27</v>
      </c>
      <c r="P171" s="1">
        <v>45688</v>
      </c>
      <c r="Q171" s="1">
        <v>45748</v>
      </c>
      <c r="R171" s="2">
        <v>0.40694444444444444</v>
      </c>
      <c r="S171" s="2">
        <v>0.45347222222222222</v>
      </c>
      <c r="T171" t="str" cm="1">
        <f t="array" ref="T171">_xlfn.IFS(H171&gt;=90,"A",H171&gt;=75,"B",H171&gt;=60,"C",H171&lt;60,"D")</f>
        <v>B</v>
      </c>
      <c r="U171" t="str">
        <f t="shared" si="8"/>
        <v>09:46 AM</v>
      </c>
      <c r="V171" t="str">
        <f t="shared" si="9"/>
        <v>On Time</v>
      </c>
      <c r="W171" t="str">
        <f t="shared" si="10"/>
        <v>1 Hours 7 Minutes</v>
      </c>
      <c r="X171" t="str">
        <f t="shared" si="11"/>
        <v>Short Time Login</v>
      </c>
      <c r="AA171" s="35" t="s">
        <v>348</v>
      </c>
      <c r="AB171" s="35" t="s">
        <v>349</v>
      </c>
      <c r="AC171" s="35">
        <v>78</v>
      </c>
      <c r="AD171" s="35">
        <v>62</v>
      </c>
      <c r="AE171" s="35" t="s">
        <v>45</v>
      </c>
      <c r="AF171" s="35">
        <v>2000</v>
      </c>
      <c r="AH171" s="35" t="s">
        <v>27</v>
      </c>
    </row>
    <row r="172" spans="1:34">
      <c r="A172" t="s">
        <v>350</v>
      </c>
      <c r="B172" t="s">
        <v>351</v>
      </c>
      <c r="C172">
        <v>21</v>
      </c>
      <c r="D172" t="s">
        <v>35</v>
      </c>
      <c r="E172" t="s">
        <v>30</v>
      </c>
      <c r="F172" t="s">
        <v>23</v>
      </c>
      <c r="G172" t="s">
        <v>24</v>
      </c>
      <c r="H172">
        <v>68</v>
      </c>
      <c r="I172">
        <v>75</v>
      </c>
      <c r="J172" t="s">
        <v>68</v>
      </c>
      <c r="K172">
        <v>15000</v>
      </c>
      <c r="L172">
        <v>17110</v>
      </c>
      <c r="M172">
        <v>0</v>
      </c>
      <c r="N172" t="s">
        <v>11</v>
      </c>
      <c r="O172" t="s">
        <v>27</v>
      </c>
      <c r="P172" s="1">
        <v>45748</v>
      </c>
      <c r="Q172" s="1">
        <v>45778</v>
      </c>
      <c r="R172" s="2">
        <v>0.43333333333333335</v>
      </c>
      <c r="S172" s="2">
        <v>0.51249999999999996</v>
      </c>
      <c r="T172" t="str" cm="1">
        <f t="array" ref="T172">_xlfn.IFS(H172&gt;=90,"A",H172&gt;=75,"B",H172&gt;=60,"C",H172&lt;60,"D")</f>
        <v>C</v>
      </c>
      <c r="U172" t="str">
        <f t="shared" si="8"/>
        <v>10:24 AM</v>
      </c>
      <c r="V172" t="str">
        <f t="shared" si="9"/>
        <v>On Time</v>
      </c>
      <c r="W172" t="str">
        <f t="shared" si="10"/>
        <v>1 Hours 54 Minutes</v>
      </c>
      <c r="X172" t="str">
        <f t="shared" si="11"/>
        <v>Long Time Login</v>
      </c>
      <c r="AA172" s="34" t="s">
        <v>350</v>
      </c>
      <c r="AB172" s="34" t="s">
        <v>351</v>
      </c>
      <c r="AC172" s="34">
        <v>68</v>
      </c>
      <c r="AD172" s="34">
        <v>75</v>
      </c>
      <c r="AE172" s="34" t="s">
        <v>68</v>
      </c>
      <c r="AF172" s="34">
        <v>0</v>
      </c>
      <c r="AH172" s="34" t="s">
        <v>27</v>
      </c>
    </row>
    <row r="173" spans="1:34">
      <c r="A173" t="s">
        <v>352</v>
      </c>
      <c r="B173" t="s">
        <v>353</v>
      </c>
      <c r="C173">
        <v>24</v>
      </c>
      <c r="D173" t="s">
        <v>21</v>
      </c>
      <c r="E173" t="s">
        <v>44</v>
      </c>
      <c r="F173" t="s">
        <v>88</v>
      </c>
      <c r="G173" t="s">
        <v>89</v>
      </c>
      <c r="H173">
        <v>89</v>
      </c>
      <c r="I173">
        <v>61</v>
      </c>
      <c r="J173" t="s">
        <v>45</v>
      </c>
      <c r="K173">
        <v>15000</v>
      </c>
      <c r="L173">
        <v>13110</v>
      </c>
      <c r="M173">
        <v>4000</v>
      </c>
      <c r="N173" t="s">
        <v>26</v>
      </c>
      <c r="O173" t="s">
        <v>27</v>
      </c>
      <c r="P173" s="1">
        <v>45862</v>
      </c>
      <c r="Q173" s="1">
        <v>45892</v>
      </c>
      <c r="R173" s="2">
        <v>0.40069444444444446</v>
      </c>
      <c r="S173" s="2">
        <v>0.51527777777777772</v>
      </c>
      <c r="T173" t="str" cm="1">
        <f t="array" ref="T173">_xlfn.IFS(H173&gt;=90,"A",H173&gt;=75,"B",H173&gt;=60,"C",H173&lt;60,"D")</f>
        <v>B</v>
      </c>
      <c r="U173" t="str">
        <f t="shared" si="8"/>
        <v>09:37 AM</v>
      </c>
      <c r="V173" t="str">
        <f t="shared" si="9"/>
        <v>On Time</v>
      </c>
      <c r="W173" t="str">
        <f t="shared" si="10"/>
        <v>2 Hours 45 Minutes</v>
      </c>
      <c r="X173" t="str">
        <f t="shared" si="11"/>
        <v>Short Time Login</v>
      </c>
      <c r="AA173" s="35" t="s">
        <v>352</v>
      </c>
      <c r="AB173" s="35" t="s">
        <v>353</v>
      </c>
      <c r="AC173" s="35">
        <v>89</v>
      </c>
      <c r="AD173" s="35">
        <v>61</v>
      </c>
      <c r="AE173" s="35" t="s">
        <v>45</v>
      </c>
      <c r="AF173" s="35">
        <v>4000</v>
      </c>
      <c r="AH173" s="35" t="s">
        <v>27</v>
      </c>
    </row>
    <row r="174" spans="1:34">
      <c r="A174" t="s">
        <v>354</v>
      </c>
      <c r="B174" t="s">
        <v>300</v>
      </c>
      <c r="C174">
        <v>26</v>
      </c>
      <c r="D174" t="s">
        <v>35</v>
      </c>
      <c r="E174" t="s">
        <v>96</v>
      </c>
      <c r="F174" t="s">
        <v>40</v>
      </c>
      <c r="G174" t="s">
        <v>41</v>
      </c>
      <c r="H174">
        <v>57</v>
      </c>
      <c r="I174">
        <v>85</v>
      </c>
      <c r="J174" t="s">
        <v>25</v>
      </c>
      <c r="K174">
        <v>15000</v>
      </c>
      <c r="L174">
        <v>15110</v>
      </c>
      <c r="M174">
        <v>2000</v>
      </c>
      <c r="N174" t="s">
        <v>26</v>
      </c>
      <c r="O174" t="s">
        <v>27</v>
      </c>
      <c r="P174" s="1">
        <v>45780</v>
      </c>
      <c r="Q174" s="1">
        <v>45900</v>
      </c>
      <c r="R174" s="2">
        <v>0.3576388888888889</v>
      </c>
      <c r="S174" s="2">
        <v>0.54097222222222219</v>
      </c>
      <c r="T174" t="str" cm="1">
        <f t="array" ref="T174">_xlfn.IFS(H174&gt;=90,"A",H174&gt;=75,"B",H174&gt;=60,"C",H174&lt;60,"D")</f>
        <v>D</v>
      </c>
      <c r="U174" t="str">
        <f t="shared" si="8"/>
        <v>08:35 AM</v>
      </c>
      <c r="V174" t="str">
        <f t="shared" si="9"/>
        <v>Delayed</v>
      </c>
      <c r="W174" t="str">
        <f t="shared" si="10"/>
        <v>4 Hours 24 Minutes</v>
      </c>
      <c r="X174" t="str">
        <f t="shared" si="11"/>
        <v>Short Time Login</v>
      </c>
      <c r="AA174" s="34" t="s">
        <v>354</v>
      </c>
      <c r="AB174" s="34" t="s">
        <v>300</v>
      </c>
      <c r="AC174" s="34">
        <v>57</v>
      </c>
      <c r="AD174" s="34">
        <v>85</v>
      </c>
      <c r="AE174" s="34" t="s">
        <v>25</v>
      </c>
      <c r="AF174" s="34">
        <v>2000</v>
      </c>
      <c r="AH174" s="34" t="s">
        <v>27</v>
      </c>
    </row>
    <row r="175" spans="1:34">
      <c r="A175" t="s">
        <v>355</v>
      </c>
      <c r="B175" t="s">
        <v>126</v>
      </c>
      <c r="C175">
        <v>20</v>
      </c>
      <c r="D175" t="s">
        <v>21</v>
      </c>
      <c r="E175" t="s">
        <v>22</v>
      </c>
      <c r="F175" t="s">
        <v>63</v>
      </c>
      <c r="G175" t="s">
        <v>64</v>
      </c>
      <c r="H175">
        <v>87</v>
      </c>
      <c r="I175">
        <v>87</v>
      </c>
      <c r="J175" t="s">
        <v>45</v>
      </c>
      <c r="K175">
        <v>10000</v>
      </c>
      <c r="L175">
        <v>8620</v>
      </c>
      <c r="M175">
        <v>2000</v>
      </c>
      <c r="N175" t="s">
        <v>26</v>
      </c>
      <c r="O175" t="s">
        <v>27</v>
      </c>
      <c r="P175" s="1">
        <v>45898</v>
      </c>
      <c r="Q175" s="1">
        <v>46078</v>
      </c>
      <c r="R175" s="2">
        <v>0.41388888888888886</v>
      </c>
      <c r="S175" s="2">
        <v>0.46319444444444446</v>
      </c>
      <c r="T175" t="str" cm="1">
        <f t="array" ref="T175">_xlfn.IFS(H175&gt;=90,"A",H175&gt;=75,"B",H175&gt;=60,"C",H175&lt;60,"D")</f>
        <v>B</v>
      </c>
      <c r="U175" t="str">
        <f t="shared" si="8"/>
        <v>09:56 AM</v>
      </c>
      <c r="V175" t="str">
        <f t="shared" si="9"/>
        <v>Delayed</v>
      </c>
      <c r="W175" t="str">
        <f t="shared" si="10"/>
        <v>1 Hours 11 Minutes</v>
      </c>
      <c r="X175" t="str">
        <f t="shared" si="11"/>
        <v>Short Time Login</v>
      </c>
      <c r="AA175" s="35" t="s">
        <v>355</v>
      </c>
      <c r="AB175" s="35" t="s">
        <v>126</v>
      </c>
      <c r="AC175" s="35">
        <v>87</v>
      </c>
      <c r="AD175" s="35">
        <v>87</v>
      </c>
      <c r="AE175" s="35" t="s">
        <v>45</v>
      </c>
      <c r="AF175" s="35">
        <v>2000</v>
      </c>
      <c r="AH175" s="35" t="s">
        <v>27</v>
      </c>
    </row>
    <row r="176" spans="1:34">
      <c r="A176" t="s">
        <v>356</v>
      </c>
      <c r="B176" t="s">
        <v>302</v>
      </c>
      <c r="C176">
        <v>22</v>
      </c>
      <c r="D176" t="s">
        <v>21</v>
      </c>
      <c r="E176" t="s">
        <v>30</v>
      </c>
      <c r="F176" t="s">
        <v>23</v>
      </c>
      <c r="G176" t="s">
        <v>24</v>
      </c>
      <c r="H176">
        <v>63</v>
      </c>
      <c r="I176">
        <v>67</v>
      </c>
      <c r="J176" t="s">
        <v>68</v>
      </c>
      <c r="K176">
        <v>18000</v>
      </c>
      <c r="L176">
        <v>17470</v>
      </c>
      <c r="M176">
        <v>2000</v>
      </c>
      <c r="N176" t="s">
        <v>26</v>
      </c>
      <c r="O176" t="s">
        <v>27</v>
      </c>
      <c r="P176" s="1">
        <v>45737</v>
      </c>
      <c r="Q176" s="1">
        <v>45827</v>
      </c>
      <c r="R176" s="2">
        <v>0.40416666666666667</v>
      </c>
      <c r="S176" s="2">
        <v>0.59583333333333333</v>
      </c>
      <c r="T176" t="str" cm="1">
        <f t="array" ref="T176">_xlfn.IFS(H176&gt;=90,"A",H176&gt;=75,"B",H176&gt;=60,"C",H176&lt;60,"D")</f>
        <v>C</v>
      </c>
      <c r="U176" t="str">
        <f t="shared" si="8"/>
        <v>09:42 AM</v>
      </c>
      <c r="V176" t="str">
        <f t="shared" si="9"/>
        <v>On Time</v>
      </c>
      <c r="W176" t="str">
        <f t="shared" si="10"/>
        <v>4 Hours 36 Minutes</v>
      </c>
      <c r="X176" t="str">
        <f t="shared" si="11"/>
        <v>Short Time Login</v>
      </c>
      <c r="AA176" s="34" t="s">
        <v>356</v>
      </c>
      <c r="AB176" s="34" t="s">
        <v>302</v>
      </c>
      <c r="AC176" s="34">
        <v>63</v>
      </c>
      <c r="AD176" s="34">
        <v>67</v>
      </c>
      <c r="AE176" s="34" t="s">
        <v>68</v>
      </c>
      <c r="AF176" s="34">
        <v>2000</v>
      </c>
      <c r="AH176" s="34" t="s">
        <v>27</v>
      </c>
    </row>
    <row r="177" spans="1:34">
      <c r="A177" t="s">
        <v>357</v>
      </c>
      <c r="B177" t="s">
        <v>358</v>
      </c>
      <c r="C177">
        <v>28</v>
      </c>
      <c r="D177" t="s">
        <v>35</v>
      </c>
      <c r="E177" t="s">
        <v>39</v>
      </c>
      <c r="F177" t="s">
        <v>88</v>
      </c>
      <c r="G177" t="s">
        <v>89</v>
      </c>
      <c r="H177">
        <v>82</v>
      </c>
      <c r="I177">
        <v>92</v>
      </c>
      <c r="J177" t="s">
        <v>45</v>
      </c>
      <c r="K177">
        <v>18000</v>
      </c>
      <c r="L177">
        <v>20060</v>
      </c>
      <c r="M177">
        <v>0</v>
      </c>
      <c r="N177" t="s">
        <v>11</v>
      </c>
      <c r="O177" t="s">
        <v>27</v>
      </c>
      <c r="P177" s="1">
        <v>45884</v>
      </c>
      <c r="Q177" s="1">
        <v>45944</v>
      </c>
      <c r="R177" s="2">
        <v>0.33750000000000002</v>
      </c>
      <c r="S177" s="2">
        <v>0.5229166666666667</v>
      </c>
      <c r="T177" t="str" cm="1">
        <f t="array" ref="T177">_xlfn.IFS(H177&gt;=90,"A",H177&gt;=75,"B",H177&gt;=60,"C",H177&lt;60,"D")</f>
        <v>B</v>
      </c>
      <c r="U177" t="str">
        <f t="shared" si="8"/>
        <v>08:06 AM</v>
      </c>
      <c r="V177" t="str">
        <f t="shared" si="9"/>
        <v>On Time</v>
      </c>
      <c r="W177" t="str">
        <f t="shared" si="10"/>
        <v>4 Hours 27 Minutes</v>
      </c>
      <c r="X177" t="str">
        <f t="shared" si="11"/>
        <v>Short Time Login</v>
      </c>
      <c r="AA177" s="35" t="s">
        <v>357</v>
      </c>
      <c r="AB177" s="35" t="s">
        <v>358</v>
      </c>
      <c r="AC177" s="35">
        <v>82</v>
      </c>
      <c r="AD177" s="35">
        <v>92</v>
      </c>
      <c r="AE177" s="35" t="s">
        <v>45</v>
      </c>
      <c r="AF177" s="35">
        <v>0</v>
      </c>
      <c r="AH177" s="35" t="s">
        <v>27</v>
      </c>
    </row>
    <row r="178" spans="1:34">
      <c r="A178" t="s">
        <v>359</v>
      </c>
      <c r="B178" t="s">
        <v>246</v>
      </c>
      <c r="C178">
        <v>22</v>
      </c>
      <c r="D178" t="s">
        <v>21</v>
      </c>
      <c r="E178" t="s">
        <v>48</v>
      </c>
      <c r="F178" t="s">
        <v>40</v>
      </c>
      <c r="G178" t="s">
        <v>41</v>
      </c>
      <c r="H178">
        <v>38</v>
      </c>
      <c r="I178">
        <v>87</v>
      </c>
      <c r="J178" t="s">
        <v>25</v>
      </c>
      <c r="K178">
        <v>12000</v>
      </c>
      <c r="L178">
        <v>10160</v>
      </c>
      <c r="M178">
        <v>4000</v>
      </c>
      <c r="N178" t="s">
        <v>26</v>
      </c>
      <c r="O178" t="s">
        <v>27</v>
      </c>
      <c r="P178" s="1">
        <v>45832</v>
      </c>
      <c r="Q178" s="1">
        <v>46012</v>
      </c>
      <c r="R178" s="2">
        <v>0.44166666666666665</v>
      </c>
      <c r="S178" s="2">
        <v>0.57013888888888886</v>
      </c>
      <c r="T178" t="str" cm="1">
        <f t="array" ref="T178">_xlfn.IFS(H178&gt;=90,"A",H178&gt;=75,"B",H178&gt;=60,"C",H178&lt;60,"D")</f>
        <v>D</v>
      </c>
      <c r="U178" t="str">
        <f t="shared" si="8"/>
        <v>10:36 AM</v>
      </c>
      <c r="V178" t="str">
        <f t="shared" si="9"/>
        <v>Delayed</v>
      </c>
      <c r="W178" t="str">
        <f t="shared" si="10"/>
        <v>3 Hours 5 Minutes</v>
      </c>
      <c r="X178" t="str">
        <f t="shared" si="11"/>
        <v>Long Time Login</v>
      </c>
      <c r="AA178" s="34" t="s">
        <v>359</v>
      </c>
      <c r="AB178" s="34" t="s">
        <v>246</v>
      </c>
      <c r="AC178" s="34">
        <v>38</v>
      </c>
      <c r="AD178" s="34">
        <v>87</v>
      </c>
      <c r="AE178" s="34" t="s">
        <v>25</v>
      </c>
      <c r="AF178" s="34">
        <v>4000</v>
      </c>
      <c r="AH178" s="34" t="s">
        <v>27</v>
      </c>
    </row>
    <row r="179" spans="1:34">
      <c r="A179" t="s">
        <v>360</v>
      </c>
      <c r="B179" t="s">
        <v>361</v>
      </c>
      <c r="C179">
        <v>23</v>
      </c>
      <c r="D179" t="s">
        <v>21</v>
      </c>
      <c r="E179" t="s">
        <v>48</v>
      </c>
      <c r="F179" t="s">
        <v>23</v>
      </c>
      <c r="G179" t="s">
        <v>24</v>
      </c>
      <c r="H179">
        <v>96</v>
      </c>
      <c r="I179">
        <v>84</v>
      </c>
      <c r="J179" t="s">
        <v>59</v>
      </c>
      <c r="K179">
        <v>10000</v>
      </c>
      <c r="L179">
        <v>6620</v>
      </c>
      <c r="M179">
        <v>4000</v>
      </c>
      <c r="N179" t="s">
        <v>26</v>
      </c>
      <c r="O179" t="s">
        <v>27</v>
      </c>
      <c r="P179" s="1">
        <v>45756</v>
      </c>
      <c r="Q179" s="1">
        <v>45786</v>
      </c>
      <c r="R179" s="2">
        <v>0.44513888888888886</v>
      </c>
      <c r="S179" s="2">
        <v>0.53749999999999998</v>
      </c>
      <c r="T179" t="str" cm="1">
        <f t="array" ref="T179">_xlfn.IFS(H179&gt;=90,"A",H179&gt;=75,"B",H179&gt;=60,"C",H179&lt;60,"D")</f>
        <v>A</v>
      </c>
      <c r="U179" t="str">
        <f t="shared" si="8"/>
        <v>10:41 AM</v>
      </c>
      <c r="V179" t="str">
        <f t="shared" si="9"/>
        <v>On Time</v>
      </c>
      <c r="W179" t="str">
        <f t="shared" si="10"/>
        <v>2 Hours 13 Minutes</v>
      </c>
      <c r="X179" t="str">
        <f t="shared" si="11"/>
        <v>Long Time Login</v>
      </c>
      <c r="AA179" s="35" t="s">
        <v>360</v>
      </c>
      <c r="AB179" s="35" t="s">
        <v>361</v>
      </c>
      <c r="AC179" s="35">
        <v>96</v>
      </c>
      <c r="AD179" s="35">
        <v>84</v>
      </c>
      <c r="AE179" s="35" t="s">
        <v>59</v>
      </c>
      <c r="AF179" s="35">
        <v>4000</v>
      </c>
      <c r="AH179" s="35" t="s">
        <v>27</v>
      </c>
    </row>
    <row r="180" spans="1:34">
      <c r="A180" t="s">
        <v>362</v>
      </c>
      <c r="B180" t="s">
        <v>282</v>
      </c>
      <c r="C180">
        <v>22</v>
      </c>
      <c r="D180" t="s">
        <v>35</v>
      </c>
      <c r="E180" t="s">
        <v>39</v>
      </c>
      <c r="F180" t="s">
        <v>63</v>
      </c>
      <c r="G180" t="s">
        <v>64</v>
      </c>
      <c r="H180">
        <v>54</v>
      </c>
      <c r="I180">
        <v>83</v>
      </c>
      <c r="J180" t="s">
        <v>25</v>
      </c>
      <c r="K180">
        <v>10000</v>
      </c>
      <c r="L180">
        <v>9800</v>
      </c>
      <c r="M180">
        <v>2000</v>
      </c>
      <c r="N180" t="s">
        <v>26</v>
      </c>
      <c r="O180" t="s">
        <v>27</v>
      </c>
      <c r="P180" s="1">
        <v>46005</v>
      </c>
      <c r="Q180" s="1">
        <v>46035</v>
      </c>
      <c r="R180" s="2">
        <v>0.34236111111111112</v>
      </c>
      <c r="S180" s="2">
        <v>0.40902777777777777</v>
      </c>
      <c r="T180" t="str" cm="1">
        <f t="array" ref="T180">_xlfn.IFS(H180&gt;=90,"A",H180&gt;=75,"B",H180&gt;=60,"C",H180&lt;60,"D")</f>
        <v>D</v>
      </c>
      <c r="U180" t="str">
        <f t="shared" si="8"/>
        <v>08:13 AM</v>
      </c>
      <c r="V180" t="str">
        <f t="shared" si="9"/>
        <v>On Time</v>
      </c>
      <c r="W180" t="str">
        <f t="shared" si="10"/>
        <v>1 Hours 36 Minutes</v>
      </c>
      <c r="X180" t="str">
        <f t="shared" si="11"/>
        <v>Short Time Login</v>
      </c>
      <c r="AA180" s="34" t="s">
        <v>362</v>
      </c>
      <c r="AB180" s="34" t="s">
        <v>282</v>
      </c>
      <c r="AC180" s="34">
        <v>54</v>
      </c>
      <c r="AD180" s="34">
        <v>83</v>
      </c>
      <c r="AE180" s="34" t="s">
        <v>25</v>
      </c>
      <c r="AF180" s="34">
        <v>2000</v>
      </c>
      <c r="AH180" s="34" t="s">
        <v>27</v>
      </c>
    </row>
    <row r="181" spans="1:34">
      <c r="A181" t="s">
        <v>363</v>
      </c>
      <c r="B181" t="s">
        <v>364</v>
      </c>
      <c r="C181">
        <v>23</v>
      </c>
      <c r="D181" t="s">
        <v>21</v>
      </c>
      <c r="E181" t="s">
        <v>96</v>
      </c>
      <c r="F181" t="s">
        <v>23</v>
      </c>
      <c r="G181" t="s">
        <v>24</v>
      </c>
      <c r="H181">
        <v>35</v>
      </c>
      <c r="I181">
        <v>98</v>
      </c>
      <c r="J181" t="s">
        <v>25</v>
      </c>
      <c r="K181">
        <v>10000</v>
      </c>
      <c r="L181">
        <v>8030</v>
      </c>
      <c r="M181">
        <v>2000</v>
      </c>
      <c r="N181" t="s">
        <v>26</v>
      </c>
      <c r="O181" t="s">
        <v>27</v>
      </c>
      <c r="P181" s="1">
        <v>45750</v>
      </c>
      <c r="Q181" s="1">
        <v>45930</v>
      </c>
      <c r="R181" s="2">
        <v>0.44305555555555554</v>
      </c>
      <c r="S181" s="2">
        <v>0.6069444444444444</v>
      </c>
      <c r="T181" t="str" cm="1">
        <f t="array" ref="T181">_xlfn.IFS(H181&gt;=90,"A",H181&gt;=75,"B",H181&gt;=60,"C",H181&lt;60,"D")</f>
        <v>D</v>
      </c>
      <c r="U181" t="str">
        <f t="shared" si="8"/>
        <v>10:38 AM</v>
      </c>
      <c r="V181" t="str">
        <f t="shared" si="9"/>
        <v>Delayed</v>
      </c>
      <c r="W181" t="str">
        <f t="shared" si="10"/>
        <v>3 Hours 56 Minutes</v>
      </c>
      <c r="X181" t="str">
        <f t="shared" si="11"/>
        <v>Long Time Login</v>
      </c>
      <c r="AA181" s="35" t="s">
        <v>363</v>
      </c>
      <c r="AB181" s="35" t="s">
        <v>364</v>
      </c>
      <c r="AC181" s="35">
        <v>35</v>
      </c>
      <c r="AD181" s="35">
        <v>98</v>
      </c>
      <c r="AE181" s="35" t="s">
        <v>25</v>
      </c>
      <c r="AF181" s="35">
        <v>2000</v>
      </c>
      <c r="AH181" s="35" t="s">
        <v>27</v>
      </c>
    </row>
    <row r="182" spans="1:34">
      <c r="A182" t="s">
        <v>365</v>
      </c>
      <c r="B182" t="s">
        <v>136</v>
      </c>
      <c r="C182">
        <v>23</v>
      </c>
      <c r="D182" t="s">
        <v>35</v>
      </c>
      <c r="E182" t="s">
        <v>122</v>
      </c>
      <c r="F182" t="s">
        <v>63</v>
      </c>
      <c r="G182" t="s">
        <v>64</v>
      </c>
      <c r="H182">
        <v>66</v>
      </c>
      <c r="I182">
        <v>80</v>
      </c>
      <c r="J182" t="s">
        <v>68</v>
      </c>
      <c r="K182">
        <v>12000</v>
      </c>
      <c r="L182">
        <v>9570</v>
      </c>
      <c r="M182">
        <v>4000</v>
      </c>
      <c r="N182" t="s">
        <v>26</v>
      </c>
      <c r="O182" t="s">
        <v>27</v>
      </c>
      <c r="P182" s="1">
        <v>45871</v>
      </c>
      <c r="Q182" s="1">
        <v>45991</v>
      </c>
      <c r="R182" s="2">
        <v>0.44513888888888886</v>
      </c>
      <c r="S182" s="2">
        <v>0.56458333333333333</v>
      </c>
      <c r="T182" t="str" cm="1">
        <f t="array" ref="T182">_xlfn.IFS(H182&gt;=90,"A",H182&gt;=75,"B",H182&gt;=60,"C",H182&lt;60,"D")</f>
        <v>C</v>
      </c>
      <c r="U182" t="str">
        <f t="shared" si="8"/>
        <v>10:41 AM</v>
      </c>
      <c r="V182" t="str">
        <f t="shared" si="9"/>
        <v>Delayed</v>
      </c>
      <c r="W182" t="str">
        <f t="shared" si="10"/>
        <v>2 Hours 52 Minutes</v>
      </c>
      <c r="X182" t="str">
        <f t="shared" si="11"/>
        <v>Long Time Login</v>
      </c>
      <c r="AA182" s="34" t="s">
        <v>365</v>
      </c>
      <c r="AB182" s="34" t="s">
        <v>136</v>
      </c>
      <c r="AC182" s="34">
        <v>66</v>
      </c>
      <c r="AD182" s="34">
        <v>80</v>
      </c>
      <c r="AE182" s="34" t="s">
        <v>68</v>
      </c>
      <c r="AF182" s="34">
        <v>4000</v>
      </c>
      <c r="AH182" s="34" t="s">
        <v>27</v>
      </c>
    </row>
    <row r="183" spans="1:34">
      <c r="A183" t="s">
        <v>366</v>
      </c>
      <c r="B183" t="s">
        <v>307</v>
      </c>
      <c r="C183">
        <v>27</v>
      </c>
      <c r="D183" t="s">
        <v>35</v>
      </c>
      <c r="E183" t="s">
        <v>67</v>
      </c>
      <c r="F183" t="s">
        <v>63</v>
      </c>
      <c r="G183" t="s">
        <v>64</v>
      </c>
      <c r="H183">
        <v>36</v>
      </c>
      <c r="I183">
        <v>95</v>
      </c>
      <c r="J183" t="s">
        <v>25</v>
      </c>
      <c r="K183">
        <v>18000</v>
      </c>
      <c r="L183">
        <v>17470</v>
      </c>
      <c r="M183">
        <v>2000</v>
      </c>
      <c r="N183" t="s">
        <v>26</v>
      </c>
      <c r="O183" t="s">
        <v>27</v>
      </c>
      <c r="P183" s="1">
        <v>45779</v>
      </c>
      <c r="Q183" s="1">
        <v>45839</v>
      </c>
      <c r="R183" s="2">
        <v>0.34930555555555554</v>
      </c>
      <c r="S183" s="2">
        <v>0.52500000000000002</v>
      </c>
      <c r="T183" t="str" cm="1">
        <f t="array" ref="T183">_xlfn.IFS(H183&gt;=90,"A",H183&gt;=75,"B",H183&gt;=60,"C",H183&lt;60,"D")</f>
        <v>D</v>
      </c>
      <c r="U183" t="str">
        <f t="shared" si="8"/>
        <v>08:23 AM</v>
      </c>
      <c r="V183" t="str">
        <f t="shared" si="9"/>
        <v>On Time</v>
      </c>
      <c r="W183" t="str">
        <f t="shared" si="10"/>
        <v>4 Hours 13 Minutes</v>
      </c>
      <c r="X183" t="str">
        <f t="shared" si="11"/>
        <v>Short Time Login</v>
      </c>
      <c r="AA183" s="35" t="s">
        <v>366</v>
      </c>
      <c r="AB183" s="35" t="s">
        <v>307</v>
      </c>
      <c r="AC183" s="35">
        <v>36</v>
      </c>
      <c r="AD183" s="35">
        <v>95</v>
      </c>
      <c r="AE183" s="35" t="s">
        <v>25</v>
      </c>
      <c r="AF183" s="35">
        <v>2000</v>
      </c>
      <c r="AH183" s="35" t="s">
        <v>27</v>
      </c>
    </row>
    <row r="184" spans="1:34">
      <c r="A184" t="s">
        <v>367</v>
      </c>
      <c r="B184" t="s">
        <v>276</v>
      </c>
      <c r="C184">
        <v>22</v>
      </c>
      <c r="D184" t="s">
        <v>21</v>
      </c>
      <c r="E184" t="s">
        <v>48</v>
      </c>
      <c r="F184" t="s">
        <v>40</v>
      </c>
      <c r="G184" t="s">
        <v>41</v>
      </c>
      <c r="H184">
        <v>55</v>
      </c>
      <c r="I184">
        <v>63</v>
      </c>
      <c r="J184" t="s">
        <v>25</v>
      </c>
      <c r="K184">
        <v>18000</v>
      </c>
      <c r="L184">
        <v>21240</v>
      </c>
      <c r="M184">
        <v>0</v>
      </c>
      <c r="N184" t="s">
        <v>11</v>
      </c>
      <c r="O184" t="s">
        <v>27</v>
      </c>
      <c r="P184" s="1">
        <v>45944</v>
      </c>
      <c r="Q184" s="1">
        <v>46064</v>
      </c>
      <c r="R184" s="2">
        <v>0.35555555555555557</v>
      </c>
      <c r="S184" s="2">
        <v>0.54791666666666672</v>
      </c>
      <c r="T184" t="str" cm="1">
        <f t="array" ref="T184">_xlfn.IFS(H184&gt;=90,"A",H184&gt;=75,"B",H184&gt;=60,"C",H184&lt;60,"D")</f>
        <v>D</v>
      </c>
      <c r="U184" t="str">
        <f t="shared" si="8"/>
        <v>08:32 AM</v>
      </c>
      <c r="V184" t="str">
        <f t="shared" si="9"/>
        <v>Delayed</v>
      </c>
      <c r="W184" t="str">
        <f t="shared" si="10"/>
        <v>4 Hours 37 Minutes</v>
      </c>
      <c r="X184" t="str">
        <f t="shared" si="11"/>
        <v>Short Time Login</v>
      </c>
      <c r="AA184" s="34" t="s">
        <v>367</v>
      </c>
      <c r="AB184" s="34" t="s">
        <v>276</v>
      </c>
      <c r="AC184" s="34">
        <v>55</v>
      </c>
      <c r="AD184" s="34">
        <v>63</v>
      </c>
      <c r="AE184" s="34" t="s">
        <v>25</v>
      </c>
      <c r="AF184" s="34">
        <v>0</v>
      </c>
      <c r="AH184" s="34" t="s">
        <v>27</v>
      </c>
    </row>
    <row r="185" spans="1:34">
      <c r="A185" t="s">
        <v>368</v>
      </c>
      <c r="B185" t="s">
        <v>369</v>
      </c>
      <c r="C185">
        <v>27</v>
      </c>
      <c r="D185" t="s">
        <v>21</v>
      </c>
      <c r="E185" t="s">
        <v>39</v>
      </c>
      <c r="F185" t="s">
        <v>31</v>
      </c>
      <c r="G185" t="s">
        <v>32</v>
      </c>
      <c r="H185">
        <v>40</v>
      </c>
      <c r="I185">
        <v>99</v>
      </c>
      <c r="J185" t="s">
        <v>25</v>
      </c>
      <c r="K185">
        <v>20000</v>
      </c>
      <c r="L185">
        <v>23600</v>
      </c>
      <c r="M185">
        <v>0</v>
      </c>
      <c r="N185" t="s">
        <v>11</v>
      </c>
      <c r="O185" t="s">
        <v>27</v>
      </c>
      <c r="P185" s="1">
        <v>45769</v>
      </c>
      <c r="Q185" s="1">
        <v>45949</v>
      </c>
      <c r="R185" s="2">
        <v>0.45694444444444443</v>
      </c>
      <c r="S185" s="2">
        <v>0.64583333333333337</v>
      </c>
      <c r="T185" t="str" cm="1">
        <f t="array" ref="T185">_xlfn.IFS(H185&gt;=90,"A",H185&gt;=75,"B",H185&gt;=60,"C",H185&lt;60,"D")</f>
        <v>D</v>
      </c>
      <c r="U185" t="str">
        <f t="shared" si="8"/>
        <v>10:58 AM</v>
      </c>
      <c r="V185" t="str">
        <f t="shared" si="9"/>
        <v>Delayed</v>
      </c>
      <c r="W185" t="str">
        <f t="shared" si="10"/>
        <v>4 Hours 32 Minutes</v>
      </c>
      <c r="X185" t="str">
        <f t="shared" si="11"/>
        <v>Long Time Login</v>
      </c>
      <c r="AA185" s="35" t="s">
        <v>368</v>
      </c>
      <c r="AB185" s="35" t="s">
        <v>369</v>
      </c>
      <c r="AC185" s="35">
        <v>40</v>
      </c>
      <c r="AD185" s="35">
        <v>99</v>
      </c>
      <c r="AE185" s="35" t="s">
        <v>25</v>
      </c>
      <c r="AF185" s="35">
        <v>0</v>
      </c>
      <c r="AH185" s="35" t="s">
        <v>27</v>
      </c>
    </row>
    <row r="186" spans="1:34">
      <c r="A186" t="s">
        <v>370</v>
      </c>
      <c r="B186" t="s">
        <v>75</v>
      </c>
      <c r="C186">
        <v>25</v>
      </c>
      <c r="D186" t="s">
        <v>21</v>
      </c>
      <c r="E186" t="s">
        <v>44</v>
      </c>
      <c r="F186" t="s">
        <v>63</v>
      </c>
      <c r="G186" t="s">
        <v>64</v>
      </c>
      <c r="H186">
        <v>41</v>
      </c>
      <c r="I186">
        <v>87</v>
      </c>
      <c r="J186" t="s">
        <v>25</v>
      </c>
      <c r="K186">
        <v>12000</v>
      </c>
      <c r="L186">
        <v>8980</v>
      </c>
      <c r="M186">
        <v>4000</v>
      </c>
      <c r="N186" t="s">
        <v>26</v>
      </c>
      <c r="O186" t="s">
        <v>27</v>
      </c>
      <c r="P186" s="1">
        <v>45952</v>
      </c>
      <c r="Q186" s="1">
        <v>46072</v>
      </c>
      <c r="R186" s="2">
        <v>0.3576388888888889</v>
      </c>
      <c r="S186" s="2">
        <v>0.49166666666666664</v>
      </c>
      <c r="T186" t="str" cm="1">
        <f t="array" ref="T186">_xlfn.IFS(H186&gt;=90,"A",H186&gt;=75,"B",H186&gt;=60,"C",H186&lt;60,"D")</f>
        <v>D</v>
      </c>
      <c r="U186" t="str">
        <f t="shared" si="8"/>
        <v>08:35 AM</v>
      </c>
      <c r="V186" t="str">
        <f t="shared" si="9"/>
        <v>Delayed</v>
      </c>
      <c r="W186" t="str">
        <f t="shared" si="10"/>
        <v>3 Hours 13 Minutes</v>
      </c>
      <c r="X186" t="str">
        <f t="shared" si="11"/>
        <v>Short Time Login</v>
      </c>
      <c r="AA186" s="34" t="s">
        <v>370</v>
      </c>
      <c r="AB186" s="34" t="s">
        <v>75</v>
      </c>
      <c r="AC186" s="34">
        <v>41</v>
      </c>
      <c r="AD186" s="34">
        <v>87</v>
      </c>
      <c r="AE186" s="34" t="s">
        <v>25</v>
      </c>
      <c r="AF186" s="34">
        <v>4000</v>
      </c>
      <c r="AH186" s="34" t="s">
        <v>27</v>
      </c>
    </row>
    <row r="187" spans="1:34">
      <c r="A187" t="s">
        <v>371</v>
      </c>
      <c r="B187" t="s">
        <v>264</v>
      </c>
      <c r="C187">
        <v>26</v>
      </c>
      <c r="D187" t="s">
        <v>21</v>
      </c>
      <c r="E187" t="s">
        <v>36</v>
      </c>
      <c r="F187" t="s">
        <v>53</v>
      </c>
      <c r="G187" t="s">
        <v>54</v>
      </c>
      <c r="H187">
        <v>71</v>
      </c>
      <c r="I187">
        <v>95</v>
      </c>
      <c r="J187" t="s">
        <v>68</v>
      </c>
      <c r="K187">
        <v>20000</v>
      </c>
      <c r="L187">
        <v>20420</v>
      </c>
      <c r="M187">
        <v>2000</v>
      </c>
      <c r="N187" t="s">
        <v>26</v>
      </c>
      <c r="O187" t="s">
        <v>27</v>
      </c>
      <c r="P187" s="1">
        <v>45994</v>
      </c>
      <c r="Q187" s="1">
        <v>46024</v>
      </c>
      <c r="R187" s="2">
        <v>0.38472222222222224</v>
      </c>
      <c r="S187" s="2">
        <v>0.52500000000000002</v>
      </c>
      <c r="T187" t="str" cm="1">
        <f t="array" ref="T187">_xlfn.IFS(H187&gt;=90,"A",H187&gt;=75,"B",H187&gt;=60,"C",H187&lt;60,"D")</f>
        <v>C</v>
      </c>
      <c r="U187" t="str">
        <f t="shared" si="8"/>
        <v>09:14 AM</v>
      </c>
      <c r="V187" t="str">
        <f t="shared" si="9"/>
        <v>On Time</v>
      </c>
      <c r="W187" t="str">
        <f t="shared" si="10"/>
        <v>3 Hours 22 Minutes</v>
      </c>
      <c r="X187" t="str">
        <f t="shared" si="11"/>
        <v>Short Time Login</v>
      </c>
      <c r="AA187" s="35" t="s">
        <v>371</v>
      </c>
      <c r="AB187" s="35" t="s">
        <v>264</v>
      </c>
      <c r="AC187" s="35">
        <v>71</v>
      </c>
      <c r="AD187" s="35">
        <v>95</v>
      </c>
      <c r="AE187" s="35" t="s">
        <v>68</v>
      </c>
      <c r="AF187" s="35">
        <v>2000</v>
      </c>
      <c r="AH187" s="35" t="s">
        <v>27</v>
      </c>
    </row>
    <row r="188" spans="1:34">
      <c r="A188" t="s">
        <v>372</v>
      </c>
      <c r="B188" t="s">
        <v>336</v>
      </c>
      <c r="C188">
        <v>23</v>
      </c>
      <c r="D188" t="s">
        <v>21</v>
      </c>
      <c r="E188" t="s">
        <v>30</v>
      </c>
      <c r="F188" t="s">
        <v>31</v>
      </c>
      <c r="G188" t="s">
        <v>32</v>
      </c>
      <c r="H188">
        <v>58</v>
      </c>
      <c r="I188">
        <v>76</v>
      </c>
      <c r="J188" t="s">
        <v>25</v>
      </c>
      <c r="K188">
        <v>15000</v>
      </c>
      <c r="L188">
        <v>13110</v>
      </c>
      <c r="M188">
        <v>4000</v>
      </c>
      <c r="N188" t="s">
        <v>26</v>
      </c>
      <c r="O188" t="s">
        <v>27</v>
      </c>
      <c r="P188" s="1">
        <v>45944</v>
      </c>
      <c r="Q188" s="1">
        <v>46004</v>
      </c>
      <c r="R188" s="2">
        <v>0.42708333333333331</v>
      </c>
      <c r="S188" s="2">
        <v>0.53125</v>
      </c>
      <c r="T188" t="str" cm="1">
        <f t="array" ref="T188">_xlfn.IFS(H188&gt;=90,"A",H188&gt;=75,"B",H188&gt;=60,"C",H188&lt;60,"D")</f>
        <v>D</v>
      </c>
      <c r="U188" t="str">
        <f t="shared" si="8"/>
        <v>10:15 AM</v>
      </c>
      <c r="V188" t="str">
        <f t="shared" si="9"/>
        <v>On Time</v>
      </c>
      <c r="W188" t="str">
        <f t="shared" si="10"/>
        <v>2 Hours 30 Minutes</v>
      </c>
      <c r="X188" t="str">
        <f t="shared" si="11"/>
        <v>Long Time Login</v>
      </c>
      <c r="AA188" s="34" t="s">
        <v>372</v>
      </c>
      <c r="AB188" s="34" t="s">
        <v>336</v>
      </c>
      <c r="AC188" s="34">
        <v>58</v>
      </c>
      <c r="AD188" s="34">
        <v>76</v>
      </c>
      <c r="AE188" s="34" t="s">
        <v>25</v>
      </c>
      <c r="AF188" s="34">
        <v>4000</v>
      </c>
      <c r="AH188" s="34" t="s">
        <v>27</v>
      </c>
    </row>
    <row r="189" spans="1:34">
      <c r="A189" t="s">
        <v>373</v>
      </c>
      <c r="B189" t="s">
        <v>268</v>
      </c>
      <c r="C189">
        <v>18</v>
      </c>
      <c r="D189" t="s">
        <v>35</v>
      </c>
      <c r="E189" t="s">
        <v>36</v>
      </c>
      <c r="F189" t="s">
        <v>63</v>
      </c>
      <c r="G189" t="s">
        <v>64</v>
      </c>
      <c r="H189">
        <v>36</v>
      </c>
      <c r="I189">
        <v>76</v>
      </c>
      <c r="J189" t="s">
        <v>25</v>
      </c>
      <c r="K189">
        <v>20000</v>
      </c>
      <c r="L189">
        <v>19830</v>
      </c>
      <c r="M189">
        <v>2000</v>
      </c>
      <c r="N189" t="s">
        <v>26</v>
      </c>
      <c r="O189" t="s">
        <v>27</v>
      </c>
      <c r="P189" s="1">
        <v>45758</v>
      </c>
      <c r="Q189" s="1">
        <v>45938</v>
      </c>
      <c r="R189" s="2">
        <v>0.3611111111111111</v>
      </c>
      <c r="S189" s="2">
        <v>0.42916666666666664</v>
      </c>
      <c r="T189" t="str" cm="1">
        <f t="array" ref="T189">_xlfn.IFS(H189&gt;=90,"A",H189&gt;=75,"B",H189&gt;=60,"C",H189&lt;60,"D")</f>
        <v>D</v>
      </c>
      <c r="U189" t="str">
        <f t="shared" si="8"/>
        <v>08:40 AM</v>
      </c>
      <c r="V189" t="str">
        <f t="shared" si="9"/>
        <v>Delayed</v>
      </c>
      <c r="W189" t="str">
        <f t="shared" si="10"/>
        <v>1 Hours 38 Minutes</v>
      </c>
      <c r="X189" t="str">
        <f t="shared" si="11"/>
        <v>Short Time Login</v>
      </c>
      <c r="AA189" s="35" t="s">
        <v>373</v>
      </c>
      <c r="AB189" s="35" t="s">
        <v>268</v>
      </c>
      <c r="AC189" s="35">
        <v>36</v>
      </c>
      <c r="AD189" s="35">
        <v>76</v>
      </c>
      <c r="AE189" s="35" t="s">
        <v>25</v>
      </c>
      <c r="AF189" s="35">
        <v>2000</v>
      </c>
      <c r="AH189" s="35" t="s">
        <v>27</v>
      </c>
    </row>
    <row r="190" spans="1:34">
      <c r="A190" t="s">
        <v>374</v>
      </c>
      <c r="B190" t="s">
        <v>93</v>
      </c>
      <c r="C190">
        <v>20</v>
      </c>
      <c r="D190" t="s">
        <v>35</v>
      </c>
      <c r="E190" t="s">
        <v>113</v>
      </c>
      <c r="F190" t="s">
        <v>40</v>
      </c>
      <c r="G190" t="s">
        <v>41</v>
      </c>
      <c r="H190">
        <v>52</v>
      </c>
      <c r="I190">
        <v>80</v>
      </c>
      <c r="J190" t="s">
        <v>25</v>
      </c>
      <c r="K190">
        <v>15000</v>
      </c>
      <c r="L190">
        <v>12520</v>
      </c>
      <c r="M190">
        <v>4000</v>
      </c>
      <c r="N190" t="s">
        <v>26</v>
      </c>
      <c r="O190" t="s">
        <v>27</v>
      </c>
      <c r="P190" s="1">
        <v>45708</v>
      </c>
      <c r="Q190" s="1">
        <v>45738</v>
      </c>
      <c r="R190" s="2">
        <v>0.38472222222222224</v>
      </c>
      <c r="S190" s="2">
        <v>0.43194444444444446</v>
      </c>
      <c r="T190" t="str" cm="1">
        <f t="array" ref="T190">_xlfn.IFS(H190&gt;=90,"A",H190&gt;=75,"B",H190&gt;=60,"C",H190&lt;60,"D")</f>
        <v>D</v>
      </c>
      <c r="U190" t="str">
        <f t="shared" si="8"/>
        <v>09:14 AM</v>
      </c>
      <c r="V190" t="str">
        <f t="shared" si="9"/>
        <v>On Time</v>
      </c>
      <c r="W190" t="str">
        <f t="shared" si="10"/>
        <v>1 Hours 8 Minutes</v>
      </c>
      <c r="X190" t="str">
        <f t="shared" si="11"/>
        <v>Short Time Login</v>
      </c>
      <c r="AA190" s="34" t="s">
        <v>374</v>
      </c>
      <c r="AB190" s="34" t="s">
        <v>93</v>
      </c>
      <c r="AC190" s="34">
        <v>52</v>
      </c>
      <c r="AD190" s="34">
        <v>80</v>
      </c>
      <c r="AE190" s="34" t="s">
        <v>25</v>
      </c>
      <c r="AF190" s="34">
        <v>4000</v>
      </c>
      <c r="AH190" s="34" t="s">
        <v>27</v>
      </c>
    </row>
    <row r="191" spans="1:34">
      <c r="A191" t="s">
        <v>375</v>
      </c>
      <c r="B191" t="s">
        <v>376</v>
      </c>
      <c r="C191">
        <v>20</v>
      </c>
      <c r="D191" t="s">
        <v>35</v>
      </c>
      <c r="E191" t="s">
        <v>67</v>
      </c>
      <c r="F191" t="s">
        <v>57</v>
      </c>
      <c r="G191" t="s">
        <v>58</v>
      </c>
      <c r="H191">
        <v>67</v>
      </c>
      <c r="I191">
        <v>71</v>
      </c>
      <c r="J191" t="s">
        <v>68</v>
      </c>
      <c r="K191">
        <v>15000</v>
      </c>
      <c r="L191">
        <v>16520</v>
      </c>
      <c r="M191">
        <v>0</v>
      </c>
      <c r="N191" t="s">
        <v>11</v>
      </c>
      <c r="O191" t="s">
        <v>27</v>
      </c>
      <c r="P191" s="1">
        <v>45781</v>
      </c>
      <c r="Q191" s="1">
        <v>45961</v>
      </c>
      <c r="R191" s="2">
        <v>0.41805555555555557</v>
      </c>
      <c r="S191" s="2">
        <v>0.62222222222222223</v>
      </c>
      <c r="T191" t="str" cm="1">
        <f t="array" ref="T191">_xlfn.IFS(H191&gt;=90,"A",H191&gt;=75,"B",H191&gt;=60,"C",H191&lt;60,"D")</f>
        <v>C</v>
      </c>
      <c r="U191" t="str">
        <f t="shared" si="8"/>
        <v>10:02 AM</v>
      </c>
      <c r="V191" t="str">
        <f t="shared" si="9"/>
        <v>Delayed</v>
      </c>
      <c r="W191" t="str">
        <f t="shared" si="10"/>
        <v>4 Hours 54 Minutes</v>
      </c>
      <c r="X191" t="str">
        <f t="shared" si="11"/>
        <v>Long Time Login</v>
      </c>
      <c r="AA191" s="35" t="s">
        <v>375</v>
      </c>
      <c r="AB191" s="35" t="s">
        <v>376</v>
      </c>
      <c r="AC191" s="35">
        <v>67</v>
      </c>
      <c r="AD191" s="35">
        <v>71</v>
      </c>
      <c r="AE191" s="35" t="s">
        <v>68</v>
      </c>
      <c r="AF191" s="35">
        <v>0</v>
      </c>
      <c r="AH191" s="35" t="s">
        <v>27</v>
      </c>
    </row>
    <row r="192" spans="1:34">
      <c r="A192" t="s">
        <v>377</v>
      </c>
      <c r="B192" t="s">
        <v>310</v>
      </c>
      <c r="C192">
        <v>22</v>
      </c>
      <c r="D192" t="s">
        <v>21</v>
      </c>
      <c r="E192" t="s">
        <v>48</v>
      </c>
      <c r="F192" t="s">
        <v>23</v>
      </c>
      <c r="G192" t="s">
        <v>24</v>
      </c>
      <c r="H192">
        <v>66</v>
      </c>
      <c r="I192">
        <v>78</v>
      </c>
      <c r="J192" t="s">
        <v>68</v>
      </c>
      <c r="K192">
        <v>18000</v>
      </c>
      <c r="L192">
        <v>17240</v>
      </c>
      <c r="M192">
        <v>4000</v>
      </c>
      <c r="N192" t="s">
        <v>26</v>
      </c>
      <c r="O192" t="s">
        <v>27</v>
      </c>
      <c r="P192" s="1">
        <v>45892</v>
      </c>
      <c r="Q192" s="1">
        <v>46012</v>
      </c>
      <c r="R192" s="2">
        <v>0.35347222222222224</v>
      </c>
      <c r="S192" s="2">
        <v>0.47708333333333336</v>
      </c>
      <c r="T192" t="str" cm="1">
        <f t="array" ref="T192">_xlfn.IFS(H192&gt;=90,"A",H192&gt;=75,"B",H192&gt;=60,"C",H192&lt;60,"D")</f>
        <v>C</v>
      </c>
      <c r="U192" t="str">
        <f t="shared" si="8"/>
        <v>08:29 AM</v>
      </c>
      <c r="V192" t="str">
        <f t="shared" si="9"/>
        <v>Delayed</v>
      </c>
      <c r="W192" t="str">
        <f t="shared" si="10"/>
        <v>2 Hours 58 Minutes</v>
      </c>
      <c r="X192" t="str">
        <f t="shared" si="11"/>
        <v>Short Time Login</v>
      </c>
      <c r="AA192" s="34" t="s">
        <v>377</v>
      </c>
      <c r="AB192" s="34" t="s">
        <v>310</v>
      </c>
      <c r="AC192" s="34">
        <v>66</v>
      </c>
      <c r="AD192" s="34">
        <v>78</v>
      </c>
      <c r="AE192" s="34" t="s">
        <v>68</v>
      </c>
      <c r="AF192" s="34">
        <v>4000</v>
      </c>
      <c r="AH192" s="34" t="s">
        <v>27</v>
      </c>
    </row>
    <row r="193" spans="1:34">
      <c r="A193" t="s">
        <v>378</v>
      </c>
      <c r="B193" t="s">
        <v>379</v>
      </c>
      <c r="C193">
        <v>25</v>
      </c>
      <c r="D193" t="s">
        <v>35</v>
      </c>
      <c r="E193" t="s">
        <v>48</v>
      </c>
      <c r="F193" t="s">
        <v>57</v>
      </c>
      <c r="G193" t="s">
        <v>58</v>
      </c>
      <c r="H193">
        <v>97</v>
      </c>
      <c r="I193">
        <v>83</v>
      </c>
      <c r="J193" t="s">
        <v>59</v>
      </c>
      <c r="K193">
        <v>12000</v>
      </c>
      <c r="L193">
        <v>10160</v>
      </c>
      <c r="M193">
        <v>4000</v>
      </c>
      <c r="N193" t="s">
        <v>26</v>
      </c>
      <c r="O193" t="s">
        <v>27</v>
      </c>
      <c r="P193" s="1">
        <v>45878</v>
      </c>
      <c r="Q193" s="1">
        <v>45968</v>
      </c>
      <c r="R193" s="2">
        <v>0.40138888888888891</v>
      </c>
      <c r="S193" s="2">
        <v>0.47499999999999998</v>
      </c>
      <c r="T193" t="str" cm="1">
        <f t="array" ref="T193">_xlfn.IFS(H193&gt;=90,"A",H193&gt;=75,"B",H193&gt;=60,"C",H193&lt;60,"D")</f>
        <v>A</v>
      </c>
      <c r="U193" t="str">
        <f t="shared" si="8"/>
        <v>09:38 AM</v>
      </c>
      <c r="V193" t="str">
        <f t="shared" si="9"/>
        <v>On Time</v>
      </c>
      <c r="W193" t="str">
        <f t="shared" si="10"/>
        <v>1 Hours 46 Minutes</v>
      </c>
      <c r="X193" t="str">
        <f t="shared" si="11"/>
        <v>Short Time Login</v>
      </c>
      <c r="AA193" s="35" t="s">
        <v>378</v>
      </c>
      <c r="AB193" s="35" t="s">
        <v>379</v>
      </c>
      <c r="AC193" s="35">
        <v>97</v>
      </c>
      <c r="AD193" s="35">
        <v>83</v>
      </c>
      <c r="AE193" s="35" t="s">
        <v>59</v>
      </c>
      <c r="AF193" s="35">
        <v>4000</v>
      </c>
      <c r="AH193" s="35" t="s">
        <v>27</v>
      </c>
    </row>
    <row r="194" spans="1:34">
      <c r="A194" t="s">
        <v>380</v>
      </c>
      <c r="B194" t="s">
        <v>52</v>
      </c>
      <c r="C194">
        <v>21</v>
      </c>
      <c r="D194" t="s">
        <v>35</v>
      </c>
      <c r="E194" t="s">
        <v>48</v>
      </c>
      <c r="F194" t="s">
        <v>88</v>
      </c>
      <c r="G194" t="s">
        <v>89</v>
      </c>
      <c r="H194">
        <v>63</v>
      </c>
      <c r="I194">
        <v>77</v>
      </c>
      <c r="J194" t="s">
        <v>68</v>
      </c>
      <c r="K194">
        <v>10000</v>
      </c>
      <c r="L194">
        <v>6030</v>
      </c>
      <c r="M194">
        <v>4000</v>
      </c>
      <c r="N194" t="s">
        <v>26</v>
      </c>
      <c r="O194" t="s">
        <v>27</v>
      </c>
      <c r="P194" s="1">
        <v>45733</v>
      </c>
      <c r="Q194" s="1">
        <v>45823</v>
      </c>
      <c r="R194" s="2">
        <v>0.37569444444444444</v>
      </c>
      <c r="S194" s="2">
        <v>0.52777777777777779</v>
      </c>
      <c r="T194" t="str" cm="1">
        <f t="array" ref="T194">_xlfn.IFS(H194&gt;=90,"A",H194&gt;=75,"B",H194&gt;=60,"C",H194&lt;60,"D")</f>
        <v>C</v>
      </c>
      <c r="U194" t="str">
        <f t="shared" ref="U194:U257" si="12">TEXT(R194,"hh:mm AM/PM")</f>
        <v>09:01 AM</v>
      </c>
      <c r="V194" t="str">
        <f t="shared" ref="V194:V257" si="13">IF(_xlfn.DAYS(Q194,P194)&lt;=90,"On Time","Delayed")</f>
        <v>On Time</v>
      </c>
      <c r="W194" t="str">
        <f t="shared" ref="W194:W257" si="14">HOUR(S194-R194)&amp;" Hours "&amp;MINUTE(S194-R194)&amp;" Minutes"</f>
        <v>3 Hours 39 Minutes</v>
      </c>
      <c r="X194" t="str">
        <f t="shared" ref="X194:X257" si="15">IF(R194&gt;TIME(10,0,0),"Long Time Login","Short Time Login")</f>
        <v>Short Time Login</v>
      </c>
      <c r="AA194" s="34" t="s">
        <v>380</v>
      </c>
      <c r="AB194" s="34" t="s">
        <v>52</v>
      </c>
      <c r="AC194" s="34">
        <v>63</v>
      </c>
      <c r="AD194" s="34">
        <v>77</v>
      </c>
      <c r="AE194" s="34" t="s">
        <v>68</v>
      </c>
      <c r="AF194" s="34">
        <v>4000</v>
      </c>
      <c r="AH194" s="34" t="s">
        <v>27</v>
      </c>
    </row>
    <row r="195" spans="1:34">
      <c r="A195" t="s">
        <v>381</v>
      </c>
      <c r="B195" t="s">
        <v>382</v>
      </c>
      <c r="C195">
        <v>24</v>
      </c>
      <c r="D195" t="s">
        <v>35</v>
      </c>
      <c r="E195" t="s">
        <v>113</v>
      </c>
      <c r="F195" t="s">
        <v>63</v>
      </c>
      <c r="G195" t="s">
        <v>64</v>
      </c>
      <c r="H195">
        <v>37</v>
      </c>
      <c r="I195">
        <v>85</v>
      </c>
      <c r="J195" t="s">
        <v>25</v>
      </c>
      <c r="K195">
        <v>18000</v>
      </c>
      <c r="L195">
        <v>18650</v>
      </c>
      <c r="M195">
        <v>2000</v>
      </c>
      <c r="N195" t="s">
        <v>26</v>
      </c>
      <c r="O195" t="s">
        <v>27</v>
      </c>
      <c r="P195" s="1">
        <v>45701</v>
      </c>
      <c r="Q195" s="1">
        <v>45881</v>
      </c>
      <c r="R195" s="2">
        <v>0.34513888888888888</v>
      </c>
      <c r="S195" s="2">
        <v>0.52083333333333337</v>
      </c>
      <c r="T195" t="str" cm="1">
        <f t="array" ref="T195">_xlfn.IFS(H195&gt;=90,"A",H195&gt;=75,"B",H195&gt;=60,"C",H195&lt;60,"D")</f>
        <v>D</v>
      </c>
      <c r="U195" t="str">
        <f t="shared" si="12"/>
        <v>08:17 AM</v>
      </c>
      <c r="V195" t="str">
        <f t="shared" si="13"/>
        <v>Delayed</v>
      </c>
      <c r="W195" t="str">
        <f t="shared" si="14"/>
        <v>4 Hours 13 Minutes</v>
      </c>
      <c r="X195" t="str">
        <f t="shared" si="15"/>
        <v>Short Time Login</v>
      </c>
      <c r="AA195" s="35" t="s">
        <v>381</v>
      </c>
      <c r="AB195" s="35" t="s">
        <v>382</v>
      </c>
      <c r="AC195" s="35">
        <v>37</v>
      </c>
      <c r="AD195" s="35">
        <v>85</v>
      </c>
      <c r="AE195" s="35" t="s">
        <v>25</v>
      </c>
      <c r="AF195" s="35">
        <v>2000</v>
      </c>
      <c r="AH195" s="35" t="s">
        <v>27</v>
      </c>
    </row>
    <row r="196" spans="1:34">
      <c r="A196" t="s">
        <v>383</v>
      </c>
      <c r="B196" t="s">
        <v>199</v>
      </c>
      <c r="C196">
        <v>19</v>
      </c>
      <c r="D196" t="s">
        <v>35</v>
      </c>
      <c r="E196" t="s">
        <v>30</v>
      </c>
      <c r="F196" t="s">
        <v>88</v>
      </c>
      <c r="G196" t="s">
        <v>89</v>
      </c>
      <c r="H196">
        <v>61</v>
      </c>
      <c r="I196">
        <v>95</v>
      </c>
      <c r="J196" t="s">
        <v>68</v>
      </c>
      <c r="K196">
        <v>18000</v>
      </c>
      <c r="L196">
        <v>17240</v>
      </c>
      <c r="M196">
        <v>4000</v>
      </c>
      <c r="N196" t="s">
        <v>26</v>
      </c>
      <c r="O196" t="s">
        <v>27</v>
      </c>
      <c r="P196" s="1">
        <v>45824</v>
      </c>
      <c r="Q196" s="1">
        <v>45914</v>
      </c>
      <c r="R196" s="2">
        <v>0.41944444444444445</v>
      </c>
      <c r="S196" s="2">
        <v>0.49166666666666664</v>
      </c>
      <c r="T196" t="str" cm="1">
        <f t="array" ref="T196">_xlfn.IFS(H196&gt;=90,"A",H196&gt;=75,"B",H196&gt;=60,"C",H196&lt;60,"D")</f>
        <v>C</v>
      </c>
      <c r="U196" t="str">
        <f t="shared" si="12"/>
        <v>10:04 AM</v>
      </c>
      <c r="V196" t="str">
        <f t="shared" si="13"/>
        <v>On Time</v>
      </c>
      <c r="W196" t="str">
        <f t="shared" si="14"/>
        <v>1 Hours 44 Minutes</v>
      </c>
      <c r="X196" t="str">
        <f t="shared" si="15"/>
        <v>Long Time Login</v>
      </c>
      <c r="AA196" s="34" t="s">
        <v>383</v>
      </c>
      <c r="AB196" s="34" t="s">
        <v>199</v>
      </c>
      <c r="AC196" s="34">
        <v>61</v>
      </c>
      <c r="AD196" s="34">
        <v>95</v>
      </c>
      <c r="AE196" s="34" t="s">
        <v>68</v>
      </c>
      <c r="AF196" s="34">
        <v>4000</v>
      </c>
      <c r="AH196" s="34" t="s">
        <v>27</v>
      </c>
    </row>
    <row r="197" spans="1:34">
      <c r="A197" t="s">
        <v>384</v>
      </c>
      <c r="B197" t="s">
        <v>261</v>
      </c>
      <c r="C197">
        <v>28</v>
      </c>
      <c r="D197" t="s">
        <v>35</v>
      </c>
      <c r="E197" t="s">
        <v>62</v>
      </c>
      <c r="F197" t="s">
        <v>53</v>
      </c>
      <c r="G197" t="s">
        <v>54</v>
      </c>
      <c r="H197">
        <v>47</v>
      </c>
      <c r="I197">
        <v>92</v>
      </c>
      <c r="J197" t="s">
        <v>25</v>
      </c>
      <c r="K197">
        <v>15000</v>
      </c>
      <c r="L197">
        <v>15700</v>
      </c>
      <c r="M197">
        <v>2000</v>
      </c>
      <c r="N197" t="s">
        <v>26</v>
      </c>
      <c r="O197" t="s">
        <v>27</v>
      </c>
      <c r="P197" s="1">
        <v>45789</v>
      </c>
      <c r="Q197" s="1">
        <v>45909</v>
      </c>
      <c r="R197" s="2">
        <v>0.37777777777777777</v>
      </c>
      <c r="S197" s="2">
        <v>0.53263888888888888</v>
      </c>
      <c r="T197" t="str" cm="1">
        <f t="array" ref="T197">_xlfn.IFS(H197&gt;=90,"A",H197&gt;=75,"B",H197&gt;=60,"C",H197&lt;60,"D")</f>
        <v>D</v>
      </c>
      <c r="U197" t="str">
        <f t="shared" si="12"/>
        <v>09:04 AM</v>
      </c>
      <c r="V197" t="str">
        <f t="shared" si="13"/>
        <v>Delayed</v>
      </c>
      <c r="W197" t="str">
        <f t="shared" si="14"/>
        <v>3 Hours 43 Minutes</v>
      </c>
      <c r="X197" t="str">
        <f t="shared" si="15"/>
        <v>Short Time Login</v>
      </c>
      <c r="AA197" s="35" t="s">
        <v>384</v>
      </c>
      <c r="AB197" s="35" t="s">
        <v>261</v>
      </c>
      <c r="AC197" s="35">
        <v>47</v>
      </c>
      <c r="AD197" s="35">
        <v>92</v>
      </c>
      <c r="AE197" s="35" t="s">
        <v>25</v>
      </c>
      <c r="AF197" s="35">
        <v>2000</v>
      </c>
      <c r="AH197" s="35" t="s">
        <v>27</v>
      </c>
    </row>
    <row r="198" spans="1:34">
      <c r="A198" t="s">
        <v>385</v>
      </c>
      <c r="B198" t="s">
        <v>386</v>
      </c>
      <c r="C198">
        <v>19</v>
      </c>
      <c r="D198" t="s">
        <v>21</v>
      </c>
      <c r="E198" t="s">
        <v>48</v>
      </c>
      <c r="F198" t="s">
        <v>31</v>
      </c>
      <c r="G198" t="s">
        <v>32</v>
      </c>
      <c r="H198">
        <v>36</v>
      </c>
      <c r="I198">
        <v>64</v>
      </c>
      <c r="J198" t="s">
        <v>25</v>
      </c>
      <c r="K198">
        <v>10000</v>
      </c>
      <c r="L198">
        <v>6030</v>
      </c>
      <c r="M198">
        <v>4000</v>
      </c>
      <c r="N198" t="s">
        <v>26</v>
      </c>
      <c r="O198" t="s">
        <v>27</v>
      </c>
      <c r="P198" s="1">
        <v>46005</v>
      </c>
      <c r="Q198" s="1">
        <v>46065</v>
      </c>
      <c r="R198" s="2">
        <v>0.45694444444444443</v>
      </c>
      <c r="S198" s="2">
        <v>0.6166666666666667</v>
      </c>
      <c r="T198" t="str" cm="1">
        <f t="array" ref="T198">_xlfn.IFS(H198&gt;=90,"A",H198&gt;=75,"B",H198&gt;=60,"C",H198&lt;60,"D")</f>
        <v>D</v>
      </c>
      <c r="U198" t="str">
        <f t="shared" si="12"/>
        <v>10:58 AM</v>
      </c>
      <c r="V198" t="str">
        <f t="shared" si="13"/>
        <v>On Time</v>
      </c>
      <c r="W198" t="str">
        <f t="shared" si="14"/>
        <v>3 Hours 50 Minutes</v>
      </c>
      <c r="X198" t="str">
        <f t="shared" si="15"/>
        <v>Long Time Login</v>
      </c>
      <c r="AA198" s="34" t="s">
        <v>385</v>
      </c>
      <c r="AB198" s="34" t="s">
        <v>386</v>
      </c>
      <c r="AC198" s="34">
        <v>36</v>
      </c>
      <c r="AD198" s="34">
        <v>64</v>
      </c>
      <c r="AE198" s="34" t="s">
        <v>25</v>
      </c>
      <c r="AF198" s="34">
        <v>4000</v>
      </c>
      <c r="AH198" s="34" t="s">
        <v>27</v>
      </c>
    </row>
    <row r="199" spans="1:34">
      <c r="A199" t="s">
        <v>387</v>
      </c>
      <c r="B199" t="s">
        <v>358</v>
      </c>
      <c r="C199">
        <v>22</v>
      </c>
      <c r="D199" t="s">
        <v>35</v>
      </c>
      <c r="E199" t="s">
        <v>48</v>
      </c>
      <c r="F199" t="s">
        <v>23</v>
      </c>
      <c r="G199" t="s">
        <v>24</v>
      </c>
      <c r="H199">
        <v>41</v>
      </c>
      <c r="I199">
        <v>68</v>
      </c>
      <c r="J199" t="s">
        <v>25</v>
      </c>
      <c r="K199">
        <v>15000</v>
      </c>
      <c r="L199">
        <v>17110</v>
      </c>
      <c r="M199">
        <v>0</v>
      </c>
      <c r="N199" t="s">
        <v>11</v>
      </c>
      <c r="O199" t="s">
        <v>127</v>
      </c>
      <c r="P199" s="1">
        <v>45679</v>
      </c>
      <c r="Q199" s="1">
        <v>45859</v>
      </c>
      <c r="R199" s="2">
        <v>0.41944444444444445</v>
      </c>
      <c r="S199" s="2">
        <v>0.48333333333333334</v>
      </c>
      <c r="T199" t="str" cm="1">
        <f t="array" ref="T199">_xlfn.IFS(H199&gt;=90,"A",H199&gt;=75,"B",H199&gt;=60,"C",H199&lt;60,"D")</f>
        <v>D</v>
      </c>
      <c r="U199" t="str">
        <f t="shared" si="12"/>
        <v>10:04 AM</v>
      </c>
      <c r="V199" t="str">
        <f t="shared" si="13"/>
        <v>Delayed</v>
      </c>
      <c r="W199" t="str">
        <f t="shared" si="14"/>
        <v>1 Hours 32 Minutes</v>
      </c>
      <c r="X199" t="str">
        <f t="shared" si="15"/>
        <v>Long Time Login</v>
      </c>
      <c r="AA199" s="35" t="s">
        <v>387</v>
      </c>
      <c r="AB199" s="35" t="s">
        <v>358</v>
      </c>
      <c r="AC199" s="35">
        <v>41</v>
      </c>
      <c r="AD199" s="35">
        <v>68</v>
      </c>
      <c r="AE199" s="35" t="s">
        <v>25</v>
      </c>
      <c r="AF199" s="35">
        <v>0</v>
      </c>
      <c r="AH199" s="35" t="s">
        <v>127</v>
      </c>
    </row>
    <row r="200" spans="1:34">
      <c r="A200" t="s">
        <v>388</v>
      </c>
      <c r="B200" t="s">
        <v>329</v>
      </c>
      <c r="C200">
        <v>19</v>
      </c>
      <c r="D200" t="s">
        <v>21</v>
      </c>
      <c r="E200" t="s">
        <v>36</v>
      </c>
      <c r="F200" t="s">
        <v>31</v>
      </c>
      <c r="G200" t="s">
        <v>32</v>
      </c>
      <c r="H200">
        <v>59</v>
      </c>
      <c r="I200">
        <v>80</v>
      </c>
      <c r="J200" t="s">
        <v>25</v>
      </c>
      <c r="K200">
        <v>12000</v>
      </c>
      <c r="L200">
        <v>9570</v>
      </c>
      <c r="M200">
        <v>4000</v>
      </c>
      <c r="N200" t="s">
        <v>26</v>
      </c>
      <c r="O200" t="s">
        <v>27</v>
      </c>
      <c r="P200" s="1">
        <v>45862</v>
      </c>
      <c r="Q200" s="1">
        <v>46042</v>
      </c>
      <c r="R200" s="2">
        <v>0.38541666666666669</v>
      </c>
      <c r="S200" s="2">
        <v>0.53194444444444444</v>
      </c>
      <c r="T200" t="str" cm="1">
        <f t="array" ref="T200">_xlfn.IFS(H200&gt;=90,"A",H200&gt;=75,"B",H200&gt;=60,"C",H200&lt;60,"D")</f>
        <v>D</v>
      </c>
      <c r="U200" t="str">
        <f t="shared" si="12"/>
        <v>09:15 AM</v>
      </c>
      <c r="V200" t="str">
        <f t="shared" si="13"/>
        <v>Delayed</v>
      </c>
      <c r="W200" t="str">
        <f t="shared" si="14"/>
        <v>3 Hours 31 Minutes</v>
      </c>
      <c r="X200" t="str">
        <f t="shared" si="15"/>
        <v>Short Time Login</v>
      </c>
      <c r="AA200" s="34" t="s">
        <v>388</v>
      </c>
      <c r="AB200" s="34" t="s">
        <v>329</v>
      </c>
      <c r="AC200" s="34">
        <v>59</v>
      </c>
      <c r="AD200" s="34">
        <v>80</v>
      </c>
      <c r="AE200" s="34" t="s">
        <v>25</v>
      </c>
      <c r="AF200" s="34">
        <v>4000</v>
      </c>
      <c r="AH200" s="34" t="s">
        <v>27</v>
      </c>
    </row>
    <row r="201" spans="1:34">
      <c r="A201" t="s">
        <v>389</v>
      </c>
      <c r="B201" t="s">
        <v>144</v>
      </c>
      <c r="C201">
        <v>23</v>
      </c>
      <c r="D201" t="s">
        <v>21</v>
      </c>
      <c r="E201" t="s">
        <v>113</v>
      </c>
      <c r="F201" t="s">
        <v>88</v>
      </c>
      <c r="G201" t="s">
        <v>89</v>
      </c>
      <c r="H201">
        <v>57</v>
      </c>
      <c r="I201">
        <v>100</v>
      </c>
      <c r="J201" t="s">
        <v>25</v>
      </c>
      <c r="K201">
        <v>12000</v>
      </c>
      <c r="L201">
        <v>10980</v>
      </c>
      <c r="M201">
        <v>2000</v>
      </c>
      <c r="N201" t="s">
        <v>26</v>
      </c>
      <c r="O201" t="s">
        <v>27</v>
      </c>
      <c r="P201" s="1">
        <v>45799</v>
      </c>
      <c r="Q201" s="1">
        <v>45889</v>
      </c>
      <c r="R201" s="2">
        <v>0.35972222222222222</v>
      </c>
      <c r="S201" s="2">
        <v>0.44722222222222224</v>
      </c>
      <c r="T201" t="str" cm="1">
        <f t="array" ref="T201">_xlfn.IFS(H201&gt;=90,"A",H201&gt;=75,"B",H201&gt;=60,"C",H201&lt;60,"D")</f>
        <v>D</v>
      </c>
      <c r="U201" t="str">
        <f t="shared" si="12"/>
        <v>08:38 AM</v>
      </c>
      <c r="V201" t="str">
        <f t="shared" si="13"/>
        <v>On Time</v>
      </c>
      <c r="W201" t="str">
        <f t="shared" si="14"/>
        <v>2 Hours 6 Minutes</v>
      </c>
      <c r="X201" t="str">
        <f t="shared" si="15"/>
        <v>Short Time Login</v>
      </c>
      <c r="AA201" s="35" t="s">
        <v>389</v>
      </c>
      <c r="AB201" s="35" t="s">
        <v>144</v>
      </c>
      <c r="AC201" s="35">
        <v>57</v>
      </c>
      <c r="AD201" s="35">
        <v>100</v>
      </c>
      <c r="AE201" s="35" t="s">
        <v>25</v>
      </c>
      <c r="AF201" s="35">
        <v>2000</v>
      </c>
      <c r="AH201" s="35" t="s">
        <v>27</v>
      </c>
    </row>
    <row r="202" spans="1:34">
      <c r="A202" t="s">
        <v>390</v>
      </c>
      <c r="B202" t="s">
        <v>391</v>
      </c>
      <c r="C202">
        <v>25</v>
      </c>
      <c r="D202" t="s">
        <v>21</v>
      </c>
      <c r="E202" t="s">
        <v>122</v>
      </c>
      <c r="F202" t="s">
        <v>31</v>
      </c>
      <c r="G202" t="s">
        <v>32</v>
      </c>
      <c r="H202">
        <v>40</v>
      </c>
      <c r="I202">
        <v>97</v>
      </c>
      <c r="J202" t="s">
        <v>25</v>
      </c>
      <c r="K202">
        <v>20000</v>
      </c>
      <c r="L202">
        <v>17830</v>
      </c>
      <c r="M202">
        <v>4000</v>
      </c>
      <c r="N202" t="s">
        <v>26</v>
      </c>
      <c r="O202" t="s">
        <v>27</v>
      </c>
      <c r="P202" s="1">
        <v>45888</v>
      </c>
      <c r="Q202" s="1">
        <v>45978</v>
      </c>
      <c r="R202" s="2">
        <v>0.39097222222222222</v>
      </c>
      <c r="S202" s="2">
        <v>0.52708333333333335</v>
      </c>
      <c r="T202" t="str" cm="1">
        <f t="array" ref="T202">_xlfn.IFS(H202&gt;=90,"A",H202&gt;=75,"B",H202&gt;=60,"C",H202&lt;60,"D")</f>
        <v>D</v>
      </c>
      <c r="U202" t="str">
        <f t="shared" si="12"/>
        <v>09:23 AM</v>
      </c>
      <c r="V202" t="str">
        <f t="shared" si="13"/>
        <v>On Time</v>
      </c>
      <c r="W202" t="str">
        <f t="shared" si="14"/>
        <v>3 Hours 16 Minutes</v>
      </c>
      <c r="X202" t="str">
        <f t="shared" si="15"/>
        <v>Short Time Login</v>
      </c>
      <c r="AA202" s="34" t="s">
        <v>390</v>
      </c>
      <c r="AB202" s="34" t="s">
        <v>391</v>
      </c>
      <c r="AC202" s="34">
        <v>40</v>
      </c>
      <c r="AD202" s="34">
        <v>97</v>
      </c>
      <c r="AE202" s="34" t="s">
        <v>25</v>
      </c>
      <c r="AF202" s="34">
        <v>4000</v>
      </c>
      <c r="AH202" s="34" t="s">
        <v>27</v>
      </c>
    </row>
    <row r="203" spans="1:34">
      <c r="A203" t="s">
        <v>392</v>
      </c>
      <c r="B203" t="s">
        <v>393</v>
      </c>
      <c r="C203">
        <v>24</v>
      </c>
      <c r="D203" t="s">
        <v>35</v>
      </c>
      <c r="E203" t="s">
        <v>113</v>
      </c>
      <c r="F203" t="s">
        <v>53</v>
      </c>
      <c r="G203" t="s">
        <v>54</v>
      </c>
      <c r="H203">
        <v>64</v>
      </c>
      <c r="I203">
        <v>74</v>
      </c>
      <c r="J203" t="s">
        <v>68</v>
      </c>
      <c r="K203">
        <v>20000</v>
      </c>
      <c r="L203">
        <v>17830</v>
      </c>
      <c r="M203">
        <v>4000</v>
      </c>
      <c r="N203" t="s">
        <v>26</v>
      </c>
      <c r="O203" t="s">
        <v>27</v>
      </c>
      <c r="P203" s="1">
        <v>45810</v>
      </c>
      <c r="Q203" s="1">
        <v>45840</v>
      </c>
      <c r="R203" s="2">
        <v>0.40833333333333333</v>
      </c>
      <c r="S203" s="2">
        <v>0.4777777777777778</v>
      </c>
      <c r="T203" t="str" cm="1">
        <f t="array" ref="T203">_xlfn.IFS(H203&gt;=90,"A",H203&gt;=75,"B",H203&gt;=60,"C",H203&lt;60,"D")</f>
        <v>C</v>
      </c>
      <c r="U203" t="str">
        <f t="shared" si="12"/>
        <v>09:48 AM</v>
      </c>
      <c r="V203" t="str">
        <f t="shared" si="13"/>
        <v>On Time</v>
      </c>
      <c r="W203" t="str">
        <f t="shared" si="14"/>
        <v>1 Hours 40 Minutes</v>
      </c>
      <c r="X203" t="str">
        <f t="shared" si="15"/>
        <v>Short Time Login</v>
      </c>
      <c r="AA203" s="35" t="s">
        <v>392</v>
      </c>
      <c r="AB203" s="35" t="s">
        <v>393</v>
      </c>
      <c r="AC203" s="35">
        <v>64</v>
      </c>
      <c r="AD203" s="35">
        <v>74</v>
      </c>
      <c r="AE203" s="35" t="s">
        <v>68</v>
      </c>
      <c r="AF203" s="35">
        <v>4000</v>
      </c>
      <c r="AH203" s="35" t="s">
        <v>27</v>
      </c>
    </row>
    <row r="204" spans="1:34">
      <c r="A204" t="s">
        <v>394</v>
      </c>
      <c r="B204" t="s">
        <v>119</v>
      </c>
      <c r="C204">
        <v>24</v>
      </c>
      <c r="D204" t="s">
        <v>21</v>
      </c>
      <c r="E204" t="s">
        <v>96</v>
      </c>
      <c r="F204" t="s">
        <v>57</v>
      </c>
      <c r="G204" t="s">
        <v>58</v>
      </c>
      <c r="H204">
        <v>83</v>
      </c>
      <c r="I204">
        <v>90</v>
      </c>
      <c r="J204" t="s">
        <v>45</v>
      </c>
      <c r="K204">
        <v>18000</v>
      </c>
      <c r="L204">
        <v>18650</v>
      </c>
      <c r="M204">
        <v>2000</v>
      </c>
      <c r="N204" t="s">
        <v>26</v>
      </c>
      <c r="O204" t="s">
        <v>27</v>
      </c>
      <c r="P204" s="1">
        <v>45693</v>
      </c>
      <c r="Q204" s="1">
        <v>45783</v>
      </c>
      <c r="R204" s="2">
        <v>0.41458333333333336</v>
      </c>
      <c r="S204" s="2">
        <v>0.48402777777777778</v>
      </c>
      <c r="T204" t="str" cm="1">
        <f t="array" ref="T204">_xlfn.IFS(H204&gt;=90,"A",H204&gt;=75,"B",H204&gt;=60,"C",H204&lt;60,"D")</f>
        <v>B</v>
      </c>
      <c r="U204" t="str">
        <f t="shared" si="12"/>
        <v>09:57 AM</v>
      </c>
      <c r="V204" t="str">
        <f t="shared" si="13"/>
        <v>On Time</v>
      </c>
      <c r="W204" t="str">
        <f t="shared" si="14"/>
        <v>1 Hours 40 Minutes</v>
      </c>
      <c r="X204" t="str">
        <f t="shared" si="15"/>
        <v>Short Time Login</v>
      </c>
      <c r="AA204" s="34" t="s">
        <v>394</v>
      </c>
      <c r="AB204" s="34" t="s">
        <v>119</v>
      </c>
      <c r="AC204" s="34">
        <v>83</v>
      </c>
      <c r="AD204" s="34">
        <v>90</v>
      </c>
      <c r="AE204" s="34" t="s">
        <v>45</v>
      </c>
      <c r="AF204" s="34">
        <v>2000</v>
      </c>
      <c r="AH204" s="34" t="s">
        <v>27</v>
      </c>
    </row>
    <row r="205" spans="1:34">
      <c r="A205" t="s">
        <v>395</v>
      </c>
      <c r="B205" t="s">
        <v>396</v>
      </c>
      <c r="C205">
        <v>25</v>
      </c>
      <c r="D205" t="s">
        <v>35</v>
      </c>
      <c r="E205" t="s">
        <v>122</v>
      </c>
      <c r="F205" t="s">
        <v>53</v>
      </c>
      <c r="G205" t="s">
        <v>54</v>
      </c>
      <c r="H205">
        <v>62</v>
      </c>
      <c r="I205">
        <v>89</v>
      </c>
      <c r="J205" t="s">
        <v>68</v>
      </c>
      <c r="K205">
        <v>12000</v>
      </c>
      <c r="L205">
        <v>9570</v>
      </c>
      <c r="M205">
        <v>4000</v>
      </c>
      <c r="N205" t="s">
        <v>26</v>
      </c>
      <c r="O205" t="s">
        <v>27</v>
      </c>
      <c r="P205" s="1">
        <v>45978</v>
      </c>
      <c r="Q205" s="1">
        <v>46068</v>
      </c>
      <c r="R205" s="2">
        <v>0.42916666666666664</v>
      </c>
      <c r="S205" s="2">
        <v>0.58750000000000002</v>
      </c>
      <c r="T205" t="str" cm="1">
        <f t="array" ref="T205">_xlfn.IFS(H205&gt;=90,"A",H205&gt;=75,"B",H205&gt;=60,"C",H205&lt;60,"D")</f>
        <v>C</v>
      </c>
      <c r="U205" t="str">
        <f t="shared" si="12"/>
        <v>10:18 AM</v>
      </c>
      <c r="V205" t="str">
        <f t="shared" si="13"/>
        <v>On Time</v>
      </c>
      <c r="W205" t="str">
        <f t="shared" si="14"/>
        <v>3 Hours 48 Minutes</v>
      </c>
      <c r="X205" t="str">
        <f t="shared" si="15"/>
        <v>Long Time Login</v>
      </c>
      <c r="AA205" s="35" t="s">
        <v>395</v>
      </c>
      <c r="AB205" s="35" t="s">
        <v>396</v>
      </c>
      <c r="AC205" s="35">
        <v>62</v>
      </c>
      <c r="AD205" s="35">
        <v>89</v>
      </c>
      <c r="AE205" s="35" t="s">
        <v>68</v>
      </c>
      <c r="AF205" s="35">
        <v>4000</v>
      </c>
      <c r="AH205" s="35" t="s">
        <v>27</v>
      </c>
    </row>
    <row r="206" spans="1:34">
      <c r="A206" t="s">
        <v>397</v>
      </c>
      <c r="B206" t="s">
        <v>104</v>
      </c>
      <c r="C206">
        <v>26</v>
      </c>
      <c r="D206" t="s">
        <v>35</v>
      </c>
      <c r="E206" t="s">
        <v>39</v>
      </c>
      <c r="F206" t="s">
        <v>40</v>
      </c>
      <c r="G206" t="s">
        <v>41</v>
      </c>
      <c r="H206">
        <v>98</v>
      </c>
      <c r="I206">
        <v>92</v>
      </c>
      <c r="J206" t="s">
        <v>59</v>
      </c>
      <c r="K206">
        <v>18000</v>
      </c>
      <c r="L206">
        <v>18060</v>
      </c>
      <c r="M206">
        <v>2000</v>
      </c>
      <c r="N206" t="s">
        <v>26</v>
      </c>
      <c r="O206" t="s">
        <v>27</v>
      </c>
      <c r="P206" s="1">
        <v>45825</v>
      </c>
      <c r="Q206" s="1">
        <v>45885</v>
      </c>
      <c r="R206" s="2">
        <v>0.39097222222222222</v>
      </c>
      <c r="S206" s="2">
        <v>0.59791666666666665</v>
      </c>
      <c r="T206" t="str" cm="1">
        <f t="array" ref="T206">_xlfn.IFS(H206&gt;=90,"A",H206&gt;=75,"B",H206&gt;=60,"C",H206&lt;60,"D")</f>
        <v>A</v>
      </c>
      <c r="U206" t="str">
        <f t="shared" si="12"/>
        <v>09:23 AM</v>
      </c>
      <c r="V206" t="str">
        <f t="shared" si="13"/>
        <v>On Time</v>
      </c>
      <c r="W206" t="str">
        <f t="shared" si="14"/>
        <v>4 Hours 58 Minutes</v>
      </c>
      <c r="X206" t="str">
        <f t="shared" si="15"/>
        <v>Short Time Login</v>
      </c>
      <c r="AA206" s="34" t="s">
        <v>397</v>
      </c>
      <c r="AB206" s="34" t="s">
        <v>104</v>
      </c>
      <c r="AC206" s="34">
        <v>98</v>
      </c>
      <c r="AD206" s="34">
        <v>92</v>
      </c>
      <c r="AE206" s="34" t="s">
        <v>59</v>
      </c>
      <c r="AF206" s="34">
        <v>2000</v>
      </c>
      <c r="AH206" s="34" t="s">
        <v>27</v>
      </c>
    </row>
    <row r="207" spans="1:34">
      <c r="A207" t="s">
        <v>398</v>
      </c>
      <c r="B207" t="s">
        <v>399</v>
      </c>
      <c r="C207">
        <v>21</v>
      </c>
      <c r="D207" t="s">
        <v>21</v>
      </c>
      <c r="E207" t="s">
        <v>113</v>
      </c>
      <c r="F207" t="s">
        <v>40</v>
      </c>
      <c r="G207" t="s">
        <v>41</v>
      </c>
      <c r="H207">
        <v>96</v>
      </c>
      <c r="I207">
        <v>98</v>
      </c>
      <c r="J207" t="s">
        <v>59</v>
      </c>
      <c r="K207">
        <v>20000</v>
      </c>
      <c r="L207">
        <v>19830</v>
      </c>
      <c r="M207">
        <v>2000</v>
      </c>
      <c r="N207" t="s">
        <v>26</v>
      </c>
      <c r="O207" t="s">
        <v>27</v>
      </c>
      <c r="P207" s="1">
        <v>45881</v>
      </c>
      <c r="Q207" s="1">
        <v>46001</v>
      </c>
      <c r="R207" s="2">
        <v>0.40972222222222221</v>
      </c>
      <c r="S207" s="2">
        <v>0.50138888888888888</v>
      </c>
      <c r="T207" t="str" cm="1">
        <f t="array" ref="T207">_xlfn.IFS(H207&gt;=90,"A",H207&gt;=75,"B",H207&gt;=60,"C",H207&lt;60,"D")</f>
        <v>A</v>
      </c>
      <c r="U207" t="str">
        <f t="shared" si="12"/>
        <v>09:50 AM</v>
      </c>
      <c r="V207" t="str">
        <f t="shared" si="13"/>
        <v>Delayed</v>
      </c>
      <c r="W207" t="str">
        <f t="shared" si="14"/>
        <v>2 Hours 12 Minutes</v>
      </c>
      <c r="X207" t="str">
        <f t="shared" si="15"/>
        <v>Short Time Login</v>
      </c>
      <c r="AA207" s="35" t="s">
        <v>398</v>
      </c>
      <c r="AB207" s="35" t="s">
        <v>399</v>
      </c>
      <c r="AC207" s="35">
        <v>96</v>
      </c>
      <c r="AD207" s="35">
        <v>98</v>
      </c>
      <c r="AE207" s="35" t="s">
        <v>59</v>
      </c>
      <c r="AF207" s="35">
        <v>2000</v>
      </c>
      <c r="AH207" s="35" t="s">
        <v>27</v>
      </c>
    </row>
    <row r="208" spans="1:34">
      <c r="A208" t="s">
        <v>400</v>
      </c>
      <c r="B208" t="s">
        <v>353</v>
      </c>
      <c r="C208">
        <v>22</v>
      </c>
      <c r="D208" t="s">
        <v>21</v>
      </c>
      <c r="E208" t="s">
        <v>44</v>
      </c>
      <c r="F208" t="s">
        <v>31</v>
      </c>
      <c r="G208" t="s">
        <v>32</v>
      </c>
      <c r="H208">
        <v>42</v>
      </c>
      <c r="I208">
        <v>79</v>
      </c>
      <c r="J208" t="s">
        <v>25</v>
      </c>
      <c r="K208">
        <v>15000</v>
      </c>
      <c r="L208">
        <v>17110</v>
      </c>
      <c r="M208">
        <v>0</v>
      </c>
      <c r="N208" t="s">
        <v>11</v>
      </c>
      <c r="O208" t="s">
        <v>27</v>
      </c>
      <c r="P208" s="1">
        <v>45730</v>
      </c>
      <c r="Q208" s="1">
        <v>45910</v>
      </c>
      <c r="R208" s="2">
        <v>0.42638888888888887</v>
      </c>
      <c r="S208" s="2">
        <v>0.55763888888888891</v>
      </c>
      <c r="T208" t="str" cm="1">
        <f t="array" ref="T208">_xlfn.IFS(H208&gt;=90,"A",H208&gt;=75,"B",H208&gt;=60,"C",H208&lt;60,"D")</f>
        <v>D</v>
      </c>
      <c r="U208" t="str">
        <f t="shared" si="12"/>
        <v>10:14 AM</v>
      </c>
      <c r="V208" t="str">
        <f t="shared" si="13"/>
        <v>Delayed</v>
      </c>
      <c r="W208" t="str">
        <f t="shared" si="14"/>
        <v>3 Hours 9 Minutes</v>
      </c>
      <c r="X208" t="str">
        <f t="shared" si="15"/>
        <v>Long Time Login</v>
      </c>
      <c r="AA208" s="34" t="s">
        <v>400</v>
      </c>
      <c r="AB208" s="34" t="s">
        <v>353</v>
      </c>
      <c r="AC208" s="34">
        <v>42</v>
      </c>
      <c r="AD208" s="34">
        <v>79</v>
      </c>
      <c r="AE208" s="34" t="s">
        <v>25</v>
      </c>
      <c r="AF208" s="34">
        <v>0</v>
      </c>
      <c r="AH208" s="34" t="s">
        <v>27</v>
      </c>
    </row>
    <row r="209" spans="1:34">
      <c r="A209" t="s">
        <v>401</v>
      </c>
      <c r="B209" t="s">
        <v>402</v>
      </c>
      <c r="C209">
        <v>27</v>
      </c>
      <c r="D209" t="s">
        <v>35</v>
      </c>
      <c r="E209" t="s">
        <v>30</v>
      </c>
      <c r="F209" t="s">
        <v>23</v>
      </c>
      <c r="G209" t="s">
        <v>24</v>
      </c>
      <c r="H209">
        <v>69</v>
      </c>
      <c r="I209">
        <v>89</v>
      </c>
      <c r="J209" t="s">
        <v>68</v>
      </c>
      <c r="K209">
        <v>20000</v>
      </c>
      <c r="L209">
        <v>23600</v>
      </c>
      <c r="M209">
        <v>0</v>
      </c>
      <c r="N209" t="s">
        <v>11</v>
      </c>
      <c r="O209" t="s">
        <v>27</v>
      </c>
      <c r="P209" s="1">
        <v>45978</v>
      </c>
      <c r="Q209" s="1">
        <v>46008</v>
      </c>
      <c r="R209" s="2">
        <v>0.37152777777777779</v>
      </c>
      <c r="S209" s="2">
        <v>0.41666666666666669</v>
      </c>
      <c r="T209" t="str" cm="1">
        <f t="array" ref="T209">_xlfn.IFS(H209&gt;=90,"A",H209&gt;=75,"B",H209&gt;=60,"C",H209&lt;60,"D")</f>
        <v>C</v>
      </c>
      <c r="U209" t="str">
        <f t="shared" si="12"/>
        <v>08:55 AM</v>
      </c>
      <c r="V209" t="str">
        <f t="shared" si="13"/>
        <v>On Time</v>
      </c>
      <c r="W209" t="str">
        <f t="shared" si="14"/>
        <v>1 Hours 5 Minutes</v>
      </c>
      <c r="X209" t="str">
        <f t="shared" si="15"/>
        <v>Short Time Login</v>
      </c>
      <c r="AA209" s="35" t="s">
        <v>401</v>
      </c>
      <c r="AB209" s="35" t="s">
        <v>402</v>
      </c>
      <c r="AC209" s="35">
        <v>69</v>
      </c>
      <c r="AD209" s="35">
        <v>89</v>
      </c>
      <c r="AE209" s="35" t="s">
        <v>68</v>
      </c>
      <c r="AF209" s="35">
        <v>0</v>
      </c>
      <c r="AH209" s="35" t="s">
        <v>27</v>
      </c>
    </row>
    <row r="210" spans="1:34">
      <c r="A210" t="s">
        <v>403</v>
      </c>
      <c r="B210" t="s">
        <v>93</v>
      </c>
      <c r="C210">
        <v>21</v>
      </c>
      <c r="D210" t="s">
        <v>21</v>
      </c>
      <c r="E210" t="s">
        <v>122</v>
      </c>
      <c r="F210" t="s">
        <v>57</v>
      </c>
      <c r="G210" t="s">
        <v>58</v>
      </c>
      <c r="H210">
        <v>52</v>
      </c>
      <c r="I210">
        <v>65</v>
      </c>
      <c r="J210" t="s">
        <v>25</v>
      </c>
      <c r="K210">
        <v>18000</v>
      </c>
      <c r="L210">
        <v>20060</v>
      </c>
      <c r="M210">
        <v>0</v>
      </c>
      <c r="N210" t="s">
        <v>11</v>
      </c>
      <c r="O210" t="s">
        <v>127</v>
      </c>
      <c r="P210" s="1">
        <v>45920</v>
      </c>
      <c r="Q210" s="1">
        <v>46100</v>
      </c>
      <c r="R210" s="2">
        <v>0.45555555555555555</v>
      </c>
      <c r="S210" s="2">
        <v>0.51388888888888884</v>
      </c>
      <c r="T210" t="str" cm="1">
        <f t="array" ref="T210">_xlfn.IFS(H210&gt;=90,"A",H210&gt;=75,"B",H210&gt;=60,"C",H210&lt;60,"D")</f>
        <v>D</v>
      </c>
      <c r="U210" t="str">
        <f t="shared" si="12"/>
        <v>10:56 AM</v>
      </c>
      <c r="V210" t="str">
        <f t="shared" si="13"/>
        <v>Delayed</v>
      </c>
      <c r="W210" t="str">
        <f t="shared" si="14"/>
        <v>1 Hours 24 Minutes</v>
      </c>
      <c r="X210" t="str">
        <f t="shared" si="15"/>
        <v>Long Time Login</v>
      </c>
      <c r="AA210" s="34" t="s">
        <v>403</v>
      </c>
      <c r="AB210" s="34" t="s">
        <v>93</v>
      </c>
      <c r="AC210" s="34">
        <v>52</v>
      </c>
      <c r="AD210" s="34">
        <v>65</v>
      </c>
      <c r="AE210" s="34" t="s">
        <v>25</v>
      </c>
      <c r="AF210" s="34">
        <v>0</v>
      </c>
      <c r="AH210" s="34" t="s">
        <v>127</v>
      </c>
    </row>
    <row r="211" spans="1:34">
      <c r="A211" t="s">
        <v>404</v>
      </c>
      <c r="B211" t="s">
        <v>405</v>
      </c>
      <c r="C211">
        <v>24</v>
      </c>
      <c r="D211" t="s">
        <v>21</v>
      </c>
      <c r="E211" t="s">
        <v>44</v>
      </c>
      <c r="F211" t="s">
        <v>57</v>
      </c>
      <c r="G211" t="s">
        <v>58</v>
      </c>
      <c r="H211">
        <v>99</v>
      </c>
      <c r="I211">
        <v>65</v>
      </c>
      <c r="J211" t="s">
        <v>59</v>
      </c>
      <c r="K211">
        <v>15000</v>
      </c>
      <c r="L211">
        <v>13110</v>
      </c>
      <c r="M211">
        <v>4000</v>
      </c>
      <c r="N211" t="s">
        <v>26</v>
      </c>
      <c r="O211" t="s">
        <v>27</v>
      </c>
      <c r="P211" s="1">
        <v>45726</v>
      </c>
      <c r="Q211" s="1">
        <v>45756</v>
      </c>
      <c r="R211" s="2">
        <v>0.33611111111111114</v>
      </c>
      <c r="S211" s="2">
        <v>0.40069444444444446</v>
      </c>
      <c r="T211" t="str" cm="1">
        <f t="array" ref="T211">_xlfn.IFS(H211&gt;=90,"A",H211&gt;=75,"B",H211&gt;=60,"C",H211&lt;60,"D")</f>
        <v>A</v>
      </c>
      <c r="U211" t="str">
        <f t="shared" si="12"/>
        <v>08:04 AM</v>
      </c>
      <c r="V211" t="str">
        <f t="shared" si="13"/>
        <v>On Time</v>
      </c>
      <c r="W211" t="str">
        <f t="shared" si="14"/>
        <v>1 Hours 33 Minutes</v>
      </c>
      <c r="X211" t="str">
        <f t="shared" si="15"/>
        <v>Short Time Login</v>
      </c>
      <c r="AA211" s="35" t="s">
        <v>404</v>
      </c>
      <c r="AB211" s="35" t="s">
        <v>405</v>
      </c>
      <c r="AC211" s="35">
        <v>99</v>
      </c>
      <c r="AD211" s="35">
        <v>65</v>
      </c>
      <c r="AE211" s="35" t="s">
        <v>59</v>
      </c>
      <c r="AF211" s="35">
        <v>4000</v>
      </c>
      <c r="AH211" s="35" t="s">
        <v>27</v>
      </c>
    </row>
    <row r="212" spans="1:34">
      <c r="A212" t="s">
        <v>406</v>
      </c>
      <c r="B212" t="s">
        <v>183</v>
      </c>
      <c r="C212">
        <v>19</v>
      </c>
      <c r="D212" t="s">
        <v>21</v>
      </c>
      <c r="E212" t="s">
        <v>122</v>
      </c>
      <c r="F212" t="s">
        <v>40</v>
      </c>
      <c r="G212" t="s">
        <v>41</v>
      </c>
      <c r="H212">
        <v>36</v>
      </c>
      <c r="I212">
        <v>76</v>
      </c>
      <c r="J212" t="s">
        <v>25</v>
      </c>
      <c r="K212">
        <v>12000</v>
      </c>
      <c r="L212">
        <v>14160</v>
      </c>
      <c r="M212">
        <v>0</v>
      </c>
      <c r="N212" t="s">
        <v>11</v>
      </c>
      <c r="O212" t="s">
        <v>127</v>
      </c>
      <c r="P212" s="1">
        <v>45790</v>
      </c>
      <c r="Q212" s="1">
        <v>45970</v>
      </c>
      <c r="R212" s="2">
        <v>0.37083333333333335</v>
      </c>
      <c r="S212" s="2">
        <v>0.51249999999999996</v>
      </c>
      <c r="T212" t="str" cm="1">
        <f t="array" ref="T212">_xlfn.IFS(H212&gt;=90,"A",H212&gt;=75,"B",H212&gt;=60,"C",H212&lt;60,"D")</f>
        <v>D</v>
      </c>
      <c r="U212" t="str">
        <f t="shared" si="12"/>
        <v>08:54 AM</v>
      </c>
      <c r="V212" t="str">
        <f t="shared" si="13"/>
        <v>Delayed</v>
      </c>
      <c r="W212" t="str">
        <f t="shared" si="14"/>
        <v>3 Hours 24 Minutes</v>
      </c>
      <c r="X212" t="str">
        <f t="shared" si="15"/>
        <v>Short Time Login</v>
      </c>
      <c r="AA212" s="34" t="s">
        <v>406</v>
      </c>
      <c r="AB212" s="34" t="s">
        <v>183</v>
      </c>
      <c r="AC212" s="34">
        <v>36</v>
      </c>
      <c r="AD212" s="34">
        <v>76</v>
      </c>
      <c r="AE212" s="34" t="s">
        <v>25</v>
      </c>
      <c r="AF212" s="34">
        <v>0</v>
      </c>
      <c r="AH212" s="34" t="s">
        <v>127</v>
      </c>
    </row>
    <row r="213" spans="1:34">
      <c r="A213" t="s">
        <v>407</v>
      </c>
      <c r="B213" t="s">
        <v>408</v>
      </c>
      <c r="C213">
        <v>27</v>
      </c>
      <c r="D213" t="s">
        <v>21</v>
      </c>
      <c r="E213" t="s">
        <v>36</v>
      </c>
      <c r="F213" t="s">
        <v>40</v>
      </c>
      <c r="G213" t="s">
        <v>41</v>
      </c>
      <c r="H213">
        <v>81</v>
      </c>
      <c r="I213">
        <v>63</v>
      </c>
      <c r="J213" t="s">
        <v>45</v>
      </c>
      <c r="K213">
        <v>15000</v>
      </c>
      <c r="L213">
        <v>17700</v>
      </c>
      <c r="M213">
        <v>0</v>
      </c>
      <c r="N213" t="s">
        <v>11</v>
      </c>
      <c r="O213" t="s">
        <v>27</v>
      </c>
      <c r="P213" s="1">
        <v>45821</v>
      </c>
      <c r="Q213" s="1">
        <v>45851</v>
      </c>
      <c r="R213" s="2">
        <v>0.40625</v>
      </c>
      <c r="S213" s="2">
        <v>0.46666666666666667</v>
      </c>
      <c r="T213" t="str" cm="1">
        <f t="array" ref="T213">_xlfn.IFS(H213&gt;=90,"A",H213&gt;=75,"B",H213&gt;=60,"C",H213&lt;60,"D")</f>
        <v>B</v>
      </c>
      <c r="U213" t="str">
        <f t="shared" si="12"/>
        <v>09:45 AM</v>
      </c>
      <c r="V213" t="str">
        <f t="shared" si="13"/>
        <v>On Time</v>
      </c>
      <c r="W213" t="str">
        <f t="shared" si="14"/>
        <v>1 Hours 27 Minutes</v>
      </c>
      <c r="X213" t="str">
        <f t="shared" si="15"/>
        <v>Short Time Login</v>
      </c>
      <c r="AA213" s="35" t="s">
        <v>407</v>
      </c>
      <c r="AB213" s="35" t="s">
        <v>408</v>
      </c>
      <c r="AC213" s="35">
        <v>81</v>
      </c>
      <c r="AD213" s="35">
        <v>63</v>
      </c>
      <c r="AE213" s="35" t="s">
        <v>45</v>
      </c>
      <c r="AF213" s="35">
        <v>0</v>
      </c>
      <c r="AH213" s="35" t="s">
        <v>27</v>
      </c>
    </row>
    <row r="214" spans="1:34">
      <c r="A214" t="s">
        <v>409</v>
      </c>
      <c r="B214" t="s">
        <v>410</v>
      </c>
      <c r="C214">
        <v>18</v>
      </c>
      <c r="D214" t="s">
        <v>35</v>
      </c>
      <c r="E214" t="s">
        <v>36</v>
      </c>
      <c r="F214" t="s">
        <v>57</v>
      </c>
      <c r="G214" t="s">
        <v>58</v>
      </c>
      <c r="H214">
        <v>48</v>
      </c>
      <c r="I214">
        <v>97</v>
      </c>
      <c r="J214" t="s">
        <v>25</v>
      </c>
      <c r="K214">
        <v>10000</v>
      </c>
      <c r="L214">
        <v>9800</v>
      </c>
      <c r="M214">
        <v>2000</v>
      </c>
      <c r="N214" t="s">
        <v>26</v>
      </c>
      <c r="O214" t="s">
        <v>27</v>
      </c>
      <c r="P214" s="1">
        <v>45898</v>
      </c>
      <c r="Q214" s="1">
        <v>46078</v>
      </c>
      <c r="R214" s="2">
        <v>0.38263888888888886</v>
      </c>
      <c r="S214" s="2">
        <v>0.49375000000000002</v>
      </c>
      <c r="T214" t="str" cm="1">
        <f t="array" ref="T214">_xlfn.IFS(H214&gt;=90,"A",H214&gt;=75,"B",H214&gt;=60,"C",H214&lt;60,"D")</f>
        <v>D</v>
      </c>
      <c r="U214" t="str">
        <f t="shared" si="12"/>
        <v>09:11 AM</v>
      </c>
      <c r="V214" t="str">
        <f t="shared" si="13"/>
        <v>Delayed</v>
      </c>
      <c r="W214" t="str">
        <f t="shared" si="14"/>
        <v>2 Hours 40 Minutes</v>
      </c>
      <c r="X214" t="str">
        <f t="shared" si="15"/>
        <v>Short Time Login</v>
      </c>
      <c r="AA214" s="34" t="s">
        <v>409</v>
      </c>
      <c r="AB214" s="34" t="s">
        <v>410</v>
      </c>
      <c r="AC214" s="34">
        <v>48</v>
      </c>
      <c r="AD214" s="34">
        <v>97</v>
      </c>
      <c r="AE214" s="34" t="s">
        <v>25</v>
      </c>
      <c r="AF214" s="34">
        <v>2000</v>
      </c>
      <c r="AH214" s="34" t="s">
        <v>27</v>
      </c>
    </row>
    <row r="215" spans="1:34">
      <c r="A215" t="s">
        <v>411</v>
      </c>
      <c r="B215" t="s">
        <v>250</v>
      </c>
      <c r="C215">
        <v>25</v>
      </c>
      <c r="D215" t="s">
        <v>35</v>
      </c>
      <c r="E215" t="s">
        <v>44</v>
      </c>
      <c r="F215" t="s">
        <v>31</v>
      </c>
      <c r="G215" t="s">
        <v>32</v>
      </c>
      <c r="H215">
        <v>57</v>
      </c>
      <c r="I215">
        <v>76</v>
      </c>
      <c r="J215" t="s">
        <v>25</v>
      </c>
      <c r="K215">
        <v>20000</v>
      </c>
      <c r="L215">
        <v>21830</v>
      </c>
      <c r="M215">
        <v>0</v>
      </c>
      <c r="N215" t="s">
        <v>11</v>
      </c>
      <c r="O215" t="s">
        <v>27</v>
      </c>
      <c r="P215" s="1">
        <v>45684</v>
      </c>
      <c r="Q215" s="1">
        <v>45804</v>
      </c>
      <c r="R215" s="2">
        <v>0.42916666666666664</v>
      </c>
      <c r="S215" s="2">
        <v>0.50555555555555554</v>
      </c>
      <c r="T215" t="str" cm="1">
        <f t="array" ref="T215">_xlfn.IFS(H215&gt;=90,"A",H215&gt;=75,"B",H215&gt;=60,"C",H215&lt;60,"D")</f>
        <v>D</v>
      </c>
      <c r="U215" t="str">
        <f t="shared" si="12"/>
        <v>10:18 AM</v>
      </c>
      <c r="V215" t="str">
        <f t="shared" si="13"/>
        <v>Delayed</v>
      </c>
      <c r="W215" t="str">
        <f t="shared" si="14"/>
        <v>1 Hours 50 Minutes</v>
      </c>
      <c r="X215" t="str">
        <f t="shared" si="15"/>
        <v>Long Time Login</v>
      </c>
      <c r="AA215" s="35" t="s">
        <v>411</v>
      </c>
      <c r="AB215" s="35" t="s">
        <v>250</v>
      </c>
      <c r="AC215" s="35">
        <v>57</v>
      </c>
      <c r="AD215" s="35">
        <v>76</v>
      </c>
      <c r="AE215" s="35" t="s">
        <v>25</v>
      </c>
      <c r="AF215" s="35">
        <v>0</v>
      </c>
      <c r="AH215" s="35" t="s">
        <v>27</v>
      </c>
    </row>
    <row r="216" spans="1:34">
      <c r="A216" t="s">
        <v>412</v>
      </c>
      <c r="B216" t="s">
        <v>217</v>
      </c>
      <c r="C216">
        <v>23</v>
      </c>
      <c r="D216" t="s">
        <v>21</v>
      </c>
      <c r="E216" t="s">
        <v>67</v>
      </c>
      <c r="F216" t="s">
        <v>57</v>
      </c>
      <c r="G216" t="s">
        <v>58</v>
      </c>
      <c r="H216">
        <v>91</v>
      </c>
      <c r="I216">
        <v>100</v>
      </c>
      <c r="J216" t="s">
        <v>59</v>
      </c>
      <c r="K216">
        <v>15000</v>
      </c>
      <c r="L216">
        <v>11930</v>
      </c>
      <c r="M216">
        <v>4000</v>
      </c>
      <c r="N216" t="s">
        <v>26</v>
      </c>
      <c r="O216" t="s">
        <v>27</v>
      </c>
      <c r="P216" s="1">
        <v>45794</v>
      </c>
      <c r="Q216" s="1">
        <v>45884</v>
      </c>
      <c r="R216" s="2">
        <v>0.36458333333333331</v>
      </c>
      <c r="S216" s="2">
        <v>0.4201388888888889</v>
      </c>
      <c r="T216" t="str" cm="1">
        <f t="array" ref="T216">_xlfn.IFS(H216&gt;=90,"A",H216&gt;=75,"B",H216&gt;=60,"C",H216&lt;60,"D")</f>
        <v>A</v>
      </c>
      <c r="U216" t="str">
        <f t="shared" si="12"/>
        <v>08:45 AM</v>
      </c>
      <c r="V216" t="str">
        <f t="shared" si="13"/>
        <v>On Time</v>
      </c>
      <c r="W216" t="str">
        <f t="shared" si="14"/>
        <v>1 Hours 20 Minutes</v>
      </c>
      <c r="X216" t="str">
        <f t="shared" si="15"/>
        <v>Short Time Login</v>
      </c>
      <c r="AA216" s="34" t="s">
        <v>412</v>
      </c>
      <c r="AB216" s="34" t="s">
        <v>217</v>
      </c>
      <c r="AC216" s="34">
        <v>91</v>
      </c>
      <c r="AD216" s="34">
        <v>100</v>
      </c>
      <c r="AE216" s="34" t="s">
        <v>59</v>
      </c>
      <c r="AF216" s="34">
        <v>4000</v>
      </c>
      <c r="AH216" s="34" t="s">
        <v>27</v>
      </c>
    </row>
    <row r="217" spans="1:34">
      <c r="A217" t="s">
        <v>413</v>
      </c>
      <c r="B217" t="s">
        <v>414</v>
      </c>
      <c r="C217">
        <v>22</v>
      </c>
      <c r="D217" t="s">
        <v>35</v>
      </c>
      <c r="E217" t="s">
        <v>44</v>
      </c>
      <c r="F217" t="s">
        <v>23</v>
      </c>
      <c r="G217" t="s">
        <v>24</v>
      </c>
      <c r="H217">
        <v>79</v>
      </c>
      <c r="I217">
        <v>76</v>
      </c>
      <c r="J217" t="s">
        <v>45</v>
      </c>
      <c r="K217">
        <v>10000</v>
      </c>
      <c r="L217">
        <v>10030</v>
      </c>
      <c r="M217">
        <v>0</v>
      </c>
      <c r="N217" t="s">
        <v>11</v>
      </c>
      <c r="O217" t="s">
        <v>27</v>
      </c>
      <c r="P217" s="1">
        <v>45736</v>
      </c>
      <c r="Q217" s="1">
        <v>45856</v>
      </c>
      <c r="R217" s="2">
        <v>0.36875000000000002</v>
      </c>
      <c r="S217" s="2">
        <v>0.53333333333333333</v>
      </c>
      <c r="T217" t="str" cm="1">
        <f t="array" ref="T217">_xlfn.IFS(H217&gt;=90,"A",H217&gt;=75,"B",H217&gt;=60,"C",H217&lt;60,"D")</f>
        <v>B</v>
      </c>
      <c r="U217" t="str">
        <f t="shared" si="12"/>
        <v>08:51 AM</v>
      </c>
      <c r="V217" t="str">
        <f t="shared" si="13"/>
        <v>Delayed</v>
      </c>
      <c r="W217" t="str">
        <f t="shared" si="14"/>
        <v>3 Hours 57 Minutes</v>
      </c>
      <c r="X217" t="str">
        <f t="shared" si="15"/>
        <v>Short Time Login</v>
      </c>
      <c r="AA217" s="35" t="s">
        <v>413</v>
      </c>
      <c r="AB217" s="35" t="s">
        <v>414</v>
      </c>
      <c r="AC217" s="35">
        <v>79</v>
      </c>
      <c r="AD217" s="35">
        <v>76</v>
      </c>
      <c r="AE217" s="35" t="s">
        <v>45</v>
      </c>
      <c r="AF217" s="35">
        <v>0</v>
      </c>
      <c r="AH217" s="35" t="s">
        <v>27</v>
      </c>
    </row>
    <row r="218" spans="1:34">
      <c r="A218" t="s">
        <v>415</v>
      </c>
      <c r="B218" t="s">
        <v>416</v>
      </c>
      <c r="C218">
        <v>23</v>
      </c>
      <c r="D218" t="s">
        <v>21</v>
      </c>
      <c r="E218" t="s">
        <v>48</v>
      </c>
      <c r="F218" t="s">
        <v>57</v>
      </c>
      <c r="G218" t="s">
        <v>58</v>
      </c>
      <c r="H218">
        <v>63</v>
      </c>
      <c r="I218">
        <v>67</v>
      </c>
      <c r="J218" t="s">
        <v>68</v>
      </c>
      <c r="K218">
        <v>12000</v>
      </c>
      <c r="L218">
        <v>10390</v>
      </c>
      <c r="M218">
        <v>2000</v>
      </c>
      <c r="N218" t="s">
        <v>26</v>
      </c>
      <c r="O218" t="s">
        <v>127</v>
      </c>
      <c r="P218" s="1">
        <v>45925</v>
      </c>
      <c r="Q218" s="1">
        <v>45955</v>
      </c>
      <c r="R218" s="2">
        <v>0.44305555555555554</v>
      </c>
      <c r="S218" s="2">
        <v>0.62777777777777777</v>
      </c>
      <c r="T218" t="str" cm="1">
        <f t="array" ref="T218">_xlfn.IFS(H218&gt;=90,"A",H218&gt;=75,"B",H218&gt;=60,"C",H218&lt;60,"D")</f>
        <v>C</v>
      </c>
      <c r="U218" t="str">
        <f t="shared" si="12"/>
        <v>10:38 AM</v>
      </c>
      <c r="V218" t="str">
        <f t="shared" si="13"/>
        <v>On Time</v>
      </c>
      <c r="W218" t="str">
        <f t="shared" si="14"/>
        <v>4 Hours 26 Minutes</v>
      </c>
      <c r="X218" t="str">
        <f t="shared" si="15"/>
        <v>Long Time Login</v>
      </c>
      <c r="AA218" s="34" t="s">
        <v>415</v>
      </c>
      <c r="AB218" s="34" t="s">
        <v>416</v>
      </c>
      <c r="AC218" s="34">
        <v>63</v>
      </c>
      <c r="AD218" s="34">
        <v>67</v>
      </c>
      <c r="AE218" s="34" t="s">
        <v>68</v>
      </c>
      <c r="AF218" s="34">
        <v>2000</v>
      </c>
      <c r="AH218" s="34" t="s">
        <v>127</v>
      </c>
    </row>
    <row r="219" spans="1:34">
      <c r="A219" t="s">
        <v>417</v>
      </c>
      <c r="B219" t="s">
        <v>132</v>
      </c>
      <c r="C219">
        <v>19</v>
      </c>
      <c r="D219" t="s">
        <v>21</v>
      </c>
      <c r="E219" t="s">
        <v>113</v>
      </c>
      <c r="F219" t="s">
        <v>31</v>
      </c>
      <c r="G219" t="s">
        <v>32</v>
      </c>
      <c r="H219">
        <v>90</v>
      </c>
      <c r="I219">
        <v>65</v>
      </c>
      <c r="J219" t="s">
        <v>59</v>
      </c>
      <c r="K219">
        <v>18000</v>
      </c>
      <c r="L219">
        <v>16650</v>
      </c>
      <c r="M219">
        <v>4000</v>
      </c>
      <c r="N219" t="s">
        <v>26</v>
      </c>
      <c r="O219" t="s">
        <v>127</v>
      </c>
      <c r="P219" s="1">
        <v>45814</v>
      </c>
      <c r="Q219" s="1">
        <v>45934</v>
      </c>
      <c r="R219" s="2">
        <v>0.45694444444444443</v>
      </c>
      <c r="S219" s="2">
        <v>0.58333333333333337</v>
      </c>
      <c r="T219" t="str" cm="1">
        <f t="array" ref="T219">_xlfn.IFS(H219&gt;=90,"A",H219&gt;=75,"B",H219&gt;=60,"C",H219&lt;60,"D")</f>
        <v>A</v>
      </c>
      <c r="U219" t="str">
        <f t="shared" si="12"/>
        <v>10:58 AM</v>
      </c>
      <c r="V219" t="str">
        <f t="shared" si="13"/>
        <v>Delayed</v>
      </c>
      <c r="W219" t="str">
        <f t="shared" si="14"/>
        <v>3 Hours 2 Minutes</v>
      </c>
      <c r="X219" t="str">
        <f t="shared" si="15"/>
        <v>Long Time Login</v>
      </c>
      <c r="AA219" s="35" t="s">
        <v>417</v>
      </c>
      <c r="AB219" s="35" t="s">
        <v>132</v>
      </c>
      <c r="AC219" s="35">
        <v>90</v>
      </c>
      <c r="AD219" s="35">
        <v>65</v>
      </c>
      <c r="AE219" s="35" t="s">
        <v>59</v>
      </c>
      <c r="AF219" s="35">
        <v>4000</v>
      </c>
      <c r="AH219" s="35" t="s">
        <v>127</v>
      </c>
    </row>
    <row r="220" spans="1:34">
      <c r="A220" t="s">
        <v>418</v>
      </c>
      <c r="B220" t="s">
        <v>419</v>
      </c>
      <c r="C220">
        <v>22</v>
      </c>
      <c r="D220" t="s">
        <v>35</v>
      </c>
      <c r="E220" t="s">
        <v>36</v>
      </c>
      <c r="F220" t="s">
        <v>57</v>
      </c>
      <c r="G220" t="s">
        <v>58</v>
      </c>
      <c r="H220">
        <v>63</v>
      </c>
      <c r="I220">
        <v>70</v>
      </c>
      <c r="J220" t="s">
        <v>68</v>
      </c>
      <c r="K220">
        <v>10000</v>
      </c>
      <c r="L220">
        <v>11210</v>
      </c>
      <c r="M220">
        <v>0</v>
      </c>
      <c r="N220" t="s">
        <v>11</v>
      </c>
      <c r="O220" t="s">
        <v>27</v>
      </c>
      <c r="P220" s="1">
        <v>45756</v>
      </c>
      <c r="Q220" s="1">
        <v>45876</v>
      </c>
      <c r="R220" s="2">
        <v>0.37291666666666667</v>
      </c>
      <c r="S220" s="2">
        <v>0.47708333333333336</v>
      </c>
      <c r="T220" t="str" cm="1">
        <f t="array" ref="T220">_xlfn.IFS(H220&gt;=90,"A",H220&gt;=75,"B",H220&gt;=60,"C",H220&lt;60,"D")</f>
        <v>C</v>
      </c>
      <c r="U220" t="str">
        <f t="shared" si="12"/>
        <v>08:57 AM</v>
      </c>
      <c r="V220" t="str">
        <f t="shared" si="13"/>
        <v>Delayed</v>
      </c>
      <c r="W220" t="str">
        <f t="shared" si="14"/>
        <v>2 Hours 30 Minutes</v>
      </c>
      <c r="X220" t="str">
        <f t="shared" si="15"/>
        <v>Short Time Login</v>
      </c>
      <c r="AA220" s="34" t="s">
        <v>418</v>
      </c>
      <c r="AB220" s="34" t="s">
        <v>419</v>
      </c>
      <c r="AC220" s="34">
        <v>63</v>
      </c>
      <c r="AD220" s="34">
        <v>70</v>
      </c>
      <c r="AE220" s="34" t="s">
        <v>68</v>
      </c>
      <c r="AF220" s="34">
        <v>0</v>
      </c>
      <c r="AH220" s="34" t="s">
        <v>27</v>
      </c>
    </row>
    <row r="221" spans="1:34">
      <c r="A221" t="s">
        <v>420</v>
      </c>
      <c r="B221" t="s">
        <v>165</v>
      </c>
      <c r="C221">
        <v>20</v>
      </c>
      <c r="D221" t="s">
        <v>35</v>
      </c>
      <c r="E221" t="s">
        <v>36</v>
      </c>
      <c r="F221" t="s">
        <v>23</v>
      </c>
      <c r="G221" t="s">
        <v>24</v>
      </c>
      <c r="H221">
        <v>62</v>
      </c>
      <c r="I221">
        <v>79</v>
      </c>
      <c r="J221" t="s">
        <v>68</v>
      </c>
      <c r="K221">
        <v>20000</v>
      </c>
      <c r="L221">
        <v>23600</v>
      </c>
      <c r="M221">
        <v>0</v>
      </c>
      <c r="N221" t="s">
        <v>11</v>
      </c>
      <c r="O221" t="s">
        <v>27</v>
      </c>
      <c r="P221" s="1">
        <v>45765</v>
      </c>
      <c r="Q221" s="1">
        <v>45855</v>
      </c>
      <c r="R221" s="2">
        <v>0.38333333333333336</v>
      </c>
      <c r="S221" s="2">
        <v>0.55138888888888893</v>
      </c>
      <c r="T221" t="str" cm="1">
        <f t="array" ref="T221">_xlfn.IFS(H221&gt;=90,"A",H221&gt;=75,"B",H221&gt;=60,"C",H221&lt;60,"D")</f>
        <v>C</v>
      </c>
      <c r="U221" t="str">
        <f t="shared" si="12"/>
        <v>09:12 AM</v>
      </c>
      <c r="V221" t="str">
        <f t="shared" si="13"/>
        <v>On Time</v>
      </c>
      <c r="W221" t="str">
        <f t="shared" si="14"/>
        <v>4 Hours 2 Minutes</v>
      </c>
      <c r="X221" t="str">
        <f t="shared" si="15"/>
        <v>Short Time Login</v>
      </c>
      <c r="AA221" s="35" t="s">
        <v>420</v>
      </c>
      <c r="AB221" s="35" t="s">
        <v>165</v>
      </c>
      <c r="AC221" s="35">
        <v>62</v>
      </c>
      <c r="AD221" s="35">
        <v>79</v>
      </c>
      <c r="AE221" s="35" t="s">
        <v>68</v>
      </c>
      <c r="AF221" s="35">
        <v>0</v>
      </c>
      <c r="AH221" s="35" t="s">
        <v>27</v>
      </c>
    </row>
    <row r="222" spans="1:34">
      <c r="A222" t="s">
        <v>421</v>
      </c>
      <c r="B222" t="s">
        <v>358</v>
      </c>
      <c r="C222">
        <v>26</v>
      </c>
      <c r="D222" t="s">
        <v>21</v>
      </c>
      <c r="E222" t="s">
        <v>48</v>
      </c>
      <c r="F222" t="s">
        <v>63</v>
      </c>
      <c r="G222" t="s">
        <v>64</v>
      </c>
      <c r="H222">
        <v>70</v>
      </c>
      <c r="I222">
        <v>94</v>
      </c>
      <c r="J222" t="s">
        <v>68</v>
      </c>
      <c r="K222">
        <v>15000</v>
      </c>
      <c r="L222">
        <v>13930</v>
      </c>
      <c r="M222">
        <v>2000</v>
      </c>
      <c r="N222" t="s">
        <v>26</v>
      </c>
      <c r="O222" t="s">
        <v>27</v>
      </c>
      <c r="P222" s="1">
        <v>45954</v>
      </c>
      <c r="Q222" s="1">
        <v>46074</v>
      </c>
      <c r="R222" s="2">
        <v>0.35347222222222224</v>
      </c>
      <c r="S222" s="2">
        <v>0.48819444444444443</v>
      </c>
      <c r="T222" t="str" cm="1">
        <f t="array" ref="T222">_xlfn.IFS(H222&gt;=90,"A",H222&gt;=75,"B",H222&gt;=60,"C",H222&lt;60,"D")</f>
        <v>C</v>
      </c>
      <c r="U222" t="str">
        <f t="shared" si="12"/>
        <v>08:29 AM</v>
      </c>
      <c r="V222" t="str">
        <f t="shared" si="13"/>
        <v>Delayed</v>
      </c>
      <c r="W222" t="str">
        <f t="shared" si="14"/>
        <v>3 Hours 14 Minutes</v>
      </c>
      <c r="X222" t="str">
        <f t="shared" si="15"/>
        <v>Short Time Login</v>
      </c>
      <c r="AA222" s="34" t="s">
        <v>421</v>
      </c>
      <c r="AB222" s="34" t="s">
        <v>358</v>
      </c>
      <c r="AC222" s="34">
        <v>70</v>
      </c>
      <c r="AD222" s="34">
        <v>94</v>
      </c>
      <c r="AE222" s="34" t="s">
        <v>68</v>
      </c>
      <c r="AF222" s="34">
        <v>2000</v>
      </c>
      <c r="AH222" s="34" t="s">
        <v>27</v>
      </c>
    </row>
    <row r="223" spans="1:34">
      <c r="A223" t="s">
        <v>422</v>
      </c>
      <c r="B223" t="s">
        <v>282</v>
      </c>
      <c r="C223">
        <v>21</v>
      </c>
      <c r="D223" t="s">
        <v>35</v>
      </c>
      <c r="E223" t="s">
        <v>96</v>
      </c>
      <c r="F223" t="s">
        <v>40</v>
      </c>
      <c r="G223" t="s">
        <v>41</v>
      </c>
      <c r="H223">
        <v>58</v>
      </c>
      <c r="I223">
        <v>99</v>
      </c>
      <c r="J223" t="s">
        <v>25</v>
      </c>
      <c r="K223">
        <v>10000</v>
      </c>
      <c r="L223">
        <v>8030</v>
      </c>
      <c r="M223">
        <v>2000</v>
      </c>
      <c r="N223" t="s">
        <v>26</v>
      </c>
      <c r="O223" t="s">
        <v>27</v>
      </c>
      <c r="P223" s="1">
        <v>45661</v>
      </c>
      <c r="Q223" s="1">
        <v>45721</v>
      </c>
      <c r="R223" s="2">
        <v>0.42916666666666664</v>
      </c>
      <c r="S223" s="2">
        <v>0.49236111111111114</v>
      </c>
      <c r="T223" t="str" cm="1">
        <f t="array" ref="T223">_xlfn.IFS(H223&gt;=90,"A",H223&gt;=75,"B",H223&gt;=60,"C",H223&lt;60,"D")</f>
        <v>D</v>
      </c>
      <c r="U223" t="str">
        <f t="shared" si="12"/>
        <v>10:18 AM</v>
      </c>
      <c r="V223" t="str">
        <f t="shared" si="13"/>
        <v>On Time</v>
      </c>
      <c r="W223" t="str">
        <f t="shared" si="14"/>
        <v>1 Hours 31 Minutes</v>
      </c>
      <c r="X223" t="str">
        <f t="shared" si="15"/>
        <v>Long Time Login</v>
      </c>
      <c r="AA223" s="35" t="s">
        <v>422</v>
      </c>
      <c r="AB223" s="35" t="s">
        <v>282</v>
      </c>
      <c r="AC223" s="35">
        <v>58</v>
      </c>
      <c r="AD223" s="35">
        <v>99</v>
      </c>
      <c r="AE223" s="35" t="s">
        <v>25</v>
      </c>
      <c r="AF223" s="35">
        <v>2000</v>
      </c>
      <c r="AH223" s="35" t="s">
        <v>27</v>
      </c>
    </row>
    <row r="224" spans="1:34">
      <c r="A224" t="s">
        <v>423</v>
      </c>
      <c r="B224" t="s">
        <v>201</v>
      </c>
      <c r="C224">
        <v>23</v>
      </c>
      <c r="D224" t="s">
        <v>35</v>
      </c>
      <c r="E224" t="s">
        <v>48</v>
      </c>
      <c r="F224" t="s">
        <v>49</v>
      </c>
      <c r="G224" t="s">
        <v>50</v>
      </c>
      <c r="H224">
        <v>42</v>
      </c>
      <c r="I224">
        <v>69</v>
      </c>
      <c r="J224" t="s">
        <v>25</v>
      </c>
      <c r="K224">
        <v>18000</v>
      </c>
      <c r="L224">
        <v>17240</v>
      </c>
      <c r="M224">
        <v>4000</v>
      </c>
      <c r="N224" t="s">
        <v>26</v>
      </c>
      <c r="O224" t="s">
        <v>127</v>
      </c>
      <c r="P224" s="1">
        <v>45922</v>
      </c>
      <c r="Q224" s="1">
        <v>46102</v>
      </c>
      <c r="R224" s="2">
        <v>0.37569444444444444</v>
      </c>
      <c r="S224" s="2">
        <v>0.52222222222222225</v>
      </c>
      <c r="T224" t="str" cm="1">
        <f t="array" ref="T224">_xlfn.IFS(H224&gt;=90,"A",H224&gt;=75,"B",H224&gt;=60,"C",H224&lt;60,"D")</f>
        <v>D</v>
      </c>
      <c r="U224" t="str">
        <f t="shared" si="12"/>
        <v>09:01 AM</v>
      </c>
      <c r="V224" t="str">
        <f t="shared" si="13"/>
        <v>Delayed</v>
      </c>
      <c r="W224" t="str">
        <f t="shared" si="14"/>
        <v>3 Hours 31 Minutes</v>
      </c>
      <c r="X224" t="str">
        <f t="shared" si="15"/>
        <v>Short Time Login</v>
      </c>
      <c r="AA224" s="34" t="s">
        <v>423</v>
      </c>
      <c r="AB224" s="34" t="s">
        <v>201</v>
      </c>
      <c r="AC224" s="34">
        <v>42</v>
      </c>
      <c r="AD224" s="34">
        <v>69</v>
      </c>
      <c r="AE224" s="34" t="s">
        <v>25</v>
      </c>
      <c r="AF224" s="34">
        <v>4000</v>
      </c>
      <c r="AH224" s="34" t="s">
        <v>127</v>
      </c>
    </row>
    <row r="225" spans="1:34">
      <c r="A225" t="s">
        <v>424</v>
      </c>
      <c r="B225" t="s">
        <v>391</v>
      </c>
      <c r="C225">
        <v>24</v>
      </c>
      <c r="D225" t="s">
        <v>35</v>
      </c>
      <c r="E225" t="s">
        <v>122</v>
      </c>
      <c r="F225" t="s">
        <v>53</v>
      </c>
      <c r="G225" t="s">
        <v>54</v>
      </c>
      <c r="H225">
        <v>64</v>
      </c>
      <c r="I225">
        <v>66</v>
      </c>
      <c r="J225" t="s">
        <v>68</v>
      </c>
      <c r="K225">
        <v>10000</v>
      </c>
      <c r="L225">
        <v>9800</v>
      </c>
      <c r="M225">
        <v>2000</v>
      </c>
      <c r="N225" t="s">
        <v>26</v>
      </c>
      <c r="O225" t="s">
        <v>27</v>
      </c>
      <c r="P225" s="1">
        <v>45825</v>
      </c>
      <c r="Q225" s="1">
        <v>45915</v>
      </c>
      <c r="R225" s="2">
        <v>0.40555555555555556</v>
      </c>
      <c r="S225" s="2">
        <v>0.54513888888888884</v>
      </c>
      <c r="T225" t="str" cm="1">
        <f t="array" ref="T225">_xlfn.IFS(H225&gt;=90,"A",H225&gt;=75,"B",H225&gt;=60,"C",H225&lt;60,"D")</f>
        <v>C</v>
      </c>
      <c r="U225" t="str">
        <f t="shared" si="12"/>
        <v>09:44 AM</v>
      </c>
      <c r="V225" t="str">
        <f t="shared" si="13"/>
        <v>On Time</v>
      </c>
      <c r="W225" t="str">
        <f t="shared" si="14"/>
        <v>3 Hours 21 Minutes</v>
      </c>
      <c r="X225" t="str">
        <f t="shared" si="15"/>
        <v>Short Time Login</v>
      </c>
      <c r="AA225" s="35" t="s">
        <v>424</v>
      </c>
      <c r="AB225" s="35" t="s">
        <v>391</v>
      </c>
      <c r="AC225" s="35">
        <v>64</v>
      </c>
      <c r="AD225" s="35">
        <v>66</v>
      </c>
      <c r="AE225" s="35" t="s">
        <v>68</v>
      </c>
      <c r="AF225" s="35">
        <v>2000</v>
      </c>
      <c r="AH225" s="35" t="s">
        <v>27</v>
      </c>
    </row>
    <row r="226" spans="1:34">
      <c r="A226" t="s">
        <v>425</v>
      </c>
      <c r="B226" t="s">
        <v>426</v>
      </c>
      <c r="C226">
        <v>28</v>
      </c>
      <c r="D226" t="s">
        <v>35</v>
      </c>
      <c r="E226" t="s">
        <v>67</v>
      </c>
      <c r="F226" t="s">
        <v>57</v>
      </c>
      <c r="G226" t="s">
        <v>58</v>
      </c>
      <c r="H226">
        <v>98</v>
      </c>
      <c r="I226">
        <v>63</v>
      </c>
      <c r="J226" t="s">
        <v>59</v>
      </c>
      <c r="K226">
        <v>10000</v>
      </c>
      <c r="L226">
        <v>10030</v>
      </c>
      <c r="M226">
        <v>0</v>
      </c>
      <c r="N226" t="s">
        <v>11</v>
      </c>
      <c r="O226" t="s">
        <v>27</v>
      </c>
      <c r="P226" s="1">
        <v>45765</v>
      </c>
      <c r="Q226" s="1">
        <v>45825</v>
      </c>
      <c r="R226" s="2">
        <v>0.38124999999999998</v>
      </c>
      <c r="S226" s="2">
        <v>0.4548611111111111</v>
      </c>
      <c r="T226" t="str" cm="1">
        <f t="array" ref="T226">_xlfn.IFS(H226&gt;=90,"A",H226&gt;=75,"B",H226&gt;=60,"C",H226&lt;60,"D")</f>
        <v>A</v>
      </c>
      <c r="U226" t="str">
        <f t="shared" si="12"/>
        <v>09:09 AM</v>
      </c>
      <c r="V226" t="str">
        <f t="shared" si="13"/>
        <v>On Time</v>
      </c>
      <c r="W226" t="str">
        <f t="shared" si="14"/>
        <v>1 Hours 46 Minutes</v>
      </c>
      <c r="X226" t="str">
        <f t="shared" si="15"/>
        <v>Short Time Login</v>
      </c>
      <c r="AA226" s="34" t="s">
        <v>425</v>
      </c>
      <c r="AB226" s="34" t="s">
        <v>426</v>
      </c>
      <c r="AC226" s="34">
        <v>98</v>
      </c>
      <c r="AD226" s="34">
        <v>63</v>
      </c>
      <c r="AE226" s="34" t="s">
        <v>59</v>
      </c>
      <c r="AF226" s="34">
        <v>0</v>
      </c>
      <c r="AH226" s="34" t="s">
        <v>27</v>
      </c>
    </row>
    <row r="227" spans="1:34">
      <c r="A227" t="s">
        <v>427</v>
      </c>
      <c r="B227" t="s">
        <v>428</v>
      </c>
      <c r="C227">
        <v>19</v>
      </c>
      <c r="D227" t="s">
        <v>21</v>
      </c>
      <c r="E227" t="s">
        <v>48</v>
      </c>
      <c r="F227" t="s">
        <v>88</v>
      </c>
      <c r="G227" t="s">
        <v>89</v>
      </c>
      <c r="H227">
        <v>82</v>
      </c>
      <c r="I227">
        <v>79</v>
      </c>
      <c r="J227" t="s">
        <v>45</v>
      </c>
      <c r="K227">
        <v>18000</v>
      </c>
      <c r="L227">
        <v>16060</v>
      </c>
      <c r="M227">
        <v>4000</v>
      </c>
      <c r="N227" t="s">
        <v>26</v>
      </c>
      <c r="O227" t="s">
        <v>27</v>
      </c>
      <c r="P227" s="1">
        <v>45964</v>
      </c>
      <c r="Q227" s="1">
        <v>45994</v>
      </c>
      <c r="R227" s="2">
        <v>0.34166666666666667</v>
      </c>
      <c r="S227" s="2">
        <v>0.49652777777777779</v>
      </c>
      <c r="T227" t="str" cm="1">
        <f t="array" ref="T227">_xlfn.IFS(H227&gt;=90,"A",H227&gt;=75,"B",H227&gt;=60,"C",H227&lt;60,"D")</f>
        <v>B</v>
      </c>
      <c r="U227" t="str">
        <f t="shared" si="12"/>
        <v>08:12 AM</v>
      </c>
      <c r="V227" t="str">
        <f t="shared" si="13"/>
        <v>On Time</v>
      </c>
      <c r="W227" t="str">
        <f t="shared" si="14"/>
        <v>3 Hours 43 Minutes</v>
      </c>
      <c r="X227" t="str">
        <f t="shared" si="15"/>
        <v>Short Time Login</v>
      </c>
      <c r="AA227" s="35" t="s">
        <v>427</v>
      </c>
      <c r="AB227" s="35" t="s">
        <v>428</v>
      </c>
      <c r="AC227" s="35">
        <v>82</v>
      </c>
      <c r="AD227" s="35">
        <v>79</v>
      </c>
      <c r="AE227" s="35" t="s">
        <v>45</v>
      </c>
      <c r="AF227" s="35">
        <v>4000</v>
      </c>
      <c r="AH227" s="35" t="s">
        <v>27</v>
      </c>
    </row>
    <row r="228" spans="1:34">
      <c r="A228" t="s">
        <v>429</v>
      </c>
      <c r="B228" t="s">
        <v>430</v>
      </c>
      <c r="C228">
        <v>22</v>
      </c>
      <c r="D228" t="s">
        <v>35</v>
      </c>
      <c r="E228" t="s">
        <v>96</v>
      </c>
      <c r="F228" t="s">
        <v>88</v>
      </c>
      <c r="G228" t="s">
        <v>89</v>
      </c>
      <c r="H228">
        <v>70</v>
      </c>
      <c r="I228">
        <v>95</v>
      </c>
      <c r="J228" t="s">
        <v>68</v>
      </c>
      <c r="K228">
        <v>15000</v>
      </c>
      <c r="L228">
        <v>14520</v>
      </c>
      <c r="M228">
        <v>2000</v>
      </c>
      <c r="N228" t="s">
        <v>26</v>
      </c>
      <c r="O228" t="s">
        <v>27</v>
      </c>
      <c r="P228" s="1">
        <v>45663</v>
      </c>
      <c r="Q228" s="1">
        <v>45693</v>
      </c>
      <c r="R228" s="2">
        <v>0.38263888888888886</v>
      </c>
      <c r="S228" s="2">
        <v>0.5708333333333333</v>
      </c>
      <c r="T228" t="str" cm="1">
        <f t="array" ref="T228">_xlfn.IFS(H228&gt;=90,"A",H228&gt;=75,"B",H228&gt;=60,"C",H228&lt;60,"D")</f>
        <v>C</v>
      </c>
      <c r="U228" t="str">
        <f t="shared" si="12"/>
        <v>09:11 AM</v>
      </c>
      <c r="V228" t="str">
        <f t="shared" si="13"/>
        <v>On Time</v>
      </c>
      <c r="W228" t="str">
        <f t="shared" si="14"/>
        <v>4 Hours 31 Minutes</v>
      </c>
      <c r="X228" t="str">
        <f t="shared" si="15"/>
        <v>Short Time Login</v>
      </c>
      <c r="AA228" s="34" t="s">
        <v>429</v>
      </c>
      <c r="AB228" s="34" t="s">
        <v>430</v>
      </c>
      <c r="AC228" s="34">
        <v>70</v>
      </c>
      <c r="AD228" s="34">
        <v>95</v>
      </c>
      <c r="AE228" s="34" t="s">
        <v>68</v>
      </c>
      <c r="AF228" s="34">
        <v>2000</v>
      </c>
      <c r="AH228" s="34" t="s">
        <v>27</v>
      </c>
    </row>
    <row r="229" spans="1:34">
      <c r="A229" t="s">
        <v>431</v>
      </c>
      <c r="B229" t="s">
        <v>77</v>
      </c>
      <c r="C229">
        <v>23</v>
      </c>
      <c r="D229" t="s">
        <v>35</v>
      </c>
      <c r="E229" t="s">
        <v>44</v>
      </c>
      <c r="F229" t="s">
        <v>88</v>
      </c>
      <c r="G229" t="s">
        <v>89</v>
      </c>
      <c r="H229">
        <v>94</v>
      </c>
      <c r="I229">
        <v>94</v>
      </c>
      <c r="J229" t="s">
        <v>59</v>
      </c>
      <c r="K229">
        <v>12000</v>
      </c>
      <c r="L229">
        <v>12980</v>
      </c>
      <c r="M229">
        <v>0</v>
      </c>
      <c r="N229" t="s">
        <v>11</v>
      </c>
      <c r="O229" t="s">
        <v>27</v>
      </c>
      <c r="P229" s="1">
        <v>45914</v>
      </c>
      <c r="Q229" s="1">
        <v>45944</v>
      </c>
      <c r="R229" s="2">
        <v>0.35972222222222222</v>
      </c>
      <c r="S229" s="2">
        <v>0.49236111111111114</v>
      </c>
      <c r="T229" t="str" cm="1">
        <f t="array" ref="T229">_xlfn.IFS(H229&gt;=90,"A",H229&gt;=75,"B",H229&gt;=60,"C",H229&lt;60,"D")</f>
        <v>A</v>
      </c>
      <c r="U229" t="str">
        <f t="shared" si="12"/>
        <v>08:38 AM</v>
      </c>
      <c r="V229" t="str">
        <f t="shared" si="13"/>
        <v>On Time</v>
      </c>
      <c r="W229" t="str">
        <f t="shared" si="14"/>
        <v>3 Hours 11 Minutes</v>
      </c>
      <c r="X229" t="str">
        <f t="shared" si="15"/>
        <v>Short Time Login</v>
      </c>
      <c r="AA229" s="35" t="s">
        <v>431</v>
      </c>
      <c r="AB229" s="35" t="s">
        <v>77</v>
      </c>
      <c r="AC229" s="35">
        <v>94</v>
      </c>
      <c r="AD229" s="35">
        <v>94</v>
      </c>
      <c r="AE229" s="35" t="s">
        <v>59</v>
      </c>
      <c r="AF229" s="35">
        <v>0</v>
      </c>
      <c r="AH229" s="35" t="s">
        <v>27</v>
      </c>
    </row>
    <row r="230" spans="1:34">
      <c r="A230" t="s">
        <v>432</v>
      </c>
      <c r="B230" t="s">
        <v>327</v>
      </c>
      <c r="C230">
        <v>23</v>
      </c>
      <c r="D230" t="s">
        <v>35</v>
      </c>
      <c r="E230" t="s">
        <v>113</v>
      </c>
      <c r="F230" t="s">
        <v>63</v>
      </c>
      <c r="G230" t="s">
        <v>64</v>
      </c>
      <c r="H230">
        <v>41</v>
      </c>
      <c r="I230">
        <v>96</v>
      </c>
      <c r="J230" t="s">
        <v>25</v>
      </c>
      <c r="K230">
        <v>12000</v>
      </c>
      <c r="L230">
        <v>12160</v>
      </c>
      <c r="M230">
        <v>2000</v>
      </c>
      <c r="N230" t="s">
        <v>26</v>
      </c>
      <c r="O230" t="s">
        <v>27</v>
      </c>
      <c r="P230" s="1">
        <v>45824</v>
      </c>
      <c r="Q230" s="1">
        <v>45914</v>
      </c>
      <c r="R230" s="2">
        <v>0.44027777777777777</v>
      </c>
      <c r="S230" s="2">
        <v>0.50416666666666665</v>
      </c>
      <c r="T230" t="str" cm="1">
        <f t="array" ref="T230">_xlfn.IFS(H230&gt;=90,"A",H230&gt;=75,"B",H230&gt;=60,"C",H230&lt;60,"D")</f>
        <v>D</v>
      </c>
      <c r="U230" t="str">
        <f t="shared" si="12"/>
        <v>10:34 AM</v>
      </c>
      <c r="V230" t="str">
        <f t="shared" si="13"/>
        <v>On Time</v>
      </c>
      <c r="W230" t="str">
        <f t="shared" si="14"/>
        <v>1 Hours 32 Minutes</v>
      </c>
      <c r="X230" t="str">
        <f t="shared" si="15"/>
        <v>Long Time Login</v>
      </c>
      <c r="AA230" s="34" t="s">
        <v>432</v>
      </c>
      <c r="AB230" s="34" t="s">
        <v>327</v>
      </c>
      <c r="AC230" s="34">
        <v>41</v>
      </c>
      <c r="AD230" s="34">
        <v>96</v>
      </c>
      <c r="AE230" s="34" t="s">
        <v>25</v>
      </c>
      <c r="AF230" s="34">
        <v>2000</v>
      </c>
      <c r="AH230" s="34" t="s">
        <v>27</v>
      </c>
    </row>
    <row r="231" spans="1:34">
      <c r="A231" t="s">
        <v>433</v>
      </c>
      <c r="B231" t="s">
        <v>434</v>
      </c>
      <c r="C231">
        <v>25</v>
      </c>
      <c r="D231" t="s">
        <v>35</v>
      </c>
      <c r="E231" t="s">
        <v>73</v>
      </c>
      <c r="F231" t="s">
        <v>57</v>
      </c>
      <c r="G231" t="s">
        <v>58</v>
      </c>
      <c r="H231">
        <v>50</v>
      </c>
      <c r="I231">
        <v>100</v>
      </c>
      <c r="J231" t="s">
        <v>25</v>
      </c>
      <c r="K231">
        <v>20000</v>
      </c>
      <c r="L231">
        <v>19830</v>
      </c>
      <c r="M231">
        <v>2000</v>
      </c>
      <c r="N231" t="s">
        <v>26</v>
      </c>
      <c r="O231" t="s">
        <v>27</v>
      </c>
      <c r="P231" s="1">
        <v>45705</v>
      </c>
      <c r="Q231" s="1">
        <v>45795</v>
      </c>
      <c r="R231" s="2">
        <v>0.45416666666666666</v>
      </c>
      <c r="S231" s="2">
        <v>0.50902777777777775</v>
      </c>
      <c r="T231" t="str" cm="1">
        <f t="array" ref="T231">_xlfn.IFS(H231&gt;=90,"A",H231&gt;=75,"B",H231&gt;=60,"C",H231&lt;60,"D")</f>
        <v>D</v>
      </c>
      <c r="U231" t="str">
        <f t="shared" si="12"/>
        <v>10:54 AM</v>
      </c>
      <c r="V231" t="str">
        <f t="shared" si="13"/>
        <v>On Time</v>
      </c>
      <c r="W231" t="str">
        <f t="shared" si="14"/>
        <v>1 Hours 19 Minutes</v>
      </c>
      <c r="X231" t="str">
        <f t="shared" si="15"/>
        <v>Long Time Login</v>
      </c>
      <c r="AA231" s="35" t="s">
        <v>433</v>
      </c>
      <c r="AB231" s="35" t="s">
        <v>434</v>
      </c>
      <c r="AC231" s="35">
        <v>50</v>
      </c>
      <c r="AD231" s="35">
        <v>100</v>
      </c>
      <c r="AE231" s="35" t="s">
        <v>25</v>
      </c>
      <c r="AF231" s="35">
        <v>2000</v>
      </c>
      <c r="AH231" s="35" t="s">
        <v>27</v>
      </c>
    </row>
    <row r="232" spans="1:34">
      <c r="A232" t="s">
        <v>435</v>
      </c>
      <c r="B232" t="s">
        <v>226</v>
      </c>
      <c r="C232">
        <v>18</v>
      </c>
      <c r="D232" t="s">
        <v>21</v>
      </c>
      <c r="E232" t="s">
        <v>36</v>
      </c>
      <c r="F232" t="s">
        <v>88</v>
      </c>
      <c r="G232" t="s">
        <v>89</v>
      </c>
      <c r="H232">
        <v>75</v>
      </c>
      <c r="I232">
        <v>84</v>
      </c>
      <c r="J232" t="s">
        <v>45</v>
      </c>
      <c r="K232">
        <v>12000</v>
      </c>
      <c r="L232">
        <v>8390</v>
      </c>
      <c r="M232">
        <v>4000</v>
      </c>
      <c r="N232" t="s">
        <v>26</v>
      </c>
      <c r="O232" t="s">
        <v>27</v>
      </c>
      <c r="P232" s="1">
        <v>45717</v>
      </c>
      <c r="Q232" s="1">
        <v>45837</v>
      </c>
      <c r="R232" s="2">
        <v>0.39027777777777778</v>
      </c>
      <c r="S232" s="2">
        <v>0.53125</v>
      </c>
      <c r="T232" t="str" cm="1">
        <f t="array" ref="T232">_xlfn.IFS(H232&gt;=90,"A",H232&gt;=75,"B",H232&gt;=60,"C",H232&lt;60,"D")</f>
        <v>B</v>
      </c>
      <c r="U232" t="str">
        <f t="shared" si="12"/>
        <v>09:22 AM</v>
      </c>
      <c r="V232" t="str">
        <f t="shared" si="13"/>
        <v>Delayed</v>
      </c>
      <c r="W232" t="str">
        <f t="shared" si="14"/>
        <v>3 Hours 23 Minutes</v>
      </c>
      <c r="X232" t="str">
        <f t="shared" si="15"/>
        <v>Short Time Login</v>
      </c>
      <c r="AA232" s="34" t="s">
        <v>435</v>
      </c>
      <c r="AB232" s="34" t="s">
        <v>226</v>
      </c>
      <c r="AC232" s="34">
        <v>75</v>
      </c>
      <c r="AD232" s="34">
        <v>84</v>
      </c>
      <c r="AE232" s="34" t="s">
        <v>45</v>
      </c>
      <c r="AF232" s="34">
        <v>4000</v>
      </c>
      <c r="AH232" s="34" t="s">
        <v>27</v>
      </c>
    </row>
    <row r="233" spans="1:34">
      <c r="A233" t="s">
        <v>436</v>
      </c>
      <c r="B233" t="s">
        <v>313</v>
      </c>
      <c r="C233">
        <v>20</v>
      </c>
      <c r="D233" t="s">
        <v>35</v>
      </c>
      <c r="E233" t="s">
        <v>48</v>
      </c>
      <c r="F233" t="s">
        <v>40</v>
      </c>
      <c r="G233" t="s">
        <v>41</v>
      </c>
      <c r="H233">
        <v>82</v>
      </c>
      <c r="I233">
        <v>87</v>
      </c>
      <c r="J233" t="s">
        <v>45</v>
      </c>
      <c r="K233">
        <v>20000</v>
      </c>
      <c r="L233">
        <v>19830</v>
      </c>
      <c r="M233">
        <v>2000</v>
      </c>
      <c r="N233" t="s">
        <v>26</v>
      </c>
      <c r="O233" t="s">
        <v>27</v>
      </c>
      <c r="P233" s="1">
        <v>45838</v>
      </c>
      <c r="Q233" s="1">
        <v>45928</v>
      </c>
      <c r="R233" s="2">
        <v>0.40555555555555556</v>
      </c>
      <c r="S233" s="2">
        <v>0.59583333333333333</v>
      </c>
      <c r="T233" t="str" cm="1">
        <f t="array" ref="T233">_xlfn.IFS(H233&gt;=90,"A",H233&gt;=75,"B",H233&gt;=60,"C",H233&lt;60,"D")</f>
        <v>B</v>
      </c>
      <c r="U233" t="str">
        <f t="shared" si="12"/>
        <v>09:44 AM</v>
      </c>
      <c r="V233" t="str">
        <f t="shared" si="13"/>
        <v>On Time</v>
      </c>
      <c r="W233" t="str">
        <f t="shared" si="14"/>
        <v>4 Hours 34 Minutes</v>
      </c>
      <c r="X233" t="str">
        <f t="shared" si="15"/>
        <v>Short Time Login</v>
      </c>
      <c r="AA233" s="35" t="s">
        <v>436</v>
      </c>
      <c r="AB233" s="35" t="s">
        <v>313</v>
      </c>
      <c r="AC233" s="35">
        <v>82</v>
      </c>
      <c r="AD233" s="35">
        <v>87</v>
      </c>
      <c r="AE233" s="35" t="s">
        <v>45</v>
      </c>
      <c r="AF233" s="35">
        <v>2000</v>
      </c>
      <c r="AH233" s="35" t="s">
        <v>27</v>
      </c>
    </row>
    <row r="234" spans="1:34">
      <c r="A234" t="s">
        <v>437</v>
      </c>
      <c r="B234" t="s">
        <v>115</v>
      </c>
      <c r="C234">
        <v>22</v>
      </c>
      <c r="D234" t="s">
        <v>35</v>
      </c>
      <c r="E234" t="s">
        <v>73</v>
      </c>
      <c r="F234" t="s">
        <v>23</v>
      </c>
      <c r="G234" t="s">
        <v>24</v>
      </c>
      <c r="H234">
        <v>56</v>
      </c>
      <c r="I234">
        <v>81</v>
      </c>
      <c r="J234" t="s">
        <v>25</v>
      </c>
      <c r="K234">
        <v>15000</v>
      </c>
      <c r="L234">
        <v>11930</v>
      </c>
      <c r="M234">
        <v>4000</v>
      </c>
      <c r="N234" t="s">
        <v>26</v>
      </c>
      <c r="O234" t="s">
        <v>27</v>
      </c>
      <c r="P234" s="1">
        <v>45965</v>
      </c>
      <c r="Q234" s="1">
        <v>46025</v>
      </c>
      <c r="R234" s="2">
        <v>0.4201388888888889</v>
      </c>
      <c r="S234" s="2">
        <v>0.62152777777777779</v>
      </c>
      <c r="T234" t="str" cm="1">
        <f t="array" ref="T234">_xlfn.IFS(H234&gt;=90,"A",H234&gt;=75,"B",H234&gt;=60,"C",H234&lt;60,"D")</f>
        <v>D</v>
      </c>
      <c r="U234" t="str">
        <f t="shared" si="12"/>
        <v>10:05 AM</v>
      </c>
      <c r="V234" t="str">
        <f t="shared" si="13"/>
        <v>On Time</v>
      </c>
      <c r="W234" t="str">
        <f t="shared" si="14"/>
        <v>4 Hours 50 Minutes</v>
      </c>
      <c r="X234" t="str">
        <f t="shared" si="15"/>
        <v>Long Time Login</v>
      </c>
      <c r="AA234" s="34" t="s">
        <v>437</v>
      </c>
      <c r="AB234" s="34" t="s">
        <v>115</v>
      </c>
      <c r="AC234" s="34">
        <v>56</v>
      </c>
      <c r="AD234" s="34">
        <v>81</v>
      </c>
      <c r="AE234" s="34" t="s">
        <v>25</v>
      </c>
      <c r="AF234" s="34">
        <v>4000</v>
      </c>
      <c r="AH234" s="34" t="s">
        <v>27</v>
      </c>
    </row>
    <row r="235" spans="1:34">
      <c r="A235" t="s">
        <v>438</v>
      </c>
      <c r="B235" t="s">
        <v>132</v>
      </c>
      <c r="C235">
        <v>23</v>
      </c>
      <c r="D235" t="s">
        <v>35</v>
      </c>
      <c r="E235" t="s">
        <v>96</v>
      </c>
      <c r="F235" t="s">
        <v>31</v>
      </c>
      <c r="G235" t="s">
        <v>32</v>
      </c>
      <c r="H235">
        <v>90</v>
      </c>
      <c r="I235">
        <v>99</v>
      </c>
      <c r="J235" t="s">
        <v>59</v>
      </c>
      <c r="K235">
        <v>18000</v>
      </c>
      <c r="L235">
        <v>21240</v>
      </c>
      <c r="M235">
        <v>0</v>
      </c>
      <c r="N235" t="s">
        <v>11</v>
      </c>
      <c r="O235" t="s">
        <v>27</v>
      </c>
      <c r="P235" s="1">
        <v>45673</v>
      </c>
      <c r="Q235" s="1">
        <v>45793</v>
      </c>
      <c r="R235" s="2">
        <v>0.45277777777777778</v>
      </c>
      <c r="S235" s="2">
        <v>0.50624999999999998</v>
      </c>
      <c r="T235" t="str" cm="1">
        <f t="array" ref="T235">_xlfn.IFS(H235&gt;=90,"A",H235&gt;=75,"B",H235&gt;=60,"C",H235&lt;60,"D")</f>
        <v>A</v>
      </c>
      <c r="U235" t="str">
        <f t="shared" si="12"/>
        <v>10:52 AM</v>
      </c>
      <c r="V235" t="str">
        <f t="shared" si="13"/>
        <v>Delayed</v>
      </c>
      <c r="W235" t="str">
        <f t="shared" si="14"/>
        <v>1 Hours 17 Minutes</v>
      </c>
      <c r="X235" t="str">
        <f t="shared" si="15"/>
        <v>Long Time Login</v>
      </c>
      <c r="AA235" s="35" t="s">
        <v>438</v>
      </c>
      <c r="AB235" s="35" t="s">
        <v>132</v>
      </c>
      <c r="AC235" s="35">
        <v>90</v>
      </c>
      <c r="AD235" s="35">
        <v>99</v>
      </c>
      <c r="AE235" s="35" t="s">
        <v>59</v>
      </c>
      <c r="AF235" s="35">
        <v>0</v>
      </c>
      <c r="AH235" s="35" t="s">
        <v>27</v>
      </c>
    </row>
    <row r="236" spans="1:34">
      <c r="A236" t="s">
        <v>439</v>
      </c>
      <c r="B236" t="s">
        <v>440</v>
      </c>
      <c r="C236">
        <v>27</v>
      </c>
      <c r="D236" t="s">
        <v>21</v>
      </c>
      <c r="E236" t="s">
        <v>113</v>
      </c>
      <c r="F236" t="s">
        <v>23</v>
      </c>
      <c r="G236" t="s">
        <v>24</v>
      </c>
      <c r="H236">
        <v>84</v>
      </c>
      <c r="I236">
        <v>88</v>
      </c>
      <c r="J236" t="s">
        <v>45</v>
      </c>
      <c r="K236">
        <v>12000</v>
      </c>
      <c r="L236">
        <v>11570</v>
      </c>
      <c r="M236">
        <v>2000</v>
      </c>
      <c r="N236" t="s">
        <v>26</v>
      </c>
      <c r="O236" t="s">
        <v>27</v>
      </c>
      <c r="P236" s="1">
        <v>45760</v>
      </c>
      <c r="Q236" s="1">
        <v>45850</v>
      </c>
      <c r="R236" s="2">
        <v>0.41666666666666669</v>
      </c>
      <c r="S236" s="2">
        <v>0.59791666666666665</v>
      </c>
      <c r="T236" t="str" cm="1">
        <f t="array" ref="T236">_xlfn.IFS(H236&gt;=90,"A",H236&gt;=75,"B",H236&gt;=60,"C",H236&lt;60,"D")</f>
        <v>B</v>
      </c>
      <c r="U236" t="str">
        <f t="shared" si="12"/>
        <v>10:00 AM</v>
      </c>
      <c r="V236" t="str">
        <f t="shared" si="13"/>
        <v>On Time</v>
      </c>
      <c r="W236" t="str">
        <f t="shared" si="14"/>
        <v>4 Hours 21 Minutes</v>
      </c>
      <c r="X236" t="str">
        <f t="shared" si="15"/>
        <v>Short Time Login</v>
      </c>
      <c r="AA236" s="34" t="s">
        <v>439</v>
      </c>
      <c r="AB236" s="34" t="s">
        <v>440</v>
      </c>
      <c r="AC236" s="34">
        <v>84</v>
      </c>
      <c r="AD236" s="34">
        <v>88</v>
      </c>
      <c r="AE236" s="34" t="s">
        <v>45</v>
      </c>
      <c r="AF236" s="34">
        <v>2000</v>
      </c>
      <c r="AH236" s="34" t="s">
        <v>27</v>
      </c>
    </row>
    <row r="237" spans="1:34">
      <c r="A237" t="s">
        <v>441</v>
      </c>
      <c r="B237" t="s">
        <v>318</v>
      </c>
      <c r="C237">
        <v>25</v>
      </c>
      <c r="D237" t="s">
        <v>21</v>
      </c>
      <c r="E237" t="s">
        <v>73</v>
      </c>
      <c r="F237" t="s">
        <v>23</v>
      </c>
      <c r="G237" t="s">
        <v>24</v>
      </c>
      <c r="H237">
        <v>84</v>
      </c>
      <c r="I237">
        <v>99</v>
      </c>
      <c r="J237" t="s">
        <v>45</v>
      </c>
      <c r="K237">
        <v>20000</v>
      </c>
      <c r="L237">
        <v>21010</v>
      </c>
      <c r="M237">
        <v>2000</v>
      </c>
      <c r="N237" t="s">
        <v>26</v>
      </c>
      <c r="O237" t="s">
        <v>27</v>
      </c>
      <c r="P237" s="1">
        <v>45681</v>
      </c>
      <c r="Q237" s="1">
        <v>45861</v>
      </c>
      <c r="R237" s="2">
        <v>0.40833333333333333</v>
      </c>
      <c r="S237" s="2">
        <v>0.45347222222222222</v>
      </c>
      <c r="T237" t="str" cm="1">
        <f t="array" ref="T237">_xlfn.IFS(H237&gt;=90,"A",H237&gt;=75,"B",H237&gt;=60,"C",H237&lt;60,"D")</f>
        <v>B</v>
      </c>
      <c r="U237" t="str">
        <f t="shared" si="12"/>
        <v>09:48 AM</v>
      </c>
      <c r="V237" t="str">
        <f t="shared" si="13"/>
        <v>Delayed</v>
      </c>
      <c r="W237" t="str">
        <f t="shared" si="14"/>
        <v>1 Hours 5 Minutes</v>
      </c>
      <c r="X237" t="str">
        <f t="shared" si="15"/>
        <v>Short Time Login</v>
      </c>
      <c r="AA237" s="35" t="s">
        <v>441</v>
      </c>
      <c r="AB237" s="35" t="s">
        <v>318</v>
      </c>
      <c r="AC237" s="35">
        <v>84</v>
      </c>
      <c r="AD237" s="35">
        <v>99</v>
      </c>
      <c r="AE237" s="35" t="s">
        <v>45</v>
      </c>
      <c r="AF237" s="35">
        <v>2000</v>
      </c>
      <c r="AH237" s="35" t="s">
        <v>27</v>
      </c>
    </row>
    <row r="238" spans="1:34">
      <c r="A238" t="s">
        <v>442</v>
      </c>
      <c r="B238" t="s">
        <v>396</v>
      </c>
      <c r="C238">
        <v>28</v>
      </c>
      <c r="D238" t="s">
        <v>35</v>
      </c>
      <c r="E238" t="s">
        <v>39</v>
      </c>
      <c r="F238" t="s">
        <v>57</v>
      </c>
      <c r="G238" t="s">
        <v>58</v>
      </c>
      <c r="H238">
        <v>74</v>
      </c>
      <c r="I238">
        <v>66</v>
      </c>
      <c r="J238" t="s">
        <v>68</v>
      </c>
      <c r="K238">
        <v>12000</v>
      </c>
      <c r="L238">
        <v>8980</v>
      </c>
      <c r="M238">
        <v>4000</v>
      </c>
      <c r="N238" t="s">
        <v>26</v>
      </c>
      <c r="O238" t="s">
        <v>27</v>
      </c>
      <c r="P238" s="1">
        <v>45838</v>
      </c>
      <c r="Q238" s="1">
        <v>45928</v>
      </c>
      <c r="R238" s="2">
        <v>0.36180555555555555</v>
      </c>
      <c r="S238" s="2">
        <v>0.56736111111111109</v>
      </c>
      <c r="T238" t="str" cm="1">
        <f t="array" ref="T238">_xlfn.IFS(H238&gt;=90,"A",H238&gt;=75,"B",H238&gt;=60,"C",H238&lt;60,"D")</f>
        <v>C</v>
      </c>
      <c r="U238" t="str">
        <f t="shared" si="12"/>
        <v>08:41 AM</v>
      </c>
      <c r="V238" t="str">
        <f t="shared" si="13"/>
        <v>On Time</v>
      </c>
      <c r="W238" t="str">
        <f t="shared" si="14"/>
        <v>4 Hours 56 Minutes</v>
      </c>
      <c r="X238" t="str">
        <f t="shared" si="15"/>
        <v>Short Time Login</v>
      </c>
      <c r="AA238" s="34" t="s">
        <v>442</v>
      </c>
      <c r="AB238" s="34" t="s">
        <v>396</v>
      </c>
      <c r="AC238" s="34">
        <v>74</v>
      </c>
      <c r="AD238" s="34">
        <v>66</v>
      </c>
      <c r="AE238" s="34" t="s">
        <v>68</v>
      </c>
      <c r="AF238" s="34">
        <v>4000</v>
      </c>
      <c r="AH238" s="34" t="s">
        <v>27</v>
      </c>
    </row>
    <row r="239" spans="1:34">
      <c r="A239" t="s">
        <v>443</v>
      </c>
      <c r="B239" t="s">
        <v>408</v>
      </c>
      <c r="C239">
        <v>18</v>
      </c>
      <c r="D239" t="s">
        <v>35</v>
      </c>
      <c r="E239" t="s">
        <v>122</v>
      </c>
      <c r="F239" t="s">
        <v>40</v>
      </c>
      <c r="G239" t="s">
        <v>41</v>
      </c>
      <c r="H239">
        <v>56</v>
      </c>
      <c r="I239">
        <v>76</v>
      </c>
      <c r="J239" t="s">
        <v>25</v>
      </c>
      <c r="K239">
        <v>10000</v>
      </c>
      <c r="L239">
        <v>7800</v>
      </c>
      <c r="M239">
        <v>4000</v>
      </c>
      <c r="N239" t="s">
        <v>26</v>
      </c>
      <c r="O239" t="s">
        <v>27</v>
      </c>
      <c r="P239" s="1">
        <v>45791</v>
      </c>
      <c r="Q239" s="1">
        <v>45971</v>
      </c>
      <c r="R239" s="2">
        <v>0.35972222222222222</v>
      </c>
      <c r="S239" s="2">
        <v>0.51249999999999996</v>
      </c>
      <c r="T239" t="str" cm="1">
        <f t="array" ref="T239">_xlfn.IFS(H239&gt;=90,"A",H239&gt;=75,"B",H239&gt;=60,"C",H239&lt;60,"D")</f>
        <v>D</v>
      </c>
      <c r="U239" t="str">
        <f t="shared" si="12"/>
        <v>08:38 AM</v>
      </c>
      <c r="V239" t="str">
        <f t="shared" si="13"/>
        <v>Delayed</v>
      </c>
      <c r="W239" t="str">
        <f t="shared" si="14"/>
        <v>3 Hours 40 Minutes</v>
      </c>
      <c r="X239" t="str">
        <f t="shared" si="15"/>
        <v>Short Time Login</v>
      </c>
      <c r="AA239" s="35" t="s">
        <v>443</v>
      </c>
      <c r="AB239" s="35" t="s">
        <v>408</v>
      </c>
      <c r="AC239" s="35">
        <v>56</v>
      </c>
      <c r="AD239" s="35">
        <v>76</v>
      </c>
      <c r="AE239" s="35" t="s">
        <v>25</v>
      </c>
      <c r="AF239" s="35">
        <v>4000</v>
      </c>
      <c r="AH239" s="35" t="s">
        <v>27</v>
      </c>
    </row>
    <row r="240" spans="1:34">
      <c r="A240" t="s">
        <v>444</v>
      </c>
      <c r="B240" t="s">
        <v>338</v>
      </c>
      <c r="C240">
        <v>19</v>
      </c>
      <c r="D240" t="s">
        <v>35</v>
      </c>
      <c r="E240" t="s">
        <v>30</v>
      </c>
      <c r="F240" t="s">
        <v>63</v>
      </c>
      <c r="G240" t="s">
        <v>64</v>
      </c>
      <c r="H240">
        <v>97</v>
      </c>
      <c r="I240">
        <v>96</v>
      </c>
      <c r="J240" t="s">
        <v>59</v>
      </c>
      <c r="K240">
        <v>20000</v>
      </c>
      <c r="L240">
        <v>19830</v>
      </c>
      <c r="M240">
        <v>2000</v>
      </c>
      <c r="N240" t="s">
        <v>26</v>
      </c>
      <c r="O240" t="s">
        <v>27</v>
      </c>
      <c r="P240" s="1">
        <v>45910</v>
      </c>
      <c r="Q240" s="1">
        <v>45970</v>
      </c>
      <c r="R240" s="2">
        <v>0.36805555555555558</v>
      </c>
      <c r="S240" s="2">
        <v>0.42986111111111114</v>
      </c>
      <c r="T240" t="str" cm="1">
        <f t="array" ref="T240">_xlfn.IFS(H240&gt;=90,"A",H240&gt;=75,"B",H240&gt;=60,"C",H240&lt;60,"D")</f>
        <v>A</v>
      </c>
      <c r="U240" t="str">
        <f t="shared" si="12"/>
        <v>08:50 AM</v>
      </c>
      <c r="V240" t="str">
        <f t="shared" si="13"/>
        <v>On Time</v>
      </c>
      <c r="W240" t="str">
        <f t="shared" si="14"/>
        <v>1 Hours 29 Minutes</v>
      </c>
      <c r="X240" t="str">
        <f t="shared" si="15"/>
        <v>Short Time Login</v>
      </c>
      <c r="AA240" s="34" t="s">
        <v>444</v>
      </c>
      <c r="AB240" s="34" t="s">
        <v>338</v>
      </c>
      <c r="AC240" s="34">
        <v>97</v>
      </c>
      <c r="AD240" s="34">
        <v>96</v>
      </c>
      <c r="AE240" s="34" t="s">
        <v>59</v>
      </c>
      <c r="AF240" s="34">
        <v>2000</v>
      </c>
      <c r="AH240" s="34" t="s">
        <v>27</v>
      </c>
    </row>
    <row r="241" spans="1:34">
      <c r="A241" t="s">
        <v>445</v>
      </c>
      <c r="B241" t="s">
        <v>393</v>
      </c>
      <c r="C241">
        <v>21</v>
      </c>
      <c r="D241" t="s">
        <v>21</v>
      </c>
      <c r="E241" t="s">
        <v>96</v>
      </c>
      <c r="F241" t="s">
        <v>49</v>
      </c>
      <c r="G241" t="s">
        <v>50</v>
      </c>
      <c r="H241">
        <v>75</v>
      </c>
      <c r="I241">
        <v>90</v>
      </c>
      <c r="J241" t="s">
        <v>45</v>
      </c>
      <c r="K241">
        <v>20000</v>
      </c>
      <c r="L241">
        <v>20420</v>
      </c>
      <c r="M241">
        <v>2000</v>
      </c>
      <c r="N241" t="s">
        <v>26</v>
      </c>
      <c r="O241" t="s">
        <v>27</v>
      </c>
      <c r="P241" s="1">
        <v>45711</v>
      </c>
      <c r="Q241" s="1">
        <v>45891</v>
      </c>
      <c r="R241" s="2">
        <v>0.35138888888888886</v>
      </c>
      <c r="S241" s="2">
        <v>0.52361111111111114</v>
      </c>
      <c r="T241" t="str" cm="1">
        <f t="array" ref="T241">_xlfn.IFS(H241&gt;=90,"A",H241&gt;=75,"B",H241&gt;=60,"C",H241&lt;60,"D")</f>
        <v>B</v>
      </c>
      <c r="U241" t="str">
        <f t="shared" si="12"/>
        <v>08:26 AM</v>
      </c>
      <c r="V241" t="str">
        <f t="shared" si="13"/>
        <v>Delayed</v>
      </c>
      <c r="W241" t="str">
        <f t="shared" si="14"/>
        <v>4 Hours 8 Minutes</v>
      </c>
      <c r="X241" t="str">
        <f t="shared" si="15"/>
        <v>Short Time Login</v>
      </c>
      <c r="AA241" s="35" t="s">
        <v>445</v>
      </c>
      <c r="AB241" s="35" t="s">
        <v>393</v>
      </c>
      <c r="AC241" s="35">
        <v>75</v>
      </c>
      <c r="AD241" s="35">
        <v>90</v>
      </c>
      <c r="AE241" s="35" t="s">
        <v>45</v>
      </c>
      <c r="AF241" s="35">
        <v>2000</v>
      </c>
      <c r="AH241" s="35" t="s">
        <v>27</v>
      </c>
    </row>
    <row r="242" spans="1:34">
      <c r="A242" t="s">
        <v>446</v>
      </c>
      <c r="B242" t="s">
        <v>447</v>
      </c>
      <c r="C242">
        <v>24</v>
      </c>
      <c r="D242" t="s">
        <v>35</v>
      </c>
      <c r="E242" t="s">
        <v>62</v>
      </c>
      <c r="F242" t="s">
        <v>31</v>
      </c>
      <c r="G242" t="s">
        <v>32</v>
      </c>
      <c r="H242">
        <v>35</v>
      </c>
      <c r="I242">
        <v>87</v>
      </c>
      <c r="J242" t="s">
        <v>25</v>
      </c>
      <c r="K242">
        <v>20000</v>
      </c>
      <c r="L242">
        <v>21010</v>
      </c>
      <c r="M242">
        <v>2000</v>
      </c>
      <c r="N242" t="s">
        <v>26</v>
      </c>
      <c r="O242" t="s">
        <v>27</v>
      </c>
      <c r="P242" s="1">
        <v>45833</v>
      </c>
      <c r="Q242" s="1">
        <v>45863</v>
      </c>
      <c r="R242" s="2">
        <v>0.3972222222222222</v>
      </c>
      <c r="S242" s="2">
        <v>0.55625000000000002</v>
      </c>
      <c r="T242" t="str" cm="1">
        <f t="array" ref="T242">_xlfn.IFS(H242&gt;=90,"A",H242&gt;=75,"B",H242&gt;=60,"C",H242&lt;60,"D")</f>
        <v>D</v>
      </c>
      <c r="U242" t="str">
        <f t="shared" si="12"/>
        <v>09:32 AM</v>
      </c>
      <c r="V242" t="str">
        <f t="shared" si="13"/>
        <v>On Time</v>
      </c>
      <c r="W242" t="str">
        <f t="shared" si="14"/>
        <v>3 Hours 49 Minutes</v>
      </c>
      <c r="X242" t="str">
        <f t="shared" si="15"/>
        <v>Short Time Login</v>
      </c>
      <c r="AA242" s="34" t="s">
        <v>446</v>
      </c>
      <c r="AB242" s="34" t="s">
        <v>447</v>
      </c>
      <c r="AC242" s="34">
        <v>35</v>
      </c>
      <c r="AD242" s="34">
        <v>87</v>
      </c>
      <c r="AE242" s="34" t="s">
        <v>25</v>
      </c>
      <c r="AF242" s="34">
        <v>2000</v>
      </c>
      <c r="AH242" s="34" t="s">
        <v>27</v>
      </c>
    </row>
    <row r="243" spans="1:34">
      <c r="A243" t="s">
        <v>448</v>
      </c>
      <c r="B243" t="s">
        <v>449</v>
      </c>
      <c r="C243">
        <v>21</v>
      </c>
      <c r="D243" t="s">
        <v>21</v>
      </c>
      <c r="E243" t="s">
        <v>73</v>
      </c>
      <c r="F243" t="s">
        <v>57</v>
      </c>
      <c r="G243" t="s">
        <v>58</v>
      </c>
      <c r="H243">
        <v>83</v>
      </c>
      <c r="I243">
        <v>66</v>
      </c>
      <c r="J243" t="s">
        <v>45</v>
      </c>
      <c r="K243">
        <v>10000</v>
      </c>
      <c r="L243">
        <v>6030</v>
      </c>
      <c r="M243">
        <v>4000</v>
      </c>
      <c r="N243" t="s">
        <v>26</v>
      </c>
      <c r="O243" t="s">
        <v>27</v>
      </c>
      <c r="P243" s="1">
        <v>45907</v>
      </c>
      <c r="Q243" s="1">
        <v>45967</v>
      </c>
      <c r="R243" s="2">
        <v>0.41041666666666665</v>
      </c>
      <c r="S243" s="2">
        <v>0.54027777777777775</v>
      </c>
      <c r="T243" t="str" cm="1">
        <f t="array" ref="T243">_xlfn.IFS(H243&gt;=90,"A",H243&gt;=75,"B",H243&gt;=60,"C",H243&lt;60,"D")</f>
        <v>B</v>
      </c>
      <c r="U243" t="str">
        <f t="shared" si="12"/>
        <v>09:51 AM</v>
      </c>
      <c r="V243" t="str">
        <f t="shared" si="13"/>
        <v>On Time</v>
      </c>
      <c r="W243" t="str">
        <f t="shared" si="14"/>
        <v>3 Hours 7 Minutes</v>
      </c>
      <c r="X243" t="str">
        <f t="shared" si="15"/>
        <v>Short Time Login</v>
      </c>
      <c r="AA243" s="35" t="s">
        <v>448</v>
      </c>
      <c r="AB243" s="35" t="s">
        <v>449</v>
      </c>
      <c r="AC243" s="35">
        <v>83</v>
      </c>
      <c r="AD243" s="35">
        <v>66</v>
      </c>
      <c r="AE243" s="35" t="s">
        <v>45</v>
      </c>
      <c r="AF243" s="35">
        <v>4000</v>
      </c>
      <c r="AH243" s="35" t="s">
        <v>27</v>
      </c>
    </row>
    <row r="244" spans="1:34">
      <c r="A244" t="s">
        <v>450</v>
      </c>
      <c r="B244" t="s">
        <v>451</v>
      </c>
      <c r="C244">
        <v>26</v>
      </c>
      <c r="D244" t="s">
        <v>35</v>
      </c>
      <c r="E244" t="s">
        <v>44</v>
      </c>
      <c r="F244" t="s">
        <v>49</v>
      </c>
      <c r="G244" t="s">
        <v>50</v>
      </c>
      <c r="H244">
        <v>55</v>
      </c>
      <c r="I244">
        <v>81</v>
      </c>
      <c r="J244" t="s">
        <v>25</v>
      </c>
      <c r="K244">
        <v>18000</v>
      </c>
      <c r="L244">
        <v>18060</v>
      </c>
      <c r="M244">
        <v>2000</v>
      </c>
      <c r="N244" t="s">
        <v>26</v>
      </c>
      <c r="O244" t="s">
        <v>27</v>
      </c>
      <c r="P244" s="1">
        <v>45679</v>
      </c>
      <c r="Q244" s="1">
        <v>45739</v>
      </c>
      <c r="R244" s="2">
        <v>0.4548611111111111</v>
      </c>
      <c r="S244" s="2">
        <v>0.63194444444444442</v>
      </c>
      <c r="T244" t="str" cm="1">
        <f t="array" ref="T244">_xlfn.IFS(H244&gt;=90,"A",H244&gt;=75,"B",H244&gt;=60,"C",H244&lt;60,"D")</f>
        <v>D</v>
      </c>
      <c r="U244" t="str">
        <f t="shared" si="12"/>
        <v>10:55 AM</v>
      </c>
      <c r="V244" t="str">
        <f t="shared" si="13"/>
        <v>On Time</v>
      </c>
      <c r="W244" t="str">
        <f t="shared" si="14"/>
        <v>4 Hours 15 Minutes</v>
      </c>
      <c r="X244" t="str">
        <f t="shared" si="15"/>
        <v>Long Time Login</v>
      </c>
      <c r="AA244" s="34" t="s">
        <v>450</v>
      </c>
      <c r="AB244" s="34" t="s">
        <v>451</v>
      </c>
      <c r="AC244" s="34">
        <v>55</v>
      </c>
      <c r="AD244" s="34">
        <v>81</v>
      </c>
      <c r="AE244" s="34" t="s">
        <v>25</v>
      </c>
      <c r="AF244" s="34">
        <v>2000</v>
      </c>
      <c r="AH244" s="34" t="s">
        <v>27</v>
      </c>
    </row>
    <row r="245" spans="1:34">
      <c r="A245" t="s">
        <v>452</v>
      </c>
      <c r="B245" t="s">
        <v>226</v>
      </c>
      <c r="C245">
        <v>26</v>
      </c>
      <c r="D245" t="s">
        <v>21</v>
      </c>
      <c r="E245" t="s">
        <v>30</v>
      </c>
      <c r="F245" t="s">
        <v>88</v>
      </c>
      <c r="G245" t="s">
        <v>89</v>
      </c>
      <c r="H245">
        <v>51</v>
      </c>
      <c r="I245">
        <v>81</v>
      </c>
      <c r="J245" t="s">
        <v>25</v>
      </c>
      <c r="K245">
        <v>18000</v>
      </c>
      <c r="L245">
        <v>18060</v>
      </c>
      <c r="M245">
        <v>2000</v>
      </c>
      <c r="N245" t="s">
        <v>26</v>
      </c>
      <c r="O245" t="s">
        <v>27</v>
      </c>
      <c r="P245" s="1">
        <v>45818</v>
      </c>
      <c r="Q245" s="1">
        <v>45938</v>
      </c>
      <c r="R245" s="2">
        <v>0.45347222222222222</v>
      </c>
      <c r="S245" s="2">
        <v>0.56944444444444442</v>
      </c>
      <c r="T245" t="str" cm="1">
        <f t="array" ref="T245">_xlfn.IFS(H245&gt;=90,"A",H245&gt;=75,"B",H245&gt;=60,"C",H245&lt;60,"D")</f>
        <v>D</v>
      </c>
      <c r="U245" t="str">
        <f t="shared" si="12"/>
        <v>10:53 AM</v>
      </c>
      <c r="V245" t="str">
        <f t="shared" si="13"/>
        <v>Delayed</v>
      </c>
      <c r="W245" t="str">
        <f t="shared" si="14"/>
        <v>2 Hours 47 Minutes</v>
      </c>
      <c r="X245" t="str">
        <f t="shared" si="15"/>
        <v>Long Time Login</v>
      </c>
      <c r="AA245" s="35" t="s">
        <v>452</v>
      </c>
      <c r="AB245" s="35" t="s">
        <v>226</v>
      </c>
      <c r="AC245" s="35">
        <v>51</v>
      </c>
      <c r="AD245" s="35">
        <v>81</v>
      </c>
      <c r="AE245" s="35" t="s">
        <v>25</v>
      </c>
      <c r="AF245" s="35">
        <v>2000</v>
      </c>
      <c r="AH245" s="35" t="s">
        <v>27</v>
      </c>
    </row>
    <row r="246" spans="1:34">
      <c r="A246" t="s">
        <v>453</v>
      </c>
      <c r="B246" t="s">
        <v>302</v>
      </c>
      <c r="C246">
        <v>23</v>
      </c>
      <c r="D246" t="s">
        <v>35</v>
      </c>
      <c r="E246" t="s">
        <v>48</v>
      </c>
      <c r="F246" t="s">
        <v>88</v>
      </c>
      <c r="G246" t="s">
        <v>89</v>
      </c>
      <c r="H246">
        <v>38</v>
      </c>
      <c r="I246">
        <v>99</v>
      </c>
      <c r="J246" t="s">
        <v>25</v>
      </c>
      <c r="K246">
        <v>15000</v>
      </c>
      <c r="L246">
        <v>15110</v>
      </c>
      <c r="M246">
        <v>2000</v>
      </c>
      <c r="N246" t="s">
        <v>26</v>
      </c>
      <c r="O246" t="s">
        <v>27</v>
      </c>
      <c r="P246" s="1">
        <v>45924</v>
      </c>
      <c r="Q246" s="1">
        <v>45954</v>
      </c>
      <c r="R246" s="2">
        <v>0.38611111111111113</v>
      </c>
      <c r="S246" s="2">
        <v>0.50277777777777777</v>
      </c>
      <c r="T246" t="str" cm="1">
        <f t="array" ref="T246">_xlfn.IFS(H246&gt;=90,"A",H246&gt;=75,"B",H246&gt;=60,"C",H246&lt;60,"D")</f>
        <v>D</v>
      </c>
      <c r="U246" t="str">
        <f t="shared" si="12"/>
        <v>09:16 AM</v>
      </c>
      <c r="V246" t="str">
        <f t="shared" si="13"/>
        <v>On Time</v>
      </c>
      <c r="W246" t="str">
        <f t="shared" si="14"/>
        <v>2 Hours 48 Minutes</v>
      </c>
      <c r="X246" t="str">
        <f t="shared" si="15"/>
        <v>Short Time Login</v>
      </c>
      <c r="AA246" s="34" t="s">
        <v>453</v>
      </c>
      <c r="AB246" s="34" t="s">
        <v>302</v>
      </c>
      <c r="AC246" s="34">
        <v>38</v>
      </c>
      <c r="AD246" s="34">
        <v>99</v>
      </c>
      <c r="AE246" s="34" t="s">
        <v>25</v>
      </c>
      <c r="AF246" s="34">
        <v>2000</v>
      </c>
      <c r="AH246" s="34" t="s">
        <v>27</v>
      </c>
    </row>
    <row r="247" spans="1:34">
      <c r="A247" t="s">
        <v>454</v>
      </c>
      <c r="B247" t="s">
        <v>144</v>
      </c>
      <c r="C247">
        <v>26</v>
      </c>
      <c r="D247" t="s">
        <v>35</v>
      </c>
      <c r="E247" t="s">
        <v>113</v>
      </c>
      <c r="F247" t="s">
        <v>49</v>
      </c>
      <c r="G247" t="s">
        <v>50</v>
      </c>
      <c r="H247">
        <v>94</v>
      </c>
      <c r="I247">
        <v>91</v>
      </c>
      <c r="J247" t="s">
        <v>59</v>
      </c>
      <c r="K247">
        <v>15000</v>
      </c>
      <c r="L247">
        <v>15110</v>
      </c>
      <c r="M247">
        <v>2000</v>
      </c>
      <c r="N247" t="s">
        <v>26</v>
      </c>
      <c r="O247" t="s">
        <v>27</v>
      </c>
      <c r="P247" s="1">
        <v>45923</v>
      </c>
      <c r="Q247" s="1">
        <v>46103</v>
      </c>
      <c r="R247" s="2">
        <v>0.4375</v>
      </c>
      <c r="S247" s="2">
        <v>0.52013888888888893</v>
      </c>
      <c r="T247" t="str" cm="1">
        <f t="array" ref="T247">_xlfn.IFS(H247&gt;=90,"A",H247&gt;=75,"B",H247&gt;=60,"C",H247&lt;60,"D")</f>
        <v>A</v>
      </c>
      <c r="U247" t="str">
        <f t="shared" si="12"/>
        <v>10:30 AM</v>
      </c>
      <c r="V247" t="str">
        <f t="shared" si="13"/>
        <v>Delayed</v>
      </c>
      <c r="W247" t="str">
        <f t="shared" si="14"/>
        <v>1 Hours 59 Minutes</v>
      </c>
      <c r="X247" t="str">
        <f t="shared" si="15"/>
        <v>Long Time Login</v>
      </c>
      <c r="AA247" s="35" t="s">
        <v>454</v>
      </c>
      <c r="AB247" s="35" t="s">
        <v>144</v>
      </c>
      <c r="AC247" s="35">
        <v>94</v>
      </c>
      <c r="AD247" s="35">
        <v>91</v>
      </c>
      <c r="AE247" s="35" t="s">
        <v>59</v>
      </c>
      <c r="AF247" s="35">
        <v>2000</v>
      </c>
      <c r="AH247" s="35" t="s">
        <v>27</v>
      </c>
    </row>
    <row r="248" spans="1:34">
      <c r="A248" t="s">
        <v>455</v>
      </c>
      <c r="B248" t="s">
        <v>408</v>
      </c>
      <c r="C248">
        <v>28</v>
      </c>
      <c r="D248" t="s">
        <v>35</v>
      </c>
      <c r="E248" t="s">
        <v>62</v>
      </c>
      <c r="F248" t="s">
        <v>53</v>
      </c>
      <c r="G248" t="s">
        <v>54</v>
      </c>
      <c r="H248">
        <v>46</v>
      </c>
      <c r="I248">
        <v>85</v>
      </c>
      <c r="J248" t="s">
        <v>25</v>
      </c>
      <c r="K248">
        <v>20000</v>
      </c>
      <c r="L248">
        <v>19010</v>
      </c>
      <c r="M248">
        <v>4000</v>
      </c>
      <c r="N248" t="s">
        <v>26</v>
      </c>
      <c r="O248" t="s">
        <v>27</v>
      </c>
      <c r="P248" s="1">
        <v>45911</v>
      </c>
      <c r="Q248" s="1">
        <v>46091</v>
      </c>
      <c r="R248" s="2">
        <v>0.37638888888888888</v>
      </c>
      <c r="S248" s="2">
        <v>0.5493055555555556</v>
      </c>
      <c r="T248" t="str" cm="1">
        <f t="array" ref="T248">_xlfn.IFS(H248&gt;=90,"A",H248&gt;=75,"B",H248&gt;=60,"C",H248&lt;60,"D")</f>
        <v>D</v>
      </c>
      <c r="U248" t="str">
        <f t="shared" si="12"/>
        <v>09:02 AM</v>
      </c>
      <c r="V248" t="str">
        <f t="shared" si="13"/>
        <v>Delayed</v>
      </c>
      <c r="W248" t="str">
        <f t="shared" si="14"/>
        <v>4 Hours 9 Minutes</v>
      </c>
      <c r="X248" t="str">
        <f t="shared" si="15"/>
        <v>Short Time Login</v>
      </c>
      <c r="AA248" s="34" t="s">
        <v>455</v>
      </c>
      <c r="AB248" s="34" t="s">
        <v>408</v>
      </c>
      <c r="AC248" s="34">
        <v>46</v>
      </c>
      <c r="AD248" s="34">
        <v>85</v>
      </c>
      <c r="AE248" s="34" t="s">
        <v>25</v>
      </c>
      <c r="AF248" s="34">
        <v>4000</v>
      </c>
      <c r="AH248" s="34" t="s">
        <v>27</v>
      </c>
    </row>
    <row r="249" spans="1:34">
      <c r="A249" t="s">
        <v>456</v>
      </c>
      <c r="B249" t="s">
        <v>457</v>
      </c>
      <c r="C249">
        <v>24</v>
      </c>
      <c r="D249" t="s">
        <v>35</v>
      </c>
      <c r="E249" t="s">
        <v>48</v>
      </c>
      <c r="F249" t="s">
        <v>63</v>
      </c>
      <c r="G249" t="s">
        <v>64</v>
      </c>
      <c r="H249">
        <v>43</v>
      </c>
      <c r="I249">
        <v>74</v>
      </c>
      <c r="J249" t="s">
        <v>25</v>
      </c>
      <c r="K249">
        <v>20000</v>
      </c>
      <c r="L249">
        <v>20420</v>
      </c>
      <c r="M249">
        <v>2000</v>
      </c>
      <c r="N249" t="s">
        <v>26</v>
      </c>
      <c r="O249" t="s">
        <v>27</v>
      </c>
      <c r="P249" s="1">
        <v>45758</v>
      </c>
      <c r="Q249" s="1">
        <v>45878</v>
      </c>
      <c r="R249" s="2">
        <v>0.34027777777777779</v>
      </c>
      <c r="S249" s="2">
        <v>0.52569444444444446</v>
      </c>
      <c r="T249" t="str" cm="1">
        <f t="array" ref="T249">_xlfn.IFS(H249&gt;=90,"A",H249&gt;=75,"B",H249&gt;=60,"C",H249&lt;60,"D")</f>
        <v>D</v>
      </c>
      <c r="U249" t="str">
        <f t="shared" si="12"/>
        <v>08:10 AM</v>
      </c>
      <c r="V249" t="str">
        <f t="shared" si="13"/>
        <v>Delayed</v>
      </c>
      <c r="W249" t="str">
        <f t="shared" si="14"/>
        <v>4 Hours 27 Minutes</v>
      </c>
      <c r="X249" t="str">
        <f t="shared" si="15"/>
        <v>Short Time Login</v>
      </c>
      <c r="AA249" s="35" t="s">
        <v>456</v>
      </c>
      <c r="AB249" s="35" t="s">
        <v>457</v>
      </c>
      <c r="AC249" s="35">
        <v>43</v>
      </c>
      <c r="AD249" s="35">
        <v>74</v>
      </c>
      <c r="AE249" s="35" t="s">
        <v>25</v>
      </c>
      <c r="AF249" s="35">
        <v>2000</v>
      </c>
      <c r="AH249" s="35" t="s">
        <v>27</v>
      </c>
    </row>
    <row r="250" spans="1:34">
      <c r="A250" t="s">
        <v>458</v>
      </c>
      <c r="B250" t="s">
        <v>83</v>
      </c>
      <c r="C250">
        <v>20</v>
      </c>
      <c r="D250" t="s">
        <v>21</v>
      </c>
      <c r="E250" t="s">
        <v>22</v>
      </c>
      <c r="F250" t="s">
        <v>63</v>
      </c>
      <c r="G250" t="s">
        <v>64</v>
      </c>
      <c r="H250">
        <v>90</v>
      </c>
      <c r="I250">
        <v>69</v>
      </c>
      <c r="J250" t="s">
        <v>59</v>
      </c>
      <c r="K250">
        <v>20000</v>
      </c>
      <c r="L250">
        <v>17830</v>
      </c>
      <c r="M250">
        <v>4000</v>
      </c>
      <c r="N250" t="s">
        <v>26</v>
      </c>
      <c r="O250" t="s">
        <v>127</v>
      </c>
      <c r="P250" s="1">
        <v>45724</v>
      </c>
      <c r="Q250" s="1">
        <v>45844</v>
      </c>
      <c r="R250" s="2">
        <v>0.3611111111111111</v>
      </c>
      <c r="S250" s="2">
        <v>0.44305555555555554</v>
      </c>
      <c r="T250" t="str" cm="1">
        <f t="array" ref="T250">_xlfn.IFS(H250&gt;=90,"A",H250&gt;=75,"B",H250&gt;=60,"C",H250&lt;60,"D")</f>
        <v>A</v>
      </c>
      <c r="U250" t="str">
        <f t="shared" si="12"/>
        <v>08:40 AM</v>
      </c>
      <c r="V250" t="str">
        <f t="shared" si="13"/>
        <v>Delayed</v>
      </c>
      <c r="W250" t="str">
        <f t="shared" si="14"/>
        <v>1 Hours 58 Minutes</v>
      </c>
      <c r="X250" t="str">
        <f t="shared" si="15"/>
        <v>Short Time Login</v>
      </c>
      <c r="AA250" s="34" t="s">
        <v>458</v>
      </c>
      <c r="AB250" s="34" t="s">
        <v>83</v>
      </c>
      <c r="AC250" s="34">
        <v>90</v>
      </c>
      <c r="AD250" s="34">
        <v>69</v>
      </c>
      <c r="AE250" s="34" t="s">
        <v>59</v>
      </c>
      <c r="AF250" s="34">
        <v>4000</v>
      </c>
      <c r="AH250" s="34" t="s">
        <v>127</v>
      </c>
    </row>
    <row r="251" spans="1:34">
      <c r="A251" t="s">
        <v>459</v>
      </c>
      <c r="B251" t="s">
        <v>329</v>
      </c>
      <c r="C251">
        <v>18</v>
      </c>
      <c r="D251" t="s">
        <v>21</v>
      </c>
      <c r="E251" t="s">
        <v>39</v>
      </c>
      <c r="F251" t="s">
        <v>49</v>
      </c>
      <c r="G251" t="s">
        <v>50</v>
      </c>
      <c r="H251">
        <v>66</v>
      </c>
      <c r="I251">
        <v>60</v>
      </c>
      <c r="J251" t="s">
        <v>68</v>
      </c>
      <c r="K251">
        <v>18000</v>
      </c>
      <c r="L251">
        <v>20060</v>
      </c>
      <c r="M251">
        <v>0</v>
      </c>
      <c r="N251" t="s">
        <v>11</v>
      </c>
      <c r="O251" t="s">
        <v>27</v>
      </c>
      <c r="P251" s="1">
        <v>46008</v>
      </c>
      <c r="Q251" s="1">
        <v>46038</v>
      </c>
      <c r="R251" s="2">
        <v>0.39097222222222222</v>
      </c>
      <c r="S251" s="2">
        <v>0.55069444444444449</v>
      </c>
      <c r="T251" t="str" cm="1">
        <f t="array" ref="T251">_xlfn.IFS(H251&gt;=90,"A",H251&gt;=75,"B",H251&gt;=60,"C",H251&lt;60,"D")</f>
        <v>C</v>
      </c>
      <c r="U251" t="str">
        <f t="shared" si="12"/>
        <v>09:23 AM</v>
      </c>
      <c r="V251" t="str">
        <f t="shared" si="13"/>
        <v>On Time</v>
      </c>
      <c r="W251" t="str">
        <f t="shared" si="14"/>
        <v>3 Hours 50 Minutes</v>
      </c>
      <c r="X251" t="str">
        <f t="shared" si="15"/>
        <v>Short Time Login</v>
      </c>
      <c r="AA251" s="35" t="s">
        <v>459</v>
      </c>
      <c r="AB251" s="35" t="s">
        <v>329</v>
      </c>
      <c r="AC251" s="35">
        <v>66</v>
      </c>
      <c r="AD251" s="35">
        <v>60</v>
      </c>
      <c r="AE251" s="35" t="s">
        <v>68</v>
      </c>
      <c r="AF251" s="35">
        <v>0</v>
      </c>
      <c r="AH251" s="35" t="s">
        <v>27</v>
      </c>
    </row>
    <row r="252" spans="1:34">
      <c r="A252" t="s">
        <v>460</v>
      </c>
      <c r="B252" t="s">
        <v>461</v>
      </c>
      <c r="C252">
        <v>24</v>
      </c>
      <c r="D252" t="s">
        <v>21</v>
      </c>
      <c r="E252" t="s">
        <v>39</v>
      </c>
      <c r="F252" t="s">
        <v>40</v>
      </c>
      <c r="G252" t="s">
        <v>41</v>
      </c>
      <c r="H252">
        <v>52</v>
      </c>
      <c r="I252">
        <v>83</v>
      </c>
      <c r="J252" t="s">
        <v>25</v>
      </c>
      <c r="K252">
        <v>10000</v>
      </c>
      <c r="L252">
        <v>11210</v>
      </c>
      <c r="M252">
        <v>0</v>
      </c>
      <c r="N252" t="s">
        <v>11</v>
      </c>
      <c r="O252" t="s">
        <v>27</v>
      </c>
      <c r="P252" s="1">
        <v>45806</v>
      </c>
      <c r="Q252" s="1">
        <v>45866</v>
      </c>
      <c r="R252" s="2">
        <v>0.34166666666666667</v>
      </c>
      <c r="S252" s="2">
        <v>0.3888888888888889</v>
      </c>
      <c r="T252" t="str" cm="1">
        <f t="array" ref="T252">_xlfn.IFS(H252&gt;=90,"A",H252&gt;=75,"B",H252&gt;=60,"C",H252&lt;60,"D")</f>
        <v>D</v>
      </c>
      <c r="U252" t="str">
        <f t="shared" si="12"/>
        <v>08:12 AM</v>
      </c>
      <c r="V252" t="str">
        <f t="shared" si="13"/>
        <v>On Time</v>
      </c>
      <c r="W252" t="str">
        <f t="shared" si="14"/>
        <v>1 Hours 8 Minutes</v>
      </c>
      <c r="X252" t="str">
        <f t="shared" si="15"/>
        <v>Short Time Login</v>
      </c>
      <c r="AA252" s="34" t="s">
        <v>460</v>
      </c>
      <c r="AB252" s="34" t="s">
        <v>461</v>
      </c>
      <c r="AC252" s="34">
        <v>52</v>
      </c>
      <c r="AD252" s="34">
        <v>83</v>
      </c>
      <c r="AE252" s="34" t="s">
        <v>25</v>
      </c>
      <c r="AF252" s="34">
        <v>0</v>
      </c>
      <c r="AH252" s="34" t="s">
        <v>27</v>
      </c>
    </row>
    <row r="253" spans="1:34">
      <c r="A253" t="s">
        <v>462</v>
      </c>
      <c r="B253" t="s">
        <v>77</v>
      </c>
      <c r="C253">
        <v>21</v>
      </c>
      <c r="D253" t="s">
        <v>35</v>
      </c>
      <c r="E253" t="s">
        <v>73</v>
      </c>
      <c r="F253" t="s">
        <v>53</v>
      </c>
      <c r="G253" t="s">
        <v>54</v>
      </c>
      <c r="H253">
        <v>37</v>
      </c>
      <c r="I253">
        <v>84</v>
      </c>
      <c r="J253" t="s">
        <v>25</v>
      </c>
      <c r="K253">
        <v>10000</v>
      </c>
      <c r="L253">
        <v>8030</v>
      </c>
      <c r="M253">
        <v>2000</v>
      </c>
      <c r="N253" t="s">
        <v>26</v>
      </c>
      <c r="O253" t="s">
        <v>27</v>
      </c>
      <c r="P253" s="1">
        <v>45815</v>
      </c>
      <c r="Q253" s="1">
        <v>45935</v>
      </c>
      <c r="R253" s="2">
        <v>0.42916666666666664</v>
      </c>
      <c r="S253" s="2">
        <v>0.47430555555555554</v>
      </c>
      <c r="T253" t="str" cm="1">
        <f t="array" ref="T253">_xlfn.IFS(H253&gt;=90,"A",H253&gt;=75,"B",H253&gt;=60,"C",H253&lt;60,"D")</f>
        <v>D</v>
      </c>
      <c r="U253" t="str">
        <f t="shared" si="12"/>
        <v>10:18 AM</v>
      </c>
      <c r="V253" t="str">
        <f t="shared" si="13"/>
        <v>Delayed</v>
      </c>
      <c r="W253" t="str">
        <f t="shared" si="14"/>
        <v>1 Hours 5 Minutes</v>
      </c>
      <c r="X253" t="str">
        <f t="shared" si="15"/>
        <v>Long Time Login</v>
      </c>
      <c r="AA253" s="35" t="s">
        <v>462</v>
      </c>
      <c r="AB253" s="35" t="s">
        <v>77</v>
      </c>
      <c r="AC253" s="35">
        <v>37</v>
      </c>
      <c r="AD253" s="35">
        <v>84</v>
      </c>
      <c r="AE253" s="35" t="s">
        <v>25</v>
      </c>
      <c r="AF253" s="35">
        <v>2000</v>
      </c>
      <c r="AH253" s="35" t="s">
        <v>27</v>
      </c>
    </row>
    <row r="254" spans="1:34">
      <c r="A254" t="s">
        <v>463</v>
      </c>
      <c r="B254" t="s">
        <v>250</v>
      </c>
      <c r="C254">
        <v>24</v>
      </c>
      <c r="D254" t="s">
        <v>21</v>
      </c>
      <c r="E254" t="s">
        <v>62</v>
      </c>
      <c r="F254" t="s">
        <v>23</v>
      </c>
      <c r="G254" t="s">
        <v>24</v>
      </c>
      <c r="H254">
        <v>68</v>
      </c>
      <c r="I254">
        <v>87</v>
      </c>
      <c r="J254" t="s">
        <v>68</v>
      </c>
      <c r="K254">
        <v>18000</v>
      </c>
      <c r="L254">
        <v>19240</v>
      </c>
      <c r="M254">
        <v>2000</v>
      </c>
      <c r="N254" t="s">
        <v>26</v>
      </c>
      <c r="O254" t="s">
        <v>27</v>
      </c>
      <c r="P254" s="1">
        <v>45723</v>
      </c>
      <c r="Q254" s="1">
        <v>45813</v>
      </c>
      <c r="R254" s="2">
        <v>0.39513888888888887</v>
      </c>
      <c r="S254" s="2">
        <v>0.51944444444444449</v>
      </c>
      <c r="T254" t="str" cm="1">
        <f t="array" ref="T254">_xlfn.IFS(H254&gt;=90,"A",H254&gt;=75,"B",H254&gt;=60,"C",H254&lt;60,"D")</f>
        <v>C</v>
      </c>
      <c r="U254" t="str">
        <f t="shared" si="12"/>
        <v>09:29 AM</v>
      </c>
      <c r="V254" t="str">
        <f t="shared" si="13"/>
        <v>On Time</v>
      </c>
      <c r="W254" t="str">
        <f t="shared" si="14"/>
        <v>2 Hours 59 Minutes</v>
      </c>
      <c r="X254" t="str">
        <f t="shared" si="15"/>
        <v>Short Time Login</v>
      </c>
      <c r="AA254" s="34" t="s">
        <v>463</v>
      </c>
      <c r="AB254" s="34" t="s">
        <v>250</v>
      </c>
      <c r="AC254" s="34">
        <v>68</v>
      </c>
      <c r="AD254" s="34">
        <v>87</v>
      </c>
      <c r="AE254" s="34" t="s">
        <v>68</v>
      </c>
      <c r="AF254" s="34">
        <v>2000</v>
      </c>
      <c r="AH254" s="34" t="s">
        <v>27</v>
      </c>
    </row>
    <row r="255" spans="1:34">
      <c r="A255" t="s">
        <v>464</v>
      </c>
      <c r="B255" t="s">
        <v>465</v>
      </c>
      <c r="C255">
        <v>25</v>
      </c>
      <c r="D255" t="s">
        <v>35</v>
      </c>
      <c r="E255" t="s">
        <v>67</v>
      </c>
      <c r="F255" t="s">
        <v>23</v>
      </c>
      <c r="G255" t="s">
        <v>24</v>
      </c>
      <c r="H255">
        <v>41</v>
      </c>
      <c r="I255">
        <v>85</v>
      </c>
      <c r="J255" t="s">
        <v>25</v>
      </c>
      <c r="K255">
        <v>15000</v>
      </c>
      <c r="L255">
        <v>15930</v>
      </c>
      <c r="M255">
        <v>0</v>
      </c>
      <c r="N255" t="s">
        <v>11</v>
      </c>
      <c r="O255" t="s">
        <v>27</v>
      </c>
      <c r="P255" s="1">
        <v>45658</v>
      </c>
      <c r="Q255" s="1">
        <v>45718</v>
      </c>
      <c r="R255" s="2">
        <v>0.35347222222222224</v>
      </c>
      <c r="S255" s="2">
        <v>0.53819444444444442</v>
      </c>
      <c r="T255" t="str" cm="1">
        <f t="array" ref="T255">_xlfn.IFS(H255&gt;=90,"A",H255&gt;=75,"B",H255&gt;=60,"C",H255&lt;60,"D")</f>
        <v>D</v>
      </c>
      <c r="U255" t="str">
        <f t="shared" si="12"/>
        <v>08:29 AM</v>
      </c>
      <c r="V255" t="str">
        <f t="shared" si="13"/>
        <v>On Time</v>
      </c>
      <c r="W255" t="str">
        <f t="shared" si="14"/>
        <v>4 Hours 26 Minutes</v>
      </c>
      <c r="X255" t="str">
        <f t="shared" si="15"/>
        <v>Short Time Login</v>
      </c>
      <c r="AA255" s="35" t="s">
        <v>464</v>
      </c>
      <c r="AB255" s="35" t="s">
        <v>465</v>
      </c>
      <c r="AC255" s="35">
        <v>41</v>
      </c>
      <c r="AD255" s="35">
        <v>85</v>
      </c>
      <c r="AE255" s="35" t="s">
        <v>25</v>
      </c>
      <c r="AF255" s="35">
        <v>0</v>
      </c>
      <c r="AH255" s="35" t="s">
        <v>27</v>
      </c>
    </row>
    <row r="256" spans="1:34">
      <c r="A256" t="s">
        <v>466</v>
      </c>
      <c r="B256" t="s">
        <v>467</v>
      </c>
      <c r="C256">
        <v>26</v>
      </c>
      <c r="D256" t="s">
        <v>35</v>
      </c>
      <c r="E256" t="s">
        <v>96</v>
      </c>
      <c r="F256" t="s">
        <v>57</v>
      </c>
      <c r="G256" t="s">
        <v>58</v>
      </c>
      <c r="H256">
        <v>91</v>
      </c>
      <c r="I256">
        <v>96</v>
      </c>
      <c r="J256" t="s">
        <v>59</v>
      </c>
      <c r="K256">
        <v>12000</v>
      </c>
      <c r="L256">
        <v>13570</v>
      </c>
      <c r="M256">
        <v>0</v>
      </c>
      <c r="N256" t="s">
        <v>11</v>
      </c>
      <c r="O256" t="s">
        <v>27</v>
      </c>
      <c r="P256" s="1">
        <v>45885</v>
      </c>
      <c r="Q256" s="1">
        <v>46065</v>
      </c>
      <c r="R256" s="2">
        <v>0.38194444444444442</v>
      </c>
      <c r="S256" s="2">
        <v>0.5625</v>
      </c>
      <c r="T256" t="str" cm="1">
        <f t="array" ref="T256">_xlfn.IFS(H256&gt;=90,"A",H256&gt;=75,"B",H256&gt;=60,"C",H256&lt;60,"D")</f>
        <v>A</v>
      </c>
      <c r="U256" t="str">
        <f t="shared" si="12"/>
        <v>09:10 AM</v>
      </c>
      <c r="V256" t="str">
        <f t="shared" si="13"/>
        <v>Delayed</v>
      </c>
      <c r="W256" t="str">
        <f t="shared" si="14"/>
        <v>4 Hours 20 Minutes</v>
      </c>
      <c r="X256" t="str">
        <f t="shared" si="15"/>
        <v>Short Time Login</v>
      </c>
      <c r="AA256" s="34" t="s">
        <v>466</v>
      </c>
      <c r="AB256" s="34" t="s">
        <v>467</v>
      </c>
      <c r="AC256" s="34">
        <v>91</v>
      </c>
      <c r="AD256" s="34">
        <v>96</v>
      </c>
      <c r="AE256" s="34" t="s">
        <v>59</v>
      </c>
      <c r="AF256" s="34">
        <v>0</v>
      </c>
      <c r="AH256" s="34" t="s">
        <v>27</v>
      </c>
    </row>
    <row r="257" spans="1:34">
      <c r="A257" t="s">
        <v>468</v>
      </c>
      <c r="B257" t="s">
        <v>72</v>
      </c>
      <c r="C257">
        <v>26</v>
      </c>
      <c r="D257" t="s">
        <v>21</v>
      </c>
      <c r="E257" t="s">
        <v>30</v>
      </c>
      <c r="F257" t="s">
        <v>57</v>
      </c>
      <c r="G257" t="s">
        <v>58</v>
      </c>
      <c r="H257">
        <v>73</v>
      </c>
      <c r="I257">
        <v>61</v>
      </c>
      <c r="J257" t="s">
        <v>68</v>
      </c>
      <c r="K257">
        <v>20000</v>
      </c>
      <c r="L257">
        <v>18420</v>
      </c>
      <c r="M257">
        <v>4000</v>
      </c>
      <c r="N257" t="s">
        <v>26</v>
      </c>
      <c r="O257" t="s">
        <v>27</v>
      </c>
      <c r="P257" s="1">
        <v>45969</v>
      </c>
      <c r="Q257" s="1">
        <v>46149</v>
      </c>
      <c r="R257" s="2">
        <v>0.34722222222222221</v>
      </c>
      <c r="S257" s="2">
        <v>0.44236111111111109</v>
      </c>
      <c r="T257" t="str" cm="1">
        <f t="array" ref="T257">_xlfn.IFS(H257&gt;=90,"A",H257&gt;=75,"B",H257&gt;=60,"C",H257&lt;60,"D")</f>
        <v>C</v>
      </c>
      <c r="U257" t="str">
        <f t="shared" si="12"/>
        <v>08:20 AM</v>
      </c>
      <c r="V257" t="str">
        <f t="shared" si="13"/>
        <v>Delayed</v>
      </c>
      <c r="W257" t="str">
        <f t="shared" si="14"/>
        <v>2 Hours 17 Minutes</v>
      </c>
      <c r="X257" t="str">
        <f t="shared" si="15"/>
        <v>Short Time Login</v>
      </c>
      <c r="AA257" s="35" t="s">
        <v>468</v>
      </c>
      <c r="AB257" s="35" t="s">
        <v>72</v>
      </c>
      <c r="AC257" s="35">
        <v>73</v>
      </c>
      <c r="AD257" s="35">
        <v>61</v>
      </c>
      <c r="AE257" s="35" t="s">
        <v>68</v>
      </c>
      <c r="AF257" s="35">
        <v>4000</v>
      </c>
      <c r="AH257" s="35" t="s">
        <v>27</v>
      </c>
    </row>
    <row r="258" spans="1:34">
      <c r="A258" t="s">
        <v>469</v>
      </c>
      <c r="B258" t="s">
        <v>95</v>
      </c>
      <c r="C258">
        <v>19</v>
      </c>
      <c r="D258" t="s">
        <v>21</v>
      </c>
      <c r="E258" t="s">
        <v>96</v>
      </c>
      <c r="F258" t="s">
        <v>23</v>
      </c>
      <c r="G258" t="s">
        <v>24</v>
      </c>
      <c r="H258">
        <v>53</v>
      </c>
      <c r="I258">
        <v>89</v>
      </c>
      <c r="J258" t="s">
        <v>25</v>
      </c>
      <c r="K258">
        <v>20000</v>
      </c>
      <c r="L258">
        <v>23600</v>
      </c>
      <c r="M258">
        <v>0</v>
      </c>
      <c r="N258" t="s">
        <v>11</v>
      </c>
      <c r="O258" t="s">
        <v>27</v>
      </c>
      <c r="P258" s="1">
        <v>45660</v>
      </c>
      <c r="Q258" s="1">
        <v>45690</v>
      </c>
      <c r="R258" s="2">
        <v>0.36458333333333331</v>
      </c>
      <c r="S258" s="2">
        <v>0.4513888888888889</v>
      </c>
      <c r="T258" t="str" cm="1">
        <f t="array" ref="T258">_xlfn.IFS(H258&gt;=90,"A",H258&gt;=75,"B",H258&gt;=60,"C",H258&lt;60,"D")</f>
        <v>D</v>
      </c>
      <c r="U258" t="str">
        <f t="shared" ref="U258:U321" si="16">TEXT(R258,"hh:mm AM/PM")</f>
        <v>08:45 AM</v>
      </c>
      <c r="V258" t="str">
        <f t="shared" ref="V258:V321" si="17">IF(_xlfn.DAYS(Q258,P258)&lt;=90,"On Time","Delayed")</f>
        <v>On Time</v>
      </c>
      <c r="W258" t="str">
        <f t="shared" ref="W258:W321" si="18">HOUR(S258-R258)&amp;" Hours "&amp;MINUTE(S258-R258)&amp;" Minutes"</f>
        <v>2 Hours 5 Minutes</v>
      </c>
      <c r="X258" t="str">
        <f t="shared" ref="X258:X321" si="19">IF(R258&gt;TIME(10,0,0),"Long Time Login","Short Time Login")</f>
        <v>Short Time Login</v>
      </c>
      <c r="AA258" s="34" t="s">
        <v>469</v>
      </c>
      <c r="AB258" s="34" t="s">
        <v>95</v>
      </c>
      <c r="AC258" s="34">
        <v>53</v>
      </c>
      <c r="AD258" s="34">
        <v>89</v>
      </c>
      <c r="AE258" s="34" t="s">
        <v>25</v>
      </c>
      <c r="AF258" s="34">
        <v>0</v>
      </c>
      <c r="AH258" s="34" t="s">
        <v>27</v>
      </c>
    </row>
    <row r="259" spans="1:34">
      <c r="A259" t="s">
        <v>470</v>
      </c>
      <c r="B259" t="s">
        <v>471</v>
      </c>
      <c r="C259">
        <v>20</v>
      </c>
      <c r="D259" t="s">
        <v>35</v>
      </c>
      <c r="E259" t="s">
        <v>73</v>
      </c>
      <c r="F259" t="s">
        <v>63</v>
      </c>
      <c r="G259" t="s">
        <v>64</v>
      </c>
      <c r="H259">
        <v>43</v>
      </c>
      <c r="I259">
        <v>70</v>
      </c>
      <c r="J259" t="s">
        <v>25</v>
      </c>
      <c r="K259">
        <v>20000</v>
      </c>
      <c r="L259">
        <v>19010</v>
      </c>
      <c r="M259">
        <v>4000</v>
      </c>
      <c r="N259" t="s">
        <v>26</v>
      </c>
      <c r="O259" t="s">
        <v>27</v>
      </c>
      <c r="P259" s="1">
        <v>45805</v>
      </c>
      <c r="Q259" s="1">
        <v>45835</v>
      </c>
      <c r="R259" s="2">
        <v>0.37361111111111112</v>
      </c>
      <c r="S259" s="2">
        <v>0.47916666666666669</v>
      </c>
      <c r="T259" t="str" cm="1">
        <f t="array" ref="T259">_xlfn.IFS(H259&gt;=90,"A",H259&gt;=75,"B",H259&gt;=60,"C",H259&lt;60,"D")</f>
        <v>D</v>
      </c>
      <c r="U259" t="str">
        <f t="shared" si="16"/>
        <v>08:58 AM</v>
      </c>
      <c r="V259" t="str">
        <f t="shared" si="17"/>
        <v>On Time</v>
      </c>
      <c r="W259" t="str">
        <f t="shared" si="18"/>
        <v>2 Hours 32 Minutes</v>
      </c>
      <c r="X259" t="str">
        <f t="shared" si="19"/>
        <v>Short Time Login</v>
      </c>
      <c r="AA259" s="35" t="s">
        <v>470</v>
      </c>
      <c r="AB259" s="35" t="s">
        <v>471</v>
      </c>
      <c r="AC259" s="35">
        <v>43</v>
      </c>
      <c r="AD259" s="35">
        <v>70</v>
      </c>
      <c r="AE259" s="35" t="s">
        <v>25</v>
      </c>
      <c r="AF259" s="35">
        <v>4000</v>
      </c>
      <c r="AH259" s="35" t="s">
        <v>27</v>
      </c>
    </row>
    <row r="260" spans="1:34">
      <c r="A260" t="s">
        <v>472</v>
      </c>
      <c r="B260" t="s">
        <v>264</v>
      </c>
      <c r="C260">
        <v>26</v>
      </c>
      <c r="D260" t="s">
        <v>35</v>
      </c>
      <c r="E260" t="s">
        <v>122</v>
      </c>
      <c r="F260" t="s">
        <v>57</v>
      </c>
      <c r="G260" t="s">
        <v>58</v>
      </c>
      <c r="H260">
        <v>62</v>
      </c>
      <c r="I260">
        <v>62</v>
      </c>
      <c r="J260" t="s">
        <v>68</v>
      </c>
      <c r="K260">
        <v>18000</v>
      </c>
      <c r="L260">
        <v>17240</v>
      </c>
      <c r="M260">
        <v>4000</v>
      </c>
      <c r="N260" t="s">
        <v>26</v>
      </c>
      <c r="O260" t="s">
        <v>27</v>
      </c>
      <c r="P260" s="1">
        <v>45906</v>
      </c>
      <c r="Q260" s="1">
        <v>45996</v>
      </c>
      <c r="R260" s="2">
        <v>0.38680555555555557</v>
      </c>
      <c r="S260" s="2">
        <v>0.51111111111111107</v>
      </c>
      <c r="T260" t="str" cm="1">
        <f t="array" ref="T260">_xlfn.IFS(H260&gt;=90,"A",H260&gt;=75,"B",H260&gt;=60,"C",H260&lt;60,"D")</f>
        <v>C</v>
      </c>
      <c r="U260" t="str">
        <f t="shared" si="16"/>
        <v>09:17 AM</v>
      </c>
      <c r="V260" t="str">
        <f t="shared" si="17"/>
        <v>On Time</v>
      </c>
      <c r="W260" t="str">
        <f t="shared" si="18"/>
        <v>2 Hours 59 Minutes</v>
      </c>
      <c r="X260" t="str">
        <f t="shared" si="19"/>
        <v>Short Time Login</v>
      </c>
      <c r="AA260" s="34" t="s">
        <v>472</v>
      </c>
      <c r="AB260" s="34" t="s">
        <v>264</v>
      </c>
      <c r="AC260" s="34">
        <v>62</v>
      </c>
      <c r="AD260" s="34">
        <v>62</v>
      </c>
      <c r="AE260" s="34" t="s">
        <v>68</v>
      </c>
      <c r="AF260" s="34">
        <v>4000</v>
      </c>
      <c r="AH260" s="34" t="s">
        <v>27</v>
      </c>
    </row>
    <row r="261" spans="1:34">
      <c r="A261" t="s">
        <v>473</v>
      </c>
      <c r="B261" t="s">
        <v>91</v>
      </c>
      <c r="C261">
        <v>28</v>
      </c>
      <c r="D261" t="s">
        <v>35</v>
      </c>
      <c r="E261" t="s">
        <v>22</v>
      </c>
      <c r="F261" t="s">
        <v>40</v>
      </c>
      <c r="G261" t="s">
        <v>41</v>
      </c>
      <c r="H261">
        <v>76</v>
      </c>
      <c r="I261">
        <v>90</v>
      </c>
      <c r="J261" t="s">
        <v>45</v>
      </c>
      <c r="K261">
        <v>15000</v>
      </c>
      <c r="L261">
        <v>13930</v>
      </c>
      <c r="M261">
        <v>2000</v>
      </c>
      <c r="N261" t="s">
        <v>26</v>
      </c>
      <c r="O261" t="s">
        <v>27</v>
      </c>
      <c r="P261" s="1">
        <v>45713</v>
      </c>
      <c r="Q261" s="1">
        <v>45803</v>
      </c>
      <c r="R261" s="2">
        <v>0.37847222222222221</v>
      </c>
      <c r="S261" s="2">
        <v>0.46805555555555556</v>
      </c>
      <c r="T261" t="str" cm="1">
        <f t="array" ref="T261">_xlfn.IFS(H261&gt;=90,"A",H261&gt;=75,"B",H261&gt;=60,"C",H261&lt;60,"D")</f>
        <v>B</v>
      </c>
      <c r="U261" t="str">
        <f t="shared" si="16"/>
        <v>09:05 AM</v>
      </c>
      <c r="V261" t="str">
        <f t="shared" si="17"/>
        <v>On Time</v>
      </c>
      <c r="W261" t="str">
        <f t="shared" si="18"/>
        <v>2 Hours 9 Minutes</v>
      </c>
      <c r="X261" t="str">
        <f t="shared" si="19"/>
        <v>Short Time Login</v>
      </c>
      <c r="AA261" s="35" t="s">
        <v>473</v>
      </c>
      <c r="AB261" s="35" t="s">
        <v>91</v>
      </c>
      <c r="AC261" s="35">
        <v>76</v>
      </c>
      <c r="AD261" s="35">
        <v>90</v>
      </c>
      <c r="AE261" s="35" t="s">
        <v>45</v>
      </c>
      <c r="AF261" s="35">
        <v>2000</v>
      </c>
      <c r="AH261" s="35" t="s">
        <v>27</v>
      </c>
    </row>
    <row r="262" spans="1:34">
      <c r="A262" t="s">
        <v>474</v>
      </c>
      <c r="B262" t="s">
        <v>91</v>
      </c>
      <c r="C262">
        <v>27</v>
      </c>
      <c r="D262" t="s">
        <v>35</v>
      </c>
      <c r="E262" t="s">
        <v>30</v>
      </c>
      <c r="F262" t="s">
        <v>88</v>
      </c>
      <c r="G262" t="s">
        <v>89</v>
      </c>
      <c r="H262">
        <v>57</v>
      </c>
      <c r="I262">
        <v>67</v>
      </c>
      <c r="J262" t="s">
        <v>25</v>
      </c>
      <c r="K262">
        <v>10000</v>
      </c>
      <c r="L262">
        <v>8620</v>
      </c>
      <c r="M262">
        <v>2000</v>
      </c>
      <c r="N262" t="s">
        <v>26</v>
      </c>
      <c r="O262" t="s">
        <v>127</v>
      </c>
      <c r="P262" s="1">
        <v>45750</v>
      </c>
      <c r="Q262" s="1">
        <v>45810</v>
      </c>
      <c r="R262" s="2">
        <v>0.45555555555555555</v>
      </c>
      <c r="S262" s="2">
        <v>0.50416666666666665</v>
      </c>
      <c r="T262" t="str" cm="1">
        <f t="array" ref="T262">_xlfn.IFS(H262&gt;=90,"A",H262&gt;=75,"B",H262&gt;=60,"C",H262&lt;60,"D")</f>
        <v>D</v>
      </c>
      <c r="U262" t="str">
        <f t="shared" si="16"/>
        <v>10:56 AM</v>
      </c>
      <c r="V262" t="str">
        <f t="shared" si="17"/>
        <v>On Time</v>
      </c>
      <c r="W262" t="str">
        <f t="shared" si="18"/>
        <v>1 Hours 10 Minutes</v>
      </c>
      <c r="X262" t="str">
        <f t="shared" si="19"/>
        <v>Long Time Login</v>
      </c>
      <c r="AA262" s="34" t="s">
        <v>474</v>
      </c>
      <c r="AB262" s="34" t="s">
        <v>91</v>
      </c>
      <c r="AC262" s="34">
        <v>57</v>
      </c>
      <c r="AD262" s="34">
        <v>67</v>
      </c>
      <c r="AE262" s="34" t="s">
        <v>25</v>
      </c>
      <c r="AF262" s="34">
        <v>2000</v>
      </c>
      <c r="AH262" s="34" t="s">
        <v>127</v>
      </c>
    </row>
    <row r="263" spans="1:34">
      <c r="A263" t="s">
        <v>475</v>
      </c>
      <c r="B263" t="s">
        <v>476</v>
      </c>
      <c r="C263">
        <v>26</v>
      </c>
      <c r="D263" t="s">
        <v>21</v>
      </c>
      <c r="E263" t="s">
        <v>67</v>
      </c>
      <c r="F263" t="s">
        <v>23</v>
      </c>
      <c r="G263" t="s">
        <v>24</v>
      </c>
      <c r="H263">
        <v>57</v>
      </c>
      <c r="I263">
        <v>99</v>
      </c>
      <c r="J263" t="s">
        <v>25</v>
      </c>
      <c r="K263">
        <v>12000</v>
      </c>
      <c r="L263">
        <v>9570</v>
      </c>
      <c r="M263">
        <v>4000</v>
      </c>
      <c r="N263" t="s">
        <v>26</v>
      </c>
      <c r="O263" t="s">
        <v>27</v>
      </c>
      <c r="P263" s="1">
        <v>45928</v>
      </c>
      <c r="Q263" s="1">
        <v>46018</v>
      </c>
      <c r="R263" s="2">
        <v>0.36041666666666666</v>
      </c>
      <c r="S263" s="2">
        <v>0.46458333333333335</v>
      </c>
      <c r="T263" t="str" cm="1">
        <f t="array" ref="T263">_xlfn.IFS(H263&gt;=90,"A",H263&gt;=75,"B",H263&gt;=60,"C",H263&lt;60,"D")</f>
        <v>D</v>
      </c>
      <c r="U263" t="str">
        <f t="shared" si="16"/>
        <v>08:39 AM</v>
      </c>
      <c r="V263" t="str">
        <f t="shared" si="17"/>
        <v>On Time</v>
      </c>
      <c r="W263" t="str">
        <f t="shared" si="18"/>
        <v>2 Hours 30 Minutes</v>
      </c>
      <c r="X263" t="str">
        <f t="shared" si="19"/>
        <v>Short Time Login</v>
      </c>
      <c r="AA263" s="35" t="s">
        <v>475</v>
      </c>
      <c r="AB263" s="35" t="s">
        <v>476</v>
      </c>
      <c r="AC263" s="35">
        <v>57</v>
      </c>
      <c r="AD263" s="35">
        <v>99</v>
      </c>
      <c r="AE263" s="35" t="s">
        <v>25</v>
      </c>
      <c r="AF263" s="35">
        <v>4000</v>
      </c>
      <c r="AH263" s="35" t="s">
        <v>27</v>
      </c>
    </row>
    <row r="264" spans="1:34">
      <c r="A264" t="s">
        <v>477</v>
      </c>
      <c r="B264" t="s">
        <v>93</v>
      </c>
      <c r="C264">
        <v>28</v>
      </c>
      <c r="D264" t="s">
        <v>35</v>
      </c>
      <c r="E264" t="s">
        <v>62</v>
      </c>
      <c r="F264" t="s">
        <v>88</v>
      </c>
      <c r="G264" t="s">
        <v>89</v>
      </c>
      <c r="H264">
        <v>93</v>
      </c>
      <c r="I264">
        <v>77</v>
      </c>
      <c r="J264" t="s">
        <v>59</v>
      </c>
      <c r="K264">
        <v>18000</v>
      </c>
      <c r="L264">
        <v>18650</v>
      </c>
      <c r="M264">
        <v>2000</v>
      </c>
      <c r="N264" t="s">
        <v>26</v>
      </c>
      <c r="O264" t="s">
        <v>27</v>
      </c>
      <c r="P264" s="1">
        <v>45706</v>
      </c>
      <c r="Q264" s="1">
        <v>45826</v>
      </c>
      <c r="R264" s="2">
        <v>0.41736111111111113</v>
      </c>
      <c r="S264" s="2">
        <v>0.62152777777777779</v>
      </c>
      <c r="T264" t="str" cm="1">
        <f t="array" ref="T264">_xlfn.IFS(H264&gt;=90,"A",H264&gt;=75,"B",H264&gt;=60,"C",H264&lt;60,"D")</f>
        <v>A</v>
      </c>
      <c r="U264" t="str">
        <f t="shared" si="16"/>
        <v>10:01 AM</v>
      </c>
      <c r="V264" t="str">
        <f t="shared" si="17"/>
        <v>Delayed</v>
      </c>
      <c r="W264" t="str">
        <f t="shared" si="18"/>
        <v>4 Hours 54 Minutes</v>
      </c>
      <c r="X264" t="str">
        <f t="shared" si="19"/>
        <v>Long Time Login</v>
      </c>
      <c r="AA264" s="34" t="s">
        <v>477</v>
      </c>
      <c r="AB264" s="34" t="s">
        <v>93</v>
      </c>
      <c r="AC264" s="34">
        <v>93</v>
      </c>
      <c r="AD264" s="34">
        <v>77</v>
      </c>
      <c r="AE264" s="34" t="s">
        <v>59</v>
      </c>
      <c r="AF264" s="34">
        <v>2000</v>
      </c>
      <c r="AH264" s="34" t="s">
        <v>27</v>
      </c>
    </row>
    <row r="265" spans="1:34">
      <c r="A265" t="s">
        <v>478</v>
      </c>
      <c r="B265" t="s">
        <v>106</v>
      </c>
      <c r="C265">
        <v>21</v>
      </c>
      <c r="D265" t="s">
        <v>35</v>
      </c>
      <c r="E265" t="s">
        <v>36</v>
      </c>
      <c r="F265" t="s">
        <v>31</v>
      </c>
      <c r="G265" t="s">
        <v>32</v>
      </c>
      <c r="H265">
        <v>68</v>
      </c>
      <c r="I265">
        <v>70</v>
      </c>
      <c r="J265" t="s">
        <v>68</v>
      </c>
      <c r="K265">
        <v>10000</v>
      </c>
      <c r="L265">
        <v>7800</v>
      </c>
      <c r="M265">
        <v>4000</v>
      </c>
      <c r="N265" t="s">
        <v>26</v>
      </c>
      <c r="O265" t="s">
        <v>27</v>
      </c>
      <c r="P265" s="1">
        <v>45678</v>
      </c>
      <c r="Q265" s="1">
        <v>45798</v>
      </c>
      <c r="R265" s="2">
        <v>0.33402777777777776</v>
      </c>
      <c r="S265" s="2">
        <v>0.53402777777777777</v>
      </c>
      <c r="T265" t="str" cm="1">
        <f t="array" ref="T265">_xlfn.IFS(H265&gt;=90,"A",H265&gt;=75,"B",H265&gt;=60,"C",H265&lt;60,"D")</f>
        <v>C</v>
      </c>
      <c r="U265" t="str">
        <f t="shared" si="16"/>
        <v>08:01 AM</v>
      </c>
      <c r="V265" t="str">
        <f t="shared" si="17"/>
        <v>Delayed</v>
      </c>
      <c r="W265" t="str">
        <f t="shared" si="18"/>
        <v>4 Hours 48 Minutes</v>
      </c>
      <c r="X265" t="str">
        <f t="shared" si="19"/>
        <v>Short Time Login</v>
      </c>
      <c r="AA265" s="35" t="s">
        <v>478</v>
      </c>
      <c r="AB265" s="35" t="s">
        <v>106</v>
      </c>
      <c r="AC265" s="35">
        <v>68</v>
      </c>
      <c r="AD265" s="35">
        <v>70</v>
      </c>
      <c r="AE265" s="35" t="s">
        <v>68</v>
      </c>
      <c r="AF265" s="35">
        <v>4000</v>
      </c>
      <c r="AH265" s="35" t="s">
        <v>27</v>
      </c>
    </row>
    <row r="266" spans="1:34">
      <c r="A266" t="s">
        <v>479</v>
      </c>
      <c r="B266" t="s">
        <v>318</v>
      </c>
      <c r="C266">
        <v>19</v>
      </c>
      <c r="D266" t="s">
        <v>21</v>
      </c>
      <c r="E266" t="s">
        <v>22</v>
      </c>
      <c r="F266" t="s">
        <v>40</v>
      </c>
      <c r="G266" t="s">
        <v>41</v>
      </c>
      <c r="H266">
        <v>53</v>
      </c>
      <c r="I266">
        <v>72</v>
      </c>
      <c r="J266" t="s">
        <v>25</v>
      </c>
      <c r="K266">
        <v>12000</v>
      </c>
      <c r="L266">
        <v>10980</v>
      </c>
      <c r="M266">
        <v>2000</v>
      </c>
      <c r="N266" t="s">
        <v>26</v>
      </c>
      <c r="O266" t="s">
        <v>27</v>
      </c>
      <c r="P266" s="1">
        <v>45727</v>
      </c>
      <c r="Q266" s="1">
        <v>45847</v>
      </c>
      <c r="R266" s="2">
        <v>0.4548611111111111</v>
      </c>
      <c r="S266" s="2">
        <v>0.51041666666666663</v>
      </c>
      <c r="T266" t="str" cm="1">
        <f t="array" ref="T266">_xlfn.IFS(H266&gt;=90,"A",H266&gt;=75,"B",H266&gt;=60,"C",H266&lt;60,"D")</f>
        <v>D</v>
      </c>
      <c r="U266" t="str">
        <f t="shared" si="16"/>
        <v>10:55 AM</v>
      </c>
      <c r="V266" t="str">
        <f t="shared" si="17"/>
        <v>Delayed</v>
      </c>
      <c r="W266" t="str">
        <f t="shared" si="18"/>
        <v>1 Hours 20 Minutes</v>
      </c>
      <c r="X266" t="str">
        <f t="shared" si="19"/>
        <v>Long Time Login</v>
      </c>
      <c r="AA266" s="34" t="s">
        <v>479</v>
      </c>
      <c r="AB266" s="34" t="s">
        <v>318</v>
      </c>
      <c r="AC266" s="34">
        <v>53</v>
      </c>
      <c r="AD266" s="34">
        <v>72</v>
      </c>
      <c r="AE266" s="34" t="s">
        <v>25</v>
      </c>
      <c r="AF266" s="34">
        <v>2000</v>
      </c>
      <c r="AH266" s="34" t="s">
        <v>27</v>
      </c>
    </row>
    <row r="267" spans="1:34">
      <c r="A267" t="s">
        <v>480</v>
      </c>
      <c r="B267" t="s">
        <v>481</v>
      </c>
      <c r="C267">
        <v>28</v>
      </c>
      <c r="D267" t="s">
        <v>35</v>
      </c>
      <c r="E267" t="s">
        <v>22</v>
      </c>
      <c r="F267" t="s">
        <v>49</v>
      </c>
      <c r="G267" t="s">
        <v>50</v>
      </c>
      <c r="H267">
        <v>89</v>
      </c>
      <c r="I267">
        <v>71</v>
      </c>
      <c r="J267" t="s">
        <v>45</v>
      </c>
      <c r="K267">
        <v>12000</v>
      </c>
      <c r="L267">
        <v>12160</v>
      </c>
      <c r="M267">
        <v>2000</v>
      </c>
      <c r="N267" t="s">
        <v>26</v>
      </c>
      <c r="O267" t="s">
        <v>27</v>
      </c>
      <c r="P267" s="1">
        <v>45721</v>
      </c>
      <c r="Q267" s="1">
        <v>45841</v>
      </c>
      <c r="R267" s="2">
        <v>0.35347222222222224</v>
      </c>
      <c r="S267" s="2">
        <v>0.44444444444444442</v>
      </c>
      <c r="T267" t="str" cm="1">
        <f t="array" ref="T267">_xlfn.IFS(H267&gt;=90,"A",H267&gt;=75,"B",H267&gt;=60,"C",H267&lt;60,"D")</f>
        <v>B</v>
      </c>
      <c r="U267" t="str">
        <f t="shared" si="16"/>
        <v>08:29 AM</v>
      </c>
      <c r="V267" t="str">
        <f t="shared" si="17"/>
        <v>Delayed</v>
      </c>
      <c r="W267" t="str">
        <f t="shared" si="18"/>
        <v>2 Hours 11 Minutes</v>
      </c>
      <c r="X267" t="str">
        <f t="shared" si="19"/>
        <v>Short Time Login</v>
      </c>
      <c r="AA267" s="35" t="s">
        <v>480</v>
      </c>
      <c r="AB267" s="35" t="s">
        <v>481</v>
      </c>
      <c r="AC267" s="35">
        <v>89</v>
      </c>
      <c r="AD267" s="35">
        <v>71</v>
      </c>
      <c r="AE267" s="35" t="s">
        <v>45</v>
      </c>
      <c r="AF267" s="35">
        <v>2000</v>
      </c>
      <c r="AH267" s="35" t="s">
        <v>27</v>
      </c>
    </row>
    <row r="268" spans="1:34">
      <c r="A268" t="s">
        <v>482</v>
      </c>
      <c r="B268" t="s">
        <v>483</v>
      </c>
      <c r="C268">
        <v>22</v>
      </c>
      <c r="D268" t="s">
        <v>21</v>
      </c>
      <c r="E268" t="s">
        <v>22</v>
      </c>
      <c r="F268" t="s">
        <v>88</v>
      </c>
      <c r="G268" t="s">
        <v>89</v>
      </c>
      <c r="H268">
        <v>67</v>
      </c>
      <c r="I268">
        <v>68</v>
      </c>
      <c r="J268" t="s">
        <v>68</v>
      </c>
      <c r="K268">
        <v>10000</v>
      </c>
      <c r="L268">
        <v>11800</v>
      </c>
      <c r="M268">
        <v>0</v>
      </c>
      <c r="N268" t="s">
        <v>11</v>
      </c>
      <c r="O268" t="s">
        <v>27</v>
      </c>
      <c r="P268" s="1">
        <v>46017</v>
      </c>
      <c r="Q268" s="1">
        <v>46197</v>
      </c>
      <c r="R268" s="2">
        <v>0.43680555555555556</v>
      </c>
      <c r="S268" s="2">
        <v>0.48472222222222222</v>
      </c>
      <c r="T268" t="str" cm="1">
        <f t="array" ref="T268">_xlfn.IFS(H268&gt;=90,"A",H268&gt;=75,"B",H268&gt;=60,"C",H268&lt;60,"D")</f>
        <v>C</v>
      </c>
      <c r="U268" t="str">
        <f t="shared" si="16"/>
        <v>10:29 AM</v>
      </c>
      <c r="V268" t="str">
        <f t="shared" si="17"/>
        <v>Delayed</v>
      </c>
      <c r="W268" t="str">
        <f t="shared" si="18"/>
        <v>1 Hours 9 Minutes</v>
      </c>
      <c r="X268" t="str">
        <f t="shared" si="19"/>
        <v>Long Time Login</v>
      </c>
      <c r="AA268" s="34" t="s">
        <v>482</v>
      </c>
      <c r="AB268" s="34" t="s">
        <v>483</v>
      </c>
      <c r="AC268" s="34">
        <v>67</v>
      </c>
      <c r="AD268" s="34">
        <v>68</v>
      </c>
      <c r="AE268" s="34" t="s">
        <v>68</v>
      </c>
      <c r="AF268" s="34">
        <v>0</v>
      </c>
      <c r="AH268" s="34" t="s">
        <v>27</v>
      </c>
    </row>
    <row r="269" spans="1:34">
      <c r="A269" t="s">
        <v>484</v>
      </c>
      <c r="B269" t="s">
        <v>361</v>
      </c>
      <c r="C269">
        <v>27</v>
      </c>
      <c r="D269" t="s">
        <v>21</v>
      </c>
      <c r="E269" t="s">
        <v>44</v>
      </c>
      <c r="F269" t="s">
        <v>40</v>
      </c>
      <c r="G269" t="s">
        <v>41</v>
      </c>
      <c r="H269">
        <v>76</v>
      </c>
      <c r="I269">
        <v>98</v>
      </c>
      <c r="J269" t="s">
        <v>45</v>
      </c>
      <c r="K269">
        <v>10000</v>
      </c>
      <c r="L269">
        <v>7210</v>
      </c>
      <c r="M269">
        <v>4000</v>
      </c>
      <c r="N269" t="s">
        <v>26</v>
      </c>
      <c r="O269" t="s">
        <v>27</v>
      </c>
      <c r="P269" s="1">
        <v>45967</v>
      </c>
      <c r="Q269" s="1">
        <v>46027</v>
      </c>
      <c r="R269" s="2">
        <v>0.45763888888888887</v>
      </c>
      <c r="S269" s="2">
        <v>0.64930555555555558</v>
      </c>
      <c r="T269" t="str" cm="1">
        <f t="array" ref="T269">_xlfn.IFS(H269&gt;=90,"A",H269&gt;=75,"B",H269&gt;=60,"C",H269&lt;60,"D")</f>
        <v>B</v>
      </c>
      <c r="U269" t="str">
        <f t="shared" si="16"/>
        <v>10:59 AM</v>
      </c>
      <c r="V269" t="str">
        <f t="shared" si="17"/>
        <v>On Time</v>
      </c>
      <c r="W269" t="str">
        <f t="shared" si="18"/>
        <v>4 Hours 36 Minutes</v>
      </c>
      <c r="X269" t="str">
        <f t="shared" si="19"/>
        <v>Long Time Login</v>
      </c>
      <c r="AA269" s="35" t="s">
        <v>484</v>
      </c>
      <c r="AB269" s="35" t="s">
        <v>361</v>
      </c>
      <c r="AC269" s="35">
        <v>76</v>
      </c>
      <c r="AD269" s="35">
        <v>98</v>
      </c>
      <c r="AE269" s="35" t="s">
        <v>45</v>
      </c>
      <c r="AF269" s="35">
        <v>4000</v>
      </c>
      <c r="AH269" s="35" t="s">
        <v>27</v>
      </c>
    </row>
    <row r="270" spans="1:34">
      <c r="A270" t="s">
        <v>485</v>
      </c>
      <c r="B270" t="s">
        <v>211</v>
      </c>
      <c r="C270">
        <v>20</v>
      </c>
      <c r="D270" t="s">
        <v>35</v>
      </c>
      <c r="E270" t="s">
        <v>44</v>
      </c>
      <c r="F270" t="s">
        <v>63</v>
      </c>
      <c r="G270" t="s">
        <v>64</v>
      </c>
      <c r="H270">
        <v>73</v>
      </c>
      <c r="I270">
        <v>72</v>
      </c>
      <c r="J270" t="s">
        <v>68</v>
      </c>
      <c r="K270">
        <v>12000</v>
      </c>
      <c r="L270">
        <v>10980</v>
      </c>
      <c r="M270">
        <v>2000</v>
      </c>
      <c r="N270" t="s">
        <v>26</v>
      </c>
      <c r="O270" t="s">
        <v>27</v>
      </c>
      <c r="P270" s="1">
        <v>45969</v>
      </c>
      <c r="Q270" s="1">
        <v>45999</v>
      </c>
      <c r="R270" s="2">
        <v>0.40972222222222221</v>
      </c>
      <c r="S270" s="2">
        <v>0.51736111111111116</v>
      </c>
      <c r="T270" t="str" cm="1">
        <f t="array" ref="T270">_xlfn.IFS(H270&gt;=90,"A",H270&gt;=75,"B",H270&gt;=60,"C",H270&lt;60,"D")</f>
        <v>C</v>
      </c>
      <c r="U270" t="str">
        <f t="shared" si="16"/>
        <v>09:50 AM</v>
      </c>
      <c r="V270" t="str">
        <f t="shared" si="17"/>
        <v>On Time</v>
      </c>
      <c r="W270" t="str">
        <f t="shared" si="18"/>
        <v>2 Hours 35 Minutes</v>
      </c>
      <c r="X270" t="str">
        <f t="shared" si="19"/>
        <v>Short Time Login</v>
      </c>
      <c r="AA270" s="34" t="s">
        <v>485</v>
      </c>
      <c r="AB270" s="34" t="s">
        <v>211</v>
      </c>
      <c r="AC270" s="34">
        <v>73</v>
      </c>
      <c r="AD270" s="34">
        <v>72</v>
      </c>
      <c r="AE270" s="34" t="s">
        <v>68</v>
      </c>
      <c r="AF270" s="34">
        <v>2000</v>
      </c>
      <c r="AH270" s="34" t="s">
        <v>27</v>
      </c>
    </row>
    <row r="271" spans="1:34">
      <c r="A271" t="s">
        <v>486</v>
      </c>
      <c r="B271" t="s">
        <v>487</v>
      </c>
      <c r="C271">
        <v>28</v>
      </c>
      <c r="D271" t="s">
        <v>35</v>
      </c>
      <c r="E271" t="s">
        <v>67</v>
      </c>
      <c r="F271" t="s">
        <v>57</v>
      </c>
      <c r="G271" t="s">
        <v>58</v>
      </c>
      <c r="H271">
        <v>55</v>
      </c>
      <c r="I271">
        <v>75</v>
      </c>
      <c r="J271" t="s">
        <v>25</v>
      </c>
      <c r="K271">
        <v>10000</v>
      </c>
      <c r="L271">
        <v>9210</v>
      </c>
      <c r="M271">
        <v>2000</v>
      </c>
      <c r="N271" t="s">
        <v>26</v>
      </c>
      <c r="O271" t="s">
        <v>27</v>
      </c>
      <c r="P271" s="1">
        <v>45945</v>
      </c>
      <c r="Q271" s="1">
        <v>46065</v>
      </c>
      <c r="R271" s="2">
        <v>0.42638888888888887</v>
      </c>
      <c r="S271" s="2">
        <v>0.62847222222222221</v>
      </c>
      <c r="T271" t="str" cm="1">
        <f t="array" ref="T271">_xlfn.IFS(H271&gt;=90,"A",H271&gt;=75,"B",H271&gt;=60,"C",H271&lt;60,"D")</f>
        <v>D</v>
      </c>
      <c r="U271" t="str">
        <f t="shared" si="16"/>
        <v>10:14 AM</v>
      </c>
      <c r="V271" t="str">
        <f t="shared" si="17"/>
        <v>Delayed</v>
      </c>
      <c r="W271" t="str">
        <f t="shared" si="18"/>
        <v>4 Hours 51 Minutes</v>
      </c>
      <c r="X271" t="str">
        <f t="shared" si="19"/>
        <v>Long Time Login</v>
      </c>
      <c r="AA271" s="35" t="s">
        <v>486</v>
      </c>
      <c r="AB271" s="35" t="s">
        <v>487</v>
      </c>
      <c r="AC271" s="35">
        <v>55</v>
      </c>
      <c r="AD271" s="35">
        <v>75</v>
      </c>
      <c r="AE271" s="35" t="s">
        <v>25</v>
      </c>
      <c r="AF271" s="35">
        <v>2000</v>
      </c>
      <c r="AH271" s="35" t="s">
        <v>27</v>
      </c>
    </row>
    <row r="272" spans="1:34">
      <c r="A272" t="s">
        <v>488</v>
      </c>
      <c r="B272" t="s">
        <v>209</v>
      </c>
      <c r="C272">
        <v>22</v>
      </c>
      <c r="D272" t="s">
        <v>21</v>
      </c>
      <c r="E272" t="s">
        <v>30</v>
      </c>
      <c r="F272" t="s">
        <v>40</v>
      </c>
      <c r="G272" t="s">
        <v>41</v>
      </c>
      <c r="H272">
        <v>86</v>
      </c>
      <c r="I272">
        <v>84</v>
      </c>
      <c r="J272" t="s">
        <v>45</v>
      </c>
      <c r="K272">
        <v>12000</v>
      </c>
      <c r="L272">
        <v>9570</v>
      </c>
      <c r="M272">
        <v>4000</v>
      </c>
      <c r="N272" t="s">
        <v>26</v>
      </c>
      <c r="O272" t="s">
        <v>27</v>
      </c>
      <c r="P272" s="1">
        <v>45997</v>
      </c>
      <c r="Q272" s="1">
        <v>46177</v>
      </c>
      <c r="R272" s="2">
        <v>0.35486111111111113</v>
      </c>
      <c r="S272" s="2">
        <v>0.51041666666666663</v>
      </c>
      <c r="T272" t="str" cm="1">
        <f t="array" ref="T272">_xlfn.IFS(H272&gt;=90,"A",H272&gt;=75,"B",H272&gt;=60,"C",H272&lt;60,"D")</f>
        <v>B</v>
      </c>
      <c r="U272" t="str">
        <f t="shared" si="16"/>
        <v>08:31 AM</v>
      </c>
      <c r="V272" t="str">
        <f t="shared" si="17"/>
        <v>Delayed</v>
      </c>
      <c r="W272" t="str">
        <f t="shared" si="18"/>
        <v>3 Hours 44 Minutes</v>
      </c>
      <c r="X272" t="str">
        <f t="shared" si="19"/>
        <v>Short Time Login</v>
      </c>
      <c r="AA272" s="34" t="s">
        <v>488</v>
      </c>
      <c r="AB272" s="34" t="s">
        <v>209</v>
      </c>
      <c r="AC272" s="34">
        <v>86</v>
      </c>
      <c r="AD272" s="34">
        <v>84</v>
      </c>
      <c r="AE272" s="34" t="s">
        <v>45</v>
      </c>
      <c r="AF272" s="34">
        <v>4000</v>
      </c>
      <c r="AH272" s="34" t="s">
        <v>27</v>
      </c>
    </row>
    <row r="273" spans="1:34">
      <c r="A273" t="s">
        <v>489</v>
      </c>
      <c r="B273" t="s">
        <v>93</v>
      </c>
      <c r="C273">
        <v>23</v>
      </c>
      <c r="D273" t="s">
        <v>35</v>
      </c>
      <c r="E273" t="s">
        <v>30</v>
      </c>
      <c r="F273" t="s">
        <v>49</v>
      </c>
      <c r="G273" t="s">
        <v>50</v>
      </c>
      <c r="H273">
        <v>90</v>
      </c>
      <c r="I273">
        <v>81</v>
      </c>
      <c r="J273" t="s">
        <v>59</v>
      </c>
      <c r="K273">
        <v>15000</v>
      </c>
      <c r="L273">
        <v>11930</v>
      </c>
      <c r="M273">
        <v>4000</v>
      </c>
      <c r="N273" t="s">
        <v>26</v>
      </c>
      <c r="O273" t="s">
        <v>27</v>
      </c>
      <c r="P273" s="1">
        <v>45709</v>
      </c>
      <c r="Q273" s="1">
        <v>45769</v>
      </c>
      <c r="R273" s="2">
        <v>0.37222222222222223</v>
      </c>
      <c r="S273" s="2">
        <v>0.50138888888888888</v>
      </c>
      <c r="T273" t="str" cm="1">
        <f t="array" ref="T273">_xlfn.IFS(H273&gt;=90,"A",H273&gt;=75,"B",H273&gt;=60,"C",H273&lt;60,"D")</f>
        <v>A</v>
      </c>
      <c r="U273" t="str">
        <f t="shared" si="16"/>
        <v>08:56 AM</v>
      </c>
      <c r="V273" t="str">
        <f t="shared" si="17"/>
        <v>On Time</v>
      </c>
      <c r="W273" t="str">
        <f t="shared" si="18"/>
        <v>3 Hours 6 Minutes</v>
      </c>
      <c r="X273" t="str">
        <f t="shared" si="19"/>
        <v>Short Time Login</v>
      </c>
      <c r="AA273" s="35" t="s">
        <v>489</v>
      </c>
      <c r="AB273" s="35" t="s">
        <v>93</v>
      </c>
      <c r="AC273" s="35">
        <v>90</v>
      </c>
      <c r="AD273" s="35">
        <v>81</v>
      </c>
      <c r="AE273" s="35" t="s">
        <v>59</v>
      </c>
      <c r="AF273" s="35">
        <v>4000</v>
      </c>
      <c r="AH273" s="35" t="s">
        <v>27</v>
      </c>
    </row>
    <row r="274" spans="1:34">
      <c r="A274" t="s">
        <v>490</v>
      </c>
      <c r="B274" t="s">
        <v>83</v>
      </c>
      <c r="C274">
        <v>28</v>
      </c>
      <c r="D274" t="s">
        <v>35</v>
      </c>
      <c r="E274" t="s">
        <v>30</v>
      </c>
      <c r="F274" t="s">
        <v>88</v>
      </c>
      <c r="G274" t="s">
        <v>89</v>
      </c>
      <c r="H274">
        <v>57</v>
      </c>
      <c r="I274">
        <v>87</v>
      </c>
      <c r="J274" t="s">
        <v>25</v>
      </c>
      <c r="K274">
        <v>12000</v>
      </c>
      <c r="L274">
        <v>11570</v>
      </c>
      <c r="M274">
        <v>2000</v>
      </c>
      <c r="N274" t="s">
        <v>26</v>
      </c>
      <c r="O274" t="s">
        <v>27</v>
      </c>
      <c r="P274" s="1">
        <v>45729</v>
      </c>
      <c r="Q274" s="1">
        <v>45789</v>
      </c>
      <c r="R274" s="2">
        <v>0.37777777777777777</v>
      </c>
      <c r="S274" s="2">
        <v>0.56111111111111112</v>
      </c>
      <c r="T274" t="str" cm="1">
        <f t="array" ref="T274">_xlfn.IFS(H274&gt;=90,"A",H274&gt;=75,"B",H274&gt;=60,"C",H274&lt;60,"D")</f>
        <v>D</v>
      </c>
      <c r="U274" t="str">
        <f t="shared" si="16"/>
        <v>09:04 AM</v>
      </c>
      <c r="V274" t="str">
        <f t="shared" si="17"/>
        <v>On Time</v>
      </c>
      <c r="W274" t="str">
        <f t="shared" si="18"/>
        <v>4 Hours 24 Minutes</v>
      </c>
      <c r="X274" t="str">
        <f t="shared" si="19"/>
        <v>Short Time Login</v>
      </c>
      <c r="AA274" s="34" t="s">
        <v>490</v>
      </c>
      <c r="AB274" s="34" t="s">
        <v>83</v>
      </c>
      <c r="AC274" s="34">
        <v>57</v>
      </c>
      <c r="AD274" s="34">
        <v>87</v>
      </c>
      <c r="AE274" s="34" t="s">
        <v>25</v>
      </c>
      <c r="AF274" s="34">
        <v>2000</v>
      </c>
      <c r="AH274" s="34" t="s">
        <v>27</v>
      </c>
    </row>
    <row r="275" spans="1:34">
      <c r="A275" t="s">
        <v>491</v>
      </c>
      <c r="B275" t="s">
        <v>38</v>
      </c>
      <c r="C275">
        <v>24</v>
      </c>
      <c r="D275" t="s">
        <v>35</v>
      </c>
      <c r="E275" t="s">
        <v>113</v>
      </c>
      <c r="F275" t="s">
        <v>23</v>
      </c>
      <c r="G275" t="s">
        <v>24</v>
      </c>
      <c r="H275">
        <v>50</v>
      </c>
      <c r="I275">
        <v>64</v>
      </c>
      <c r="J275" t="s">
        <v>25</v>
      </c>
      <c r="K275">
        <v>20000</v>
      </c>
      <c r="L275">
        <v>21010</v>
      </c>
      <c r="M275">
        <v>2000</v>
      </c>
      <c r="N275" t="s">
        <v>26</v>
      </c>
      <c r="O275" t="s">
        <v>27</v>
      </c>
      <c r="P275" s="1">
        <v>45774</v>
      </c>
      <c r="Q275" s="1">
        <v>45954</v>
      </c>
      <c r="R275" s="2">
        <v>0.37430555555555556</v>
      </c>
      <c r="S275" s="2">
        <v>0.50277777777777777</v>
      </c>
      <c r="T275" t="str" cm="1">
        <f t="array" ref="T275">_xlfn.IFS(H275&gt;=90,"A",H275&gt;=75,"B",H275&gt;=60,"C",H275&lt;60,"D")</f>
        <v>D</v>
      </c>
      <c r="U275" t="str">
        <f t="shared" si="16"/>
        <v>08:59 AM</v>
      </c>
      <c r="V275" t="str">
        <f t="shared" si="17"/>
        <v>Delayed</v>
      </c>
      <c r="W275" t="str">
        <f t="shared" si="18"/>
        <v>3 Hours 5 Minutes</v>
      </c>
      <c r="X275" t="str">
        <f t="shared" si="19"/>
        <v>Short Time Login</v>
      </c>
      <c r="AA275" s="35" t="s">
        <v>491</v>
      </c>
      <c r="AB275" s="35" t="s">
        <v>38</v>
      </c>
      <c r="AC275" s="35">
        <v>50</v>
      </c>
      <c r="AD275" s="35">
        <v>64</v>
      </c>
      <c r="AE275" s="35" t="s">
        <v>25</v>
      </c>
      <c r="AF275" s="35">
        <v>2000</v>
      </c>
      <c r="AH275" s="35" t="s">
        <v>27</v>
      </c>
    </row>
    <row r="276" spans="1:34">
      <c r="A276" t="s">
        <v>492</v>
      </c>
      <c r="B276" t="s">
        <v>493</v>
      </c>
      <c r="C276">
        <v>28</v>
      </c>
      <c r="D276" t="s">
        <v>21</v>
      </c>
      <c r="E276" t="s">
        <v>48</v>
      </c>
      <c r="F276" t="s">
        <v>63</v>
      </c>
      <c r="G276" t="s">
        <v>64</v>
      </c>
      <c r="H276">
        <v>63</v>
      </c>
      <c r="I276">
        <v>90</v>
      </c>
      <c r="J276" t="s">
        <v>68</v>
      </c>
      <c r="K276">
        <v>15000</v>
      </c>
      <c r="L276">
        <v>13110</v>
      </c>
      <c r="M276">
        <v>4000</v>
      </c>
      <c r="N276" t="s">
        <v>26</v>
      </c>
      <c r="O276" t="s">
        <v>27</v>
      </c>
      <c r="P276" s="1">
        <v>45832</v>
      </c>
      <c r="Q276" s="1">
        <v>45862</v>
      </c>
      <c r="R276" s="2">
        <v>0.34791666666666665</v>
      </c>
      <c r="S276" s="2">
        <v>0.55347222222222225</v>
      </c>
      <c r="T276" t="str" cm="1">
        <f t="array" ref="T276">_xlfn.IFS(H276&gt;=90,"A",H276&gt;=75,"B",H276&gt;=60,"C",H276&lt;60,"D")</f>
        <v>C</v>
      </c>
      <c r="U276" t="str">
        <f t="shared" si="16"/>
        <v>08:21 AM</v>
      </c>
      <c r="V276" t="str">
        <f t="shared" si="17"/>
        <v>On Time</v>
      </c>
      <c r="W276" t="str">
        <f t="shared" si="18"/>
        <v>4 Hours 56 Minutes</v>
      </c>
      <c r="X276" t="str">
        <f t="shared" si="19"/>
        <v>Short Time Login</v>
      </c>
      <c r="AA276" s="34" t="s">
        <v>492</v>
      </c>
      <c r="AB276" s="34" t="s">
        <v>493</v>
      </c>
      <c r="AC276" s="34">
        <v>63</v>
      </c>
      <c r="AD276" s="34">
        <v>90</v>
      </c>
      <c r="AE276" s="34" t="s">
        <v>68</v>
      </c>
      <c r="AF276" s="34">
        <v>4000</v>
      </c>
      <c r="AH276" s="34" t="s">
        <v>27</v>
      </c>
    </row>
    <row r="277" spans="1:34">
      <c r="A277" t="s">
        <v>494</v>
      </c>
      <c r="B277" t="s">
        <v>495</v>
      </c>
      <c r="C277">
        <v>20</v>
      </c>
      <c r="D277" t="s">
        <v>21</v>
      </c>
      <c r="E277" t="s">
        <v>113</v>
      </c>
      <c r="F277" t="s">
        <v>57</v>
      </c>
      <c r="G277" t="s">
        <v>58</v>
      </c>
      <c r="H277">
        <v>56</v>
      </c>
      <c r="I277">
        <v>99</v>
      </c>
      <c r="J277" t="s">
        <v>25</v>
      </c>
      <c r="K277">
        <v>12000</v>
      </c>
      <c r="L277">
        <v>14160</v>
      </c>
      <c r="M277">
        <v>0</v>
      </c>
      <c r="N277" t="s">
        <v>11</v>
      </c>
      <c r="O277" t="s">
        <v>27</v>
      </c>
      <c r="P277" s="1">
        <v>45739</v>
      </c>
      <c r="Q277" s="1">
        <v>45919</v>
      </c>
      <c r="R277" s="2">
        <v>0.37986111111111109</v>
      </c>
      <c r="S277" s="2">
        <v>0.45624999999999999</v>
      </c>
      <c r="T277" t="str" cm="1">
        <f t="array" ref="T277">_xlfn.IFS(H277&gt;=90,"A",H277&gt;=75,"B",H277&gt;=60,"C",H277&lt;60,"D")</f>
        <v>D</v>
      </c>
      <c r="U277" t="str">
        <f t="shared" si="16"/>
        <v>09:07 AM</v>
      </c>
      <c r="V277" t="str">
        <f t="shared" si="17"/>
        <v>Delayed</v>
      </c>
      <c r="W277" t="str">
        <f t="shared" si="18"/>
        <v>1 Hours 50 Minutes</v>
      </c>
      <c r="X277" t="str">
        <f t="shared" si="19"/>
        <v>Short Time Login</v>
      </c>
      <c r="AA277" s="35" t="s">
        <v>494</v>
      </c>
      <c r="AB277" s="35" t="s">
        <v>495</v>
      </c>
      <c r="AC277" s="35">
        <v>56</v>
      </c>
      <c r="AD277" s="35">
        <v>99</v>
      </c>
      <c r="AE277" s="35" t="s">
        <v>25</v>
      </c>
      <c r="AF277" s="35">
        <v>0</v>
      </c>
      <c r="AH277" s="35" t="s">
        <v>27</v>
      </c>
    </row>
    <row r="278" spans="1:34">
      <c r="A278" t="s">
        <v>496</v>
      </c>
      <c r="B278" t="s">
        <v>43</v>
      </c>
      <c r="C278">
        <v>26</v>
      </c>
      <c r="D278" t="s">
        <v>21</v>
      </c>
      <c r="E278" t="s">
        <v>36</v>
      </c>
      <c r="F278" t="s">
        <v>63</v>
      </c>
      <c r="G278" t="s">
        <v>64</v>
      </c>
      <c r="H278">
        <v>85</v>
      </c>
      <c r="I278">
        <v>90</v>
      </c>
      <c r="J278" t="s">
        <v>45</v>
      </c>
      <c r="K278">
        <v>20000</v>
      </c>
      <c r="L278">
        <v>23600</v>
      </c>
      <c r="M278">
        <v>0</v>
      </c>
      <c r="N278" t="s">
        <v>11</v>
      </c>
      <c r="O278" t="s">
        <v>27</v>
      </c>
      <c r="P278" s="1">
        <v>45867</v>
      </c>
      <c r="Q278" s="1">
        <v>45987</v>
      </c>
      <c r="R278" s="2">
        <v>0.44374999999999998</v>
      </c>
      <c r="S278" s="2">
        <v>0.65208333333333335</v>
      </c>
      <c r="T278" t="str" cm="1">
        <f t="array" ref="T278">_xlfn.IFS(H278&gt;=90,"A",H278&gt;=75,"B",H278&gt;=60,"C",H278&lt;60,"D")</f>
        <v>B</v>
      </c>
      <c r="U278" t="str">
        <f t="shared" si="16"/>
        <v>10:39 AM</v>
      </c>
      <c r="V278" t="str">
        <f t="shared" si="17"/>
        <v>Delayed</v>
      </c>
      <c r="W278" t="str">
        <f t="shared" si="18"/>
        <v>5 Hours 0 Minutes</v>
      </c>
      <c r="X278" t="str">
        <f t="shared" si="19"/>
        <v>Long Time Login</v>
      </c>
      <c r="AA278" s="34" t="s">
        <v>496</v>
      </c>
      <c r="AB278" s="34" t="s">
        <v>43</v>
      </c>
      <c r="AC278" s="34">
        <v>85</v>
      </c>
      <c r="AD278" s="34">
        <v>90</v>
      </c>
      <c r="AE278" s="34" t="s">
        <v>45</v>
      </c>
      <c r="AF278" s="34">
        <v>0</v>
      </c>
      <c r="AH278" s="34" t="s">
        <v>27</v>
      </c>
    </row>
    <row r="279" spans="1:34">
      <c r="A279" t="s">
        <v>497</v>
      </c>
      <c r="B279" t="s">
        <v>467</v>
      </c>
      <c r="C279">
        <v>20</v>
      </c>
      <c r="D279" t="s">
        <v>35</v>
      </c>
      <c r="E279" t="s">
        <v>73</v>
      </c>
      <c r="F279" t="s">
        <v>63</v>
      </c>
      <c r="G279" t="s">
        <v>64</v>
      </c>
      <c r="H279">
        <v>92</v>
      </c>
      <c r="I279">
        <v>65</v>
      </c>
      <c r="J279" t="s">
        <v>59</v>
      </c>
      <c r="K279">
        <v>10000</v>
      </c>
      <c r="L279">
        <v>10030</v>
      </c>
      <c r="M279">
        <v>0</v>
      </c>
      <c r="N279" t="s">
        <v>11</v>
      </c>
      <c r="O279" t="s">
        <v>27</v>
      </c>
      <c r="P279" s="1">
        <v>45787</v>
      </c>
      <c r="Q279" s="1">
        <v>45817</v>
      </c>
      <c r="R279" s="2">
        <v>0.36458333333333331</v>
      </c>
      <c r="S279" s="2">
        <v>0.52708333333333335</v>
      </c>
      <c r="T279" t="str" cm="1">
        <f t="array" ref="T279">_xlfn.IFS(H279&gt;=90,"A",H279&gt;=75,"B",H279&gt;=60,"C",H279&lt;60,"D")</f>
        <v>A</v>
      </c>
      <c r="U279" t="str">
        <f t="shared" si="16"/>
        <v>08:45 AM</v>
      </c>
      <c r="V279" t="str">
        <f t="shared" si="17"/>
        <v>On Time</v>
      </c>
      <c r="W279" t="str">
        <f t="shared" si="18"/>
        <v>3 Hours 54 Minutes</v>
      </c>
      <c r="X279" t="str">
        <f t="shared" si="19"/>
        <v>Short Time Login</v>
      </c>
      <c r="AA279" s="35" t="s">
        <v>497</v>
      </c>
      <c r="AB279" s="35" t="s">
        <v>467</v>
      </c>
      <c r="AC279" s="35">
        <v>92</v>
      </c>
      <c r="AD279" s="35">
        <v>65</v>
      </c>
      <c r="AE279" s="35" t="s">
        <v>59</v>
      </c>
      <c r="AF279" s="35">
        <v>0</v>
      </c>
      <c r="AH279" s="35" t="s">
        <v>27</v>
      </c>
    </row>
    <row r="280" spans="1:34">
      <c r="A280" t="s">
        <v>498</v>
      </c>
      <c r="B280" t="s">
        <v>169</v>
      </c>
      <c r="C280">
        <v>22</v>
      </c>
      <c r="D280" t="s">
        <v>35</v>
      </c>
      <c r="E280" t="s">
        <v>122</v>
      </c>
      <c r="F280" t="s">
        <v>57</v>
      </c>
      <c r="G280" t="s">
        <v>58</v>
      </c>
      <c r="H280">
        <v>86</v>
      </c>
      <c r="I280">
        <v>83</v>
      </c>
      <c r="J280" t="s">
        <v>45</v>
      </c>
      <c r="K280">
        <v>12000</v>
      </c>
      <c r="L280">
        <v>10160</v>
      </c>
      <c r="M280">
        <v>4000</v>
      </c>
      <c r="N280" t="s">
        <v>26</v>
      </c>
      <c r="O280" t="s">
        <v>27</v>
      </c>
      <c r="P280" s="1">
        <v>45737</v>
      </c>
      <c r="Q280" s="1">
        <v>45827</v>
      </c>
      <c r="R280" s="2">
        <v>0.34791666666666665</v>
      </c>
      <c r="S280" s="2">
        <v>0.55555555555555558</v>
      </c>
      <c r="T280" t="str" cm="1">
        <f t="array" ref="T280">_xlfn.IFS(H280&gt;=90,"A",H280&gt;=75,"B",H280&gt;=60,"C",H280&lt;60,"D")</f>
        <v>B</v>
      </c>
      <c r="U280" t="str">
        <f t="shared" si="16"/>
        <v>08:21 AM</v>
      </c>
      <c r="V280" t="str">
        <f t="shared" si="17"/>
        <v>On Time</v>
      </c>
      <c r="W280" t="str">
        <f t="shared" si="18"/>
        <v>4 Hours 59 Minutes</v>
      </c>
      <c r="X280" t="str">
        <f t="shared" si="19"/>
        <v>Short Time Login</v>
      </c>
      <c r="AA280" s="34" t="s">
        <v>498</v>
      </c>
      <c r="AB280" s="34" t="s">
        <v>169</v>
      </c>
      <c r="AC280" s="34">
        <v>86</v>
      </c>
      <c r="AD280" s="34">
        <v>83</v>
      </c>
      <c r="AE280" s="34" t="s">
        <v>45</v>
      </c>
      <c r="AF280" s="34">
        <v>4000</v>
      </c>
      <c r="AH280" s="34" t="s">
        <v>27</v>
      </c>
    </row>
    <row r="281" spans="1:34">
      <c r="A281" t="s">
        <v>499</v>
      </c>
      <c r="B281" t="s">
        <v>500</v>
      </c>
      <c r="C281">
        <v>27</v>
      </c>
      <c r="D281" t="s">
        <v>21</v>
      </c>
      <c r="E281" t="s">
        <v>122</v>
      </c>
      <c r="F281" t="s">
        <v>53</v>
      </c>
      <c r="G281" t="s">
        <v>54</v>
      </c>
      <c r="H281">
        <v>99</v>
      </c>
      <c r="I281">
        <v>75</v>
      </c>
      <c r="J281" t="s">
        <v>59</v>
      </c>
      <c r="K281">
        <v>20000</v>
      </c>
      <c r="L281">
        <v>20420</v>
      </c>
      <c r="M281">
        <v>2000</v>
      </c>
      <c r="N281" t="s">
        <v>26</v>
      </c>
      <c r="O281" t="s">
        <v>27</v>
      </c>
      <c r="P281" s="1">
        <v>46015</v>
      </c>
      <c r="Q281" s="1">
        <v>46045</v>
      </c>
      <c r="R281" s="2">
        <v>0.44236111111111109</v>
      </c>
      <c r="S281" s="2">
        <v>0.54236111111111107</v>
      </c>
      <c r="T281" t="str" cm="1">
        <f t="array" ref="T281">_xlfn.IFS(H281&gt;=90,"A",H281&gt;=75,"B",H281&gt;=60,"C",H281&lt;60,"D")</f>
        <v>A</v>
      </c>
      <c r="U281" t="str">
        <f t="shared" si="16"/>
        <v>10:37 AM</v>
      </c>
      <c r="V281" t="str">
        <f t="shared" si="17"/>
        <v>On Time</v>
      </c>
      <c r="W281" t="str">
        <f t="shared" si="18"/>
        <v>2 Hours 24 Minutes</v>
      </c>
      <c r="X281" t="str">
        <f t="shared" si="19"/>
        <v>Long Time Login</v>
      </c>
      <c r="AA281" s="35" t="s">
        <v>499</v>
      </c>
      <c r="AB281" s="35" t="s">
        <v>500</v>
      </c>
      <c r="AC281" s="35">
        <v>99</v>
      </c>
      <c r="AD281" s="35">
        <v>75</v>
      </c>
      <c r="AE281" s="35" t="s">
        <v>59</v>
      </c>
      <c r="AF281" s="35">
        <v>2000</v>
      </c>
      <c r="AH281" s="35" t="s">
        <v>27</v>
      </c>
    </row>
    <row r="282" spans="1:34">
      <c r="A282" t="s">
        <v>501</v>
      </c>
      <c r="B282" t="s">
        <v>449</v>
      </c>
      <c r="C282">
        <v>22</v>
      </c>
      <c r="D282" t="s">
        <v>21</v>
      </c>
      <c r="E282" t="s">
        <v>22</v>
      </c>
      <c r="F282" t="s">
        <v>49</v>
      </c>
      <c r="G282" t="s">
        <v>50</v>
      </c>
      <c r="H282">
        <v>52</v>
      </c>
      <c r="I282">
        <v>93</v>
      </c>
      <c r="J282" t="s">
        <v>25</v>
      </c>
      <c r="K282">
        <v>20000</v>
      </c>
      <c r="L282">
        <v>17830</v>
      </c>
      <c r="M282">
        <v>4000</v>
      </c>
      <c r="N282" t="s">
        <v>26</v>
      </c>
      <c r="O282" t="s">
        <v>27</v>
      </c>
      <c r="P282" s="1">
        <v>45784</v>
      </c>
      <c r="Q282" s="1">
        <v>45814</v>
      </c>
      <c r="R282" s="2">
        <v>0.3888888888888889</v>
      </c>
      <c r="S282" s="2">
        <v>0.50902777777777775</v>
      </c>
      <c r="T282" t="str" cm="1">
        <f t="array" ref="T282">_xlfn.IFS(H282&gt;=90,"A",H282&gt;=75,"B",H282&gt;=60,"C",H282&lt;60,"D")</f>
        <v>D</v>
      </c>
      <c r="U282" t="str">
        <f t="shared" si="16"/>
        <v>09:20 AM</v>
      </c>
      <c r="V282" t="str">
        <f t="shared" si="17"/>
        <v>On Time</v>
      </c>
      <c r="W282" t="str">
        <f t="shared" si="18"/>
        <v>2 Hours 53 Minutes</v>
      </c>
      <c r="X282" t="str">
        <f t="shared" si="19"/>
        <v>Short Time Login</v>
      </c>
      <c r="AA282" s="34" t="s">
        <v>501</v>
      </c>
      <c r="AB282" s="34" t="s">
        <v>449</v>
      </c>
      <c r="AC282" s="34">
        <v>52</v>
      </c>
      <c r="AD282" s="34">
        <v>93</v>
      </c>
      <c r="AE282" s="34" t="s">
        <v>25</v>
      </c>
      <c r="AF282" s="34">
        <v>4000</v>
      </c>
      <c r="AH282" s="34" t="s">
        <v>27</v>
      </c>
    </row>
    <row r="283" spans="1:34">
      <c r="A283" t="s">
        <v>502</v>
      </c>
      <c r="B283" t="s">
        <v>503</v>
      </c>
      <c r="C283">
        <v>20</v>
      </c>
      <c r="D283" t="s">
        <v>35</v>
      </c>
      <c r="E283" t="s">
        <v>22</v>
      </c>
      <c r="F283" t="s">
        <v>63</v>
      </c>
      <c r="G283" t="s">
        <v>64</v>
      </c>
      <c r="H283">
        <v>54</v>
      </c>
      <c r="I283">
        <v>90</v>
      </c>
      <c r="J283" t="s">
        <v>25</v>
      </c>
      <c r="K283">
        <v>20000</v>
      </c>
      <c r="L283">
        <v>20420</v>
      </c>
      <c r="M283">
        <v>2000</v>
      </c>
      <c r="N283" t="s">
        <v>26</v>
      </c>
      <c r="O283" t="s">
        <v>27</v>
      </c>
      <c r="P283" s="1">
        <v>45778</v>
      </c>
      <c r="Q283" s="1">
        <v>45958</v>
      </c>
      <c r="R283" s="2">
        <v>0.34722222222222221</v>
      </c>
      <c r="S283" s="2">
        <v>0.54305555555555551</v>
      </c>
      <c r="T283" t="str" cm="1">
        <f t="array" ref="T283">_xlfn.IFS(H283&gt;=90,"A",H283&gt;=75,"B",H283&gt;=60,"C",H283&lt;60,"D")</f>
        <v>D</v>
      </c>
      <c r="U283" t="str">
        <f t="shared" si="16"/>
        <v>08:20 AM</v>
      </c>
      <c r="V283" t="str">
        <f t="shared" si="17"/>
        <v>Delayed</v>
      </c>
      <c r="W283" t="str">
        <f t="shared" si="18"/>
        <v>4 Hours 42 Minutes</v>
      </c>
      <c r="X283" t="str">
        <f t="shared" si="19"/>
        <v>Short Time Login</v>
      </c>
      <c r="AA283" s="35" t="s">
        <v>502</v>
      </c>
      <c r="AB283" s="35" t="s">
        <v>503</v>
      </c>
      <c r="AC283" s="35">
        <v>54</v>
      </c>
      <c r="AD283" s="35">
        <v>90</v>
      </c>
      <c r="AE283" s="35" t="s">
        <v>25</v>
      </c>
      <c r="AF283" s="35">
        <v>2000</v>
      </c>
      <c r="AH283" s="35" t="s">
        <v>27</v>
      </c>
    </row>
    <row r="284" spans="1:34">
      <c r="A284" t="s">
        <v>504</v>
      </c>
      <c r="B284" t="s">
        <v>264</v>
      </c>
      <c r="C284">
        <v>25</v>
      </c>
      <c r="D284" t="s">
        <v>21</v>
      </c>
      <c r="E284" t="s">
        <v>30</v>
      </c>
      <c r="F284" t="s">
        <v>49</v>
      </c>
      <c r="G284" t="s">
        <v>50</v>
      </c>
      <c r="H284">
        <v>62</v>
      </c>
      <c r="I284">
        <v>84</v>
      </c>
      <c r="J284" t="s">
        <v>68</v>
      </c>
      <c r="K284">
        <v>20000</v>
      </c>
      <c r="L284">
        <v>19830</v>
      </c>
      <c r="M284">
        <v>2000</v>
      </c>
      <c r="N284" t="s">
        <v>26</v>
      </c>
      <c r="O284" t="s">
        <v>27</v>
      </c>
      <c r="P284" s="1">
        <v>45955</v>
      </c>
      <c r="Q284" s="1">
        <v>46075</v>
      </c>
      <c r="R284" s="2">
        <v>0.45555555555555555</v>
      </c>
      <c r="S284" s="2">
        <v>0.53680555555555554</v>
      </c>
      <c r="T284" t="str" cm="1">
        <f t="array" ref="T284">_xlfn.IFS(H284&gt;=90,"A",H284&gt;=75,"B",H284&gt;=60,"C",H284&lt;60,"D")</f>
        <v>C</v>
      </c>
      <c r="U284" t="str">
        <f t="shared" si="16"/>
        <v>10:56 AM</v>
      </c>
      <c r="V284" t="str">
        <f t="shared" si="17"/>
        <v>Delayed</v>
      </c>
      <c r="W284" t="str">
        <f t="shared" si="18"/>
        <v>1 Hours 57 Minutes</v>
      </c>
      <c r="X284" t="str">
        <f t="shared" si="19"/>
        <v>Long Time Login</v>
      </c>
      <c r="AA284" s="34" t="s">
        <v>504</v>
      </c>
      <c r="AB284" s="34" t="s">
        <v>264</v>
      </c>
      <c r="AC284" s="34">
        <v>62</v>
      </c>
      <c r="AD284" s="34">
        <v>84</v>
      </c>
      <c r="AE284" s="34" t="s">
        <v>68</v>
      </c>
      <c r="AF284" s="34">
        <v>2000</v>
      </c>
      <c r="AH284" s="34" t="s">
        <v>27</v>
      </c>
    </row>
    <row r="285" spans="1:34">
      <c r="A285" t="s">
        <v>505</v>
      </c>
      <c r="B285" t="s">
        <v>108</v>
      </c>
      <c r="C285">
        <v>26</v>
      </c>
      <c r="D285" t="s">
        <v>21</v>
      </c>
      <c r="E285" t="s">
        <v>113</v>
      </c>
      <c r="F285" t="s">
        <v>49</v>
      </c>
      <c r="G285" t="s">
        <v>50</v>
      </c>
      <c r="H285">
        <v>82</v>
      </c>
      <c r="I285">
        <v>69</v>
      </c>
      <c r="J285" t="s">
        <v>45</v>
      </c>
      <c r="K285">
        <v>20000</v>
      </c>
      <c r="L285">
        <v>19010</v>
      </c>
      <c r="M285">
        <v>4000</v>
      </c>
      <c r="N285" t="s">
        <v>26</v>
      </c>
      <c r="O285" t="s">
        <v>127</v>
      </c>
      <c r="P285" s="1">
        <v>45874</v>
      </c>
      <c r="Q285" s="1">
        <v>45904</v>
      </c>
      <c r="R285" s="2">
        <v>0.39930555555555558</v>
      </c>
      <c r="S285" s="2">
        <v>0.44305555555555554</v>
      </c>
      <c r="T285" t="str" cm="1">
        <f t="array" ref="T285">_xlfn.IFS(H285&gt;=90,"A",H285&gt;=75,"B",H285&gt;=60,"C",H285&lt;60,"D")</f>
        <v>B</v>
      </c>
      <c r="U285" t="str">
        <f t="shared" si="16"/>
        <v>09:35 AM</v>
      </c>
      <c r="V285" t="str">
        <f t="shared" si="17"/>
        <v>On Time</v>
      </c>
      <c r="W285" t="str">
        <f t="shared" si="18"/>
        <v>1 Hours 3 Minutes</v>
      </c>
      <c r="X285" t="str">
        <f t="shared" si="19"/>
        <v>Short Time Login</v>
      </c>
      <c r="AA285" s="35" t="s">
        <v>505</v>
      </c>
      <c r="AB285" s="35" t="s">
        <v>108</v>
      </c>
      <c r="AC285" s="35">
        <v>82</v>
      </c>
      <c r="AD285" s="35">
        <v>69</v>
      </c>
      <c r="AE285" s="35" t="s">
        <v>45</v>
      </c>
      <c r="AF285" s="35">
        <v>4000</v>
      </c>
      <c r="AH285" s="35" t="s">
        <v>127</v>
      </c>
    </row>
    <row r="286" spans="1:34">
      <c r="A286" t="s">
        <v>506</v>
      </c>
      <c r="B286" t="s">
        <v>507</v>
      </c>
      <c r="C286">
        <v>22</v>
      </c>
      <c r="D286" t="s">
        <v>21</v>
      </c>
      <c r="E286" t="s">
        <v>36</v>
      </c>
      <c r="F286" t="s">
        <v>57</v>
      </c>
      <c r="G286" t="s">
        <v>58</v>
      </c>
      <c r="H286">
        <v>45</v>
      </c>
      <c r="I286">
        <v>92</v>
      </c>
      <c r="J286" t="s">
        <v>25</v>
      </c>
      <c r="K286">
        <v>12000</v>
      </c>
      <c r="L286">
        <v>9570</v>
      </c>
      <c r="M286">
        <v>4000</v>
      </c>
      <c r="N286" t="s">
        <v>26</v>
      </c>
      <c r="O286" t="s">
        <v>27</v>
      </c>
      <c r="P286" s="1">
        <v>45693</v>
      </c>
      <c r="Q286" s="1">
        <v>45783</v>
      </c>
      <c r="R286" s="2">
        <v>0.43472222222222223</v>
      </c>
      <c r="S286" s="2">
        <v>0.49652777777777779</v>
      </c>
      <c r="T286" t="str" cm="1">
        <f t="array" ref="T286">_xlfn.IFS(H286&gt;=90,"A",H286&gt;=75,"B",H286&gt;=60,"C",H286&lt;60,"D")</f>
        <v>D</v>
      </c>
      <c r="U286" t="str">
        <f t="shared" si="16"/>
        <v>10:26 AM</v>
      </c>
      <c r="V286" t="str">
        <f t="shared" si="17"/>
        <v>On Time</v>
      </c>
      <c r="W286" t="str">
        <f t="shared" si="18"/>
        <v>1 Hours 29 Minutes</v>
      </c>
      <c r="X286" t="str">
        <f t="shared" si="19"/>
        <v>Long Time Login</v>
      </c>
      <c r="AA286" s="34" t="s">
        <v>506</v>
      </c>
      <c r="AB286" s="34" t="s">
        <v>507</v>
      </c>
      <c r="AC286" s="34">
        <v>45</v>
      </c>
      <c r="AD286" s="34">
        <v>92</v>
      </c>
      <c r="AE286" s="34" t="s">
        <v>25</v>
      </c>
      <c r="AF286" s="34">
        <v>4000</v>
      </c>
      <c r="AH286" s="34" t="s">
        <v>27</v>
      </c>
    </row>
    <row r="287" spans="1:34">
      <c r="A287" t="s">
        <v>508</v>
      </c>
      <c r="B287" t="s">
        <v>416</v>
      </c>
      <c r="C287">
        <v>19</v>
      </c>
      <c r="D287" t="s">
        <v>21</v>
      </c>
      <c r="E287" t="s">
        <v>73</v>
      </c>
      <c r="F287" t="s">
        <v>40</v>
      </c>
      <c r="G287" t="s">
        <v>41</v>
      </c>
      <c r="H287">
        <v>46</v>
      </c>
      <c r="I287">
        <v>94</v>
      </c>
      <c r="J287" t="s">
        <v>25</v>
      </c>
      <c r="K287">
        <v>18000</v>
      </c>
      <c r="L287">
        <v>19470</v>
      </c>
      <c r="M287">
        <v>0</v>
      </c>
      <c r="N287" t="s">
        <v>11</v>
      </c>
      <c r="O287" t="s">
        <v>27</v>
      </c>
      <c r="P287" s="1">
        <v>45969</v>
      </c>
      <c r="Q287" s="1">
        <v>46059</v>
      </c>
      <c r="R287" s="2">
        <v>0.45277777777777778</v>
      </c>
      <c r="S287" s="2">
        <v>0.54374999999999996</v>
      </c>
      <c r="T287" t="str" cm="1">
        <f t="array" ref="T287">_xlfn.IFS(H287&gt;=90,"A",H287&gt;=75,"B",H287&gt;=60,"C",H287&lt;60,"D")</f>
        <v>D</v>
      </c>
      <c r="U287" t="str">
        <f t="shared" si="16"/>
        <v>10:52 AM</v>
      </c>
      <c r="V287" t="str">
        <f t="shared" si="17"/>
        <v>On Time</v>
      </c>
      <c r="W287" t="str">
        <f t="shared" si="18"/>
        <v>2 Hours 11 Minutes</v>
      </c>
      <c r="X287" t="str">
        <f t="shared" si="19"/>
        <v>Long Time Login</v>
      </c>
      <c r="AA287" s="35" t="s">
        <v>508</v>
      </c>
      <c r="AB287" s="35" t="s">
        <v>416</v>
      </c>
      <c r="AC287" s="35">
        <v>46</v>
      </c>
      <c r="AD287" s="35">
        <v>94</v>
      </c>
      <c r="AE287" s="35" t="s">
        <v>25</v>
      </c>
      <c r="AF287" s="35">
        <v>0</v>
      </c>
      <c r="AH287" s="35" t="s">
        <v>27</v>
      </c>
    </row>
    <row r="288" spans="1:34">
      <c r="A288" t="s">
        <v>509</v>
      </c>
      <c r="B288" t="s">
        <v>510</v>
      </c>
      <c r="C288">
        <v>25</v>
      </c>
      <c r="D288" t="s">
        <v>21</v>
      </c>
      <c r="E288" t="s">
        <v>30</v>
      </c>
      <c r="F288" t="s">
        <v>23</v>
      </c>
      <c r="G288" t="s">
        <v>24</v>
      </c>
      <c r="H288">
        <v>41</v>
      </c>
      <c r="I288">
        <v>64</v>
      </c>
      <c r="J288" t="s">
        <v>25</v>
      </c>
      <c r="K288">
        <v>15000</v>
      </c>
      <c r="L288">
        <v>14520</v>
      </c>
      <c r="M288">
        <v>2000</v>
      </c>
      <c r="N288" t="s">
        <v>26</v>
      </c>
      <c r="O288" t="s">
        <v>27</v>
      </c>
      <c r="P288" s="1">
        <v>46010</v>
      </c>
      <c r="Q288" s="1">
        <v>46130</v>
      </c>
      <c r="R288" s="2">
        <v>0.40694444444444444</v>
      </c>
      <c r="S288" s="2">
        <v>0.54305555555555551</v>
      </c>
      <c r="T288" t="str" cm="1">
        <f t="array" ref="T288">_xlfn.IFS(H288&gt;=90,"A",H288&gt;=75,"B",H288&gt;=60,"C",H288&lt;60,"D")</f>
        <v>D</v>
      </c>
      <c r="U288" t="str">
        <f t="shared" si="16"/>
        <v>09:46 AM</v>
      </c>
      <c r="V288" t="str">
        <f t="shared" si="17"/>
        <v>Delayed</v>
      </c>
      <c r="W288" t="str">
        <f t="shared" si="18"/>
        <v>3 Hours 16 Minutes</v>
      </c>
      <c r="X288" t="str">
        <f t="shared" si="19"/>
        <v>Short Time Login</v>
      </c>
      <c r="AA288" s="34" t="s">
        <v>509</v>
      </c>
      <c r="AB288" s="34" t="s">
        <v>510</v>
      </c>
      <c r="AC288" s="34">
        <v>41</v>
      </c>
      <c r="AD288" s="34">
        <v>64</v>
      </c>
      <c r="AE288" s="34" t="s">
        <v>25</v>
      </c>
      <c r="AF288" s="34">
        <v>2000</v>
      </c>
      <c r="AH288" s="34" t="s">
        <v>27</v>
      </c>
    </row>
    <row r="289" spans="1:34">
      <c r="A289" t="s">
        <v>511</v>
      </c>
      <c r="B289" t="s">
        <v>106</v>
      </c>
      <c r="C289">
        <v>26</v>
      </c>
      <c r="D289" t="s">
        <v>21</v>
      </c>
      <c r="E289" t="s">
        <v>73</v>
      </c>
      <c r="F289" t="s">
        <v>88</v>
      </c>
      <c r="G289" t="s">
        <v>89</v>
      </c>
      <c r="H289">
        <v>46</v>
      </c>
      <c r="I289">
        <v>88</v>
      </c>
      <c r="J289" t="s">
        <v>25</v>
      </c>
      <c r="K289">
        <v>20000</v>
      </c>
      <c r="L289">
        <v>17830</v>
      </c>
      <c r="M289">
        <v>4000</v>
      </c>
      <c r="N289" t="s">
        <v>26</v>
      </c>
      <c r="O289" t="s">
        <v>27</v>
      </c>
      <c r="P289" s="1">
        <v>46019</v>
      </c>
      <c r="Q289" s="1">
        <v>46109</v>
      </c>
      <c r="R289" s="2">
        <v>0.45416666666666666</v>
      </c>
      <c r="S289" s="2">
        <v>0.54513888888888884</v>
      </c>
      <c r="T289" t="str" cm="1">
        <f t="array" ref="T289">_xlfn.IFS(H289&gt;=90,"A",H289&gt;=75,"B",H289&gt;=60,"C",H289&lt;60,"D")</f>
        <v>D</v>
      </c>
      <c r="U289" t="str">
        <f t="shared" si="16"/>
        <v>10:54 AM</v>
      </c>
      <c r="V289" t="str">
        <f t="shared" si="17"/>
        <v>On Time</v>
      </c>
      <c r="W289" t="str">
        <f t="shared" si="18"/>
        <v>2 Hours 11 Minutes</v>
      </c>
      <c r="X289" t="str">
        <f t="shared" si="19"/>
        <v>Long Time Login</v>
      </c>
      <c r="AA289" s="35" t="s">
        <v>511</v>
      </c>
      <c r="AB289" s="35" t="s">
        <v>106</v>
      </c>
      <c r="AC289" s="35">
        <v>46</v>
      </c>
      <c r="AD289" s="35">
        <v>88</v>
      </c>
      <c r="AE289" s="35" t="s">
        <v>25</v>
      </c>
      <c r="AF289" s="35">
        <v>4000</v>
      </c>
      <c r="AH289" s="35" t="s">
        <v>27</v>
      </c>
    </row>
    <row r="290" spans="1:34">
      <c r="A290" t="s">
        <v>512</v>
      </c>
      <c r="B290" t="s">
        <v>419</v>
      </c>
      <c r="C290">
        <v>22</v>
      </c>
      <c r="D290" t="s">
        <v>35</v>
      </c>
      <c r="E290" t="s">
        <v>73</v>
      </c>
      <c r="F290" t="s">
        <v>57</v>
      </c>
      <c r="G290" t="s">
        <v>58</v>
      </c>
      <c r="H290">
        <v>87</v>
      </c>
      <c r="I290">
        <v>72</v>
      </c>
      <c r="J290" t="s">
        <v>45</v>
      </c>
      <c r="K290">
        <v>10000</v>
      </c>
      <c r="L290">
        <v>6030</v>
      </c>
      <c r="M290">
        <v>4000</v>
      </c>
      <c r="N290" t="s">
        <v>26</v>
      </c>
      <c r="O290" t="s">
        <v>27</v>
      </c>
      <c r="P290" s="1">
        <v>45673</v>
      </c>
      <c r="Q290" s="1">
        <v>45793</v>
      </c>
      <c r="R290" s="2">
        <v>0.35486111111111113</v>
      </c>
      <c r="S290" s="2">
        <v>0.5</v>
      </c>
      <c r="T290" t="str" cm="1">
        <f t="array" ref="T290">_xlfn.IFS(H290&gt;=90,"A",H290&gt;=75,"B",H290&gt;=60,"C",H290&lt;60,"D")</f>
        <v>B</v>
      </c>
      <c r="U290" t="str">
        <f t="shared" si="16"/>
        <v>08:31 AM</v>
      </c>
      <c r="V290" t="str">
        <f t="shared" si="17"/>
        <v>Delayed</v>
      </c>
      <c r="W290" t="str">
        <f t="shared" si="18"/>
        <v>3 Hours 29 Minutes</v>
      </c>
      <c r="X290" t="str">
        <f t="shared" si="19"/>
        <v>Short Time Login</v>
      </c>
      <c r="AA290" s="34" t="s">
        <v>512</v>
      </c>
      <c r="AB290" s="34" t="s">
        <v>419</v>
      </c>
      <c r="AC290" s="34">
        <v>87</v>
      </c>
      <c r="AD290" s="34">
        <v>72</v>
      </c>
      <c r="AE290" s="34" t="s">
        <v>45</v>
      </c>
      <c r="AF290" s="34">
        <v>4000</v>
      </c>
      <c r="AH290" s="34" t="s">
        <v>27</v>
      </c>
    </row>
    <row r="291" spans="1:34">
      <c r="A291" t="s">
        <v>513</v>
      </c>
      <c r="B291" t="s">
        <v>323</v>
      </c>
      <c r="C291">
        <v>28</v>
      </c>
      <c r="D291" t="s">
        <v>21</v>
      </c>
      <c r="E291" t="s">
        <v>73</v>
      </c>
      <c r="F291" t="s">
        <v>57</v>
      </c>
      <c r="G291" t="s">
        <v>58</v>
      </c>
      <c r="H291">
        <v>99</v>
      </c>
      <c r="I291">
        <v>86</v>
      </c>
      <c r="J291" t="s">
        <v>59</v>
      </c>
      <c r="K291">
        <v>15000</v>
      </c>
      <c r="L291">
        <v>13110</v>
      </c>
      <c r="M291">
        <v>4000</v>
      </c>
      <c r="N291" t="s">
        <v>26</v>
      </c>
      <c r="O291" t="s">
        <v>27</v>
      </c>
      <c r="P291" s="1">
        <v>45703</v>
      </c>
      <c r="Q291" s="1">
        <v>45823</v>
      </c>
      <c r="R291" s="2">
        <v>0.42916666666666664</v>
      </c>
      <c r="S291" s="2">
        <v>0.6333333333333333</v>
      </c>
      <c r="T291" t="str" cm="1">
        <f t="array" ref="T291">_xlfn.IFS(H291&gt;=90,"A",H291&gt;=75,"B",H291&gt;=60,"C",H291&lt;60,"D")</f>
        <v>A</v>
      </c>
      <c r="U291" t="str">
        <f t="shared" si="16"/>
        <v>10:18 AM</v>
      </c>
      <c r="V291" t="str">
        <f t="shared" si="17"/>
        <v>Delayed</v>
      </c>
      <c r="W291" t="str">
        <f t="shared" si="18"/>
        <v>4 Hours 54 Minutes</v>
      </c>
      <c r="X291" t="str">
        <f t="shared" si="19"/>
        <v>Long Time Login</v>
      </c>
      <c r="AA291" s="35" t="s">
        <v>513</v>
      </c>
      <c r="AB291" s="35" t="s">
        <v>323</v>
      </c>
      <c r="AC291" s="35">
        <v>99</v>
      </c>
      <c r="AD291" s="35">
        <v>86</v>
      </c>
      <c r="AE291" s="35" t="s">
        <v>59</v>
      </c>
      <c r="AF291" s="35">
        <v>4000</v>
      </c>
      <c r="AH291" s="35" t="s">
        <v>27</v>
      </c>
    </row>
    <row r="292" spans="1:34">
      <c r="A292" t="s">
        <v>514</v>
      </c>
      <c r="B292" t="s">
        <v>451</v>
      </c>
      <c r="C292">
        <v>27</v>
      </c>
      <c r="D292" t="s">
        <v>21</v>
      </c>
      <c r="E292" t="s">
        <v>62</v>
      </c>
      <c r="F292" t="s">
        <v>31</v>
      </c>
      <c r="G292" t="s">
        <v>32</v>
      </c>
      <c r="H292">
        <v>46</v>
      </c>
      <c r="I292">
        <v>70</v>
      </c>
      <c r="J292" t="s">
        <v>25</v>
      </c>
      <c r="K292">
        <v>12000</v>
      </c>
      <c r="L292">
        <v>9570</v>
      </c>
      <c r="M292">
        <v>4000</v>
      </c>
      <c r="N292" t="s">
        <v>26</v>
      </c>
      <c r="O292" t="s">
        <v>27</v>
      </c>
      <c r="P292" s="1">
        <v>45710</v>
      </c>
      <c r="Q292" s="1">
        <v>45830</v>
      </c>
      <c r="R292" s="2">
        <v>0.3527777777777778</v>
      </c>
      <c r="S292" s="2">
        <v>0.43958333333333333</v>
      </c>
      <c r="T292" t="str" cm="1">
        <f t="array" ref="T292">_xlfn.IFS(H292&gt;=90,"A",H292&gt;=75,"B",H292&gt;=60,"C",H292&lt;60,"D")</f>
        <v>D</v>
      </c>
      <c r="U292" t="str">
        <f t="shared" si="16"/>
        <v>08:28 AM</v>
      </c>
      <c r="V292" t="str">
        <f t="shared" si="17"/>
        <v>Delayed</v>
      </c>
      <c r="W292" t="str">
        <f t="shared" si="18"/>
        <v>2 Hours 5 Minutes</v>
      </c>
      <c r="X292" t="str">
        <f t="shared" si="19"/>
        <v>Short Time Login</v>
      </c>
      <c r="AA292" s="34" t="s">
        <v>514</v>
      </c>
      <c r="AB292" s="34" t="s">
        <v>451</v>
      </c>
      <c r="AC292" s="34">
        <v>46</v>
      </c>
      <c r="AD292" s="34">
        <v>70</v>
      </c>
      <c r="AE292" s="34" t="s">
        <v>25</v>
      </c>
      <c r="AF292" s="34">
        <v>4000</v>
      </c>
      <c r="AH292" s="34" t="s">
        <v>27</v>
      </c>
    </row>
    <row r="293" spans="1:34">
      <c r="A293" t="s">
        <v>515</v>
      </c>
      <c r="B293" t="s">
        <v>250</v>
      </c>
      <c r="C293">
        <v>23</v>
      </c>
      <c r="D293" t="s">
        <v>35</v>
      </c>
      <c r="E293" t="s">
        <v>39</v>
      </c>
      <c r="F293" t="s">
        <v>63</v>
      </c>
      <c r="G293" t="s">
        <v>64</v>
      </c>
      <c r="H293">
        <v>61</v>
      </c>
      <c r="I293">
        <v>76</v>
      </c>
      <c r="J293" t="s">
        <v>68</v>
      </c>
      <c r="K293">
        <v>18000</v>
      </c>
      <c r="L293">
        <v>15470</v>
      </c>
      <c r="M293">
        <v>4000</v>
      </c>
      <c r="N293" t="s">
        <v>26</v>
      </c>
      <c r="O293" t="s">
        <v>27</v>
      </c>
      <c r="P293" s="1">
        <v>45696</v>
      </c>
      <c r="Q293" s="1">
        <v>45876</v>
      </c>
      <c r="R293" s="2">
        <v>0.42986111111111114</v>
      </c>
      <c r="S293" s="2">
        <v>0.47361111111111109</v>
      </c>
      <c r="T293" t="str" cm="1">
        <f t="array" ref="T293">_xlfn.IFS(H293&gt;=90,"A",H293&gt;=75,"B",H293&gt;=60,"C",H293&lt;60,"D")</f>
        <v>C</v>
      </c>
      <c r="U293" t="str">
        <f t="shared" si="16"/>
        <v>10:19 AM</v>
      </c>
      <c r="V293" t="str">
        <f t="shared" si="17"/>
        <v>Delayed</v>
      </c>
      <c r="W293" t="str">
        <f t="shared" si="18"/>
        <v>1 Hours 3 Minutes</v>
      </c>
      <c r="X293" t="str">
        <f t="shared" si="19"/>
        <v>Long Time Login</v>
      </c>
      <c r="AA293" s="35" t="s">
        <v>515</v>
      </c>
      <c r="AB293" s="35" t="s">
        <v>250</v>
      </c>
      <c r="AC293" s="35">
        <v>61</v>
      </c>
      <c r="AD293" s="35">
        <v>76</v>
      </c>
      <c r="AE293" s="35" t="s">
        <v>68</v>
      </c>
      <c r="AF293" s="35">
        <v>4000</v>
      </c>
      <c r="AH293" s="35" t="s">
        <v>27</v>
      </c>
    </row>
    <row r="294" spans="1:34">
      <c r="A294" t="s">
        <v>516</v>
      </c>
      <c r="B294" t="s">
        <v>419</v>
      </c>
      <c r="C294">
        <v>26</v>
      </c>
      <c r="D294" t="s">
        <v>35</v>
      </c>
      <c r="E294" t="s">
        <v>62</v>
      </c>
      <c r="F294" t="s">
        <v>63</v>
      </c>
      <c r="G294" t="s">
        <v>64</v>
      </c>
      <c r="H294">
        <v>79</v>
      </c>
      <c r="I294">
        <v>61</v>
      </c>
      <c r="J294" t="s">
        <v>45</v>
      </c>
      <c r="K294">
        <v>18000</v>
      </c>
      <c r="L294">
        <v>20060</v>
      </c>
      <c r="M294">
        <v>0</v>
      </c>
      <c r="N294" t="s">
        <v>11</v>
      </c>
      <c r="O294" t="s">
        <v>27</v>
      </c>
      <c r="P294" s="1">
        <v>45761</v>
      </c>
      <c r="Q294" s="1">
        <v>45881</v>
      </c>
      <c r="R294" s="2">
        <v>0.44722222222222224</v>
      </c>
      <c r="S294" s="2">
        <v>0.62986111111111109</v>
      </c>
      <c r="T294" t="str" cm="1">
        <f t="array" ref="T294">_xlfn.IFS(H294&gt;=90,"A",H294&gt;=75,"B",H294&gt;=60,"C",H294&lt;60,"D")</f>
        <v>B</v>
      </c>
      <c r="U294" t="str">
        <f t="shared" si="16"/>
        <v>10:44 AM</v>
      </c>
      <c r="V294" t="str">
        <f t="shared" si="17"/>
        <v>Delayed</v>
      </c>
      <c r="W294" t="str">
        <f t="shared" si="18"/>
        <v>4 Hours 23 Minutes</v>
      </c>
      <c r="X294" t="str">
        <f t="shared" si="19"/>
        <v>Long Time Login</v>
      </c>
      <c r="AA294" s="34" t="s">
        <v>516</v>
      </c>
      <c r="AB294" s="34" t="s">
        <v>419</v>
      </c>
      <c r="AC294" s="34">
        <v>79</v>
      </c>
      <c r="AD294" s="34">
        <v>61</v>
      </c>
      <c r="AE294" s="34" t="s">
        <v>45</v>
      </c>
      <c r="AF294" s="34">
        <v>0</v>
      </c>
      <c r="AH294" s="34" t="s">
        <v>27</v>
      </c>
    </row>
    <row r="295" spans="1:34">
      <c r="A295" t="s">
        <v>517</v>
      </c>
      <c r="B295" t="s">
        <v>518</v>
      </c>
      <c r="C295">
        <v>23</v>
      </c>
      <c r="D295" t="s">
        <v>21</v>
      </c>
      <c r="E295" t="s">
        <v>67</v>
      </c>
      <c r="F295" t="s">
        <v>53</v>
      </c>
      <c r="G295" t="s">
        <v>54</v>
      </c>
      <c r="H295">
        <v>59</v>
      </c>
      <c r="I295">
        <v>95</v>
      </c>
      <c r="J295" t="s">
        <v>25</v>
      </c>
      <c r="K295">
        <v>10000</v>
      </c>
      <c r="L295">
        <v>6030</v>
      </c>
      <c r="M295">
        <v>4000</v>
      </c>
      <c r="N295" t="s">
        <v>26</v>
      </c>
      <c r="O295" t="s">
        <v>27</v>
      </c>
      <c r="P295" s="1">
        <v>45901</v>
      </c>
      <c r="Q295" s="1">
        <v>46021</v>
      </c>
      <c r="R295" s="2">
        <v>0.36944444444444446</v>
      </c>
      <c r="S295" s="2">
        <v>0.42083333333333334</v>
      </c>
      <c r="T295" t="str" cm="1">
        <f t="array" ref="T295">_xlfn.IFS(H295&gt;=90,"A",H295&gt;=75,"B",H295&gt;=60,"C",H295&lt;60,"D")</f>
        <v>D</v>
      </c>
      <c r="U295" t="str">
        <f t="shared" si="16"/>
        <v>08:52 AM</v>
      </c>
      <c r="V295" t="str">
        <f t="shared" si="17"/>
        <v>Delayed</v>
      </c>
      <c r="W295" t="str">
        <f t="shared" si="18"/>
        <v>1 Hours 14 Minutes</v>
      </c>
      <c r="X295" t="str">
        <f t="shared" si="19"/>
        <v>Short Time Login</v>
      </c>
      <c r="AA295" s="35" t="s">
        <v>517</v>
      </c>
      <c r="AB295" s="35" t="s">
        <v>518</v>
      </c>
      <c r="AC295" s="35">
        <v>59</v>
      </c>
      <c r="AD295" s="35">
        <v>95</v>
      </c>
      <c r="AE295" s="35" t="s">
        <v>25</v>
      </c>
      <c r="AF295" s="35">
        <v>4000</v>
      </c>
      <c r="AH295" s="35" t="s">
        <v>27</v>
      </c>
    </row>
    <row r="296" spans="1:34">
      <c r="A296" t="s">
        <v>519</v>
      </c>
      <c r="B296" t="s">
        <v>129</v>
      </c>
      <c r="C296">
        <v>28</v>
      </c>
      <c r="D296" t="s">
        <v>35</v>
      </c>
      <c r="E296" t="s">
        <v>113</v>
      </c>
      <c r="F296" t="s">
        <v>63</v>
      </c>
      <c r="G296" t="s">
        <v>64</v>
      </c>
      <c r="H296">
        <v>88</v>
      </c>
      <c r="I296">
        <v>75</v>
      </c>
      <c r="J296" t="s">
        <v>45</v>
      </c>
      <c r="K296">
        <v>10000</v>
      </c>
      <c r="L296">
        <v>9800</v>
      </c>
      <c r="M296">
        <v>2000</v>
      </c>
      <c r="N296" t="s">
        <v>26</v>
      </c>
      <c r="O296" t="s">
        <v>27</v>
      </c>
      <c r="P296" s="1">
        <v>45933</v>
      </c>
      <c r="Q296" s="1">
        <v>46023</v>
      </c>
      <c r="R296" s="2">
        <v>0.39791666666666664</v>
      </c>
      <c r="S296" s="2">
        <v>0.5083333333333333</v>
      </c>
      <c r="T296" t="str" cm="1">
        <f t="array" ref="T296">_xlfn.IFS(H296&gt;=90,"A",H296&gt;=75,"B",H296&gt;=60,"C",H296&lt;60,"D")</f>
        <v>B</v>
      </c>
      <c r="U296" t="str">
        <f t="shared" si="16"/>
        <v>09:33 AM</v>
      </c>
      <c r="V296" t="str">
        <f t="shared" si="17"/>
        <v>On Time</v>
      </c>
      <c r="W296" t="str">
        <f t="shared" si="18"/>
        <v>2 Hours 39 Minutes</v>
      </c>
      <c r="X296" t="str">
        <f t="shared" si="19"/>
        <v>Short Time Login</v>
      </c>
      <c r="AA296" s="34" t="s">
        <v>519</v>
      </c>
      <c r="AB296" s="34" t="s">
        <v>129</v>
      </c>
      <c r="AC296" s="34">
        <v>88</v>
      </c>
      <c r="AD296" s="34">
        <v>75</v>
      </c>
      <c r="AE296" s="34" t="s">
        <v>45</v>
      </c>
      <c r="AF296" s="34">
        <v>2000</v>
      </c>
      <c r="AH296" s="34" t="s">
        <v>27</v>
      </c>
    </row>
    <row r="297" spans="1:34">
      <c r="A297" t="s">
        <v>520</v>
      </c>
      <c r="B297" t="s">
        <v>396</v>
      </c>
      <c r="C297">
        <v>25</v>
      </c>
      <c r="D297" t="s">
        <v>21</v>
      </c>
      <c r="E297" t="s">
        <v>96</v>
      </c>
      <c r="F297" t="s">
        <v>53</v>
      </c>
      <c r="G297" t="s">
        <v>54</v>
      </c>
      <c r="H297">
        <v>74</v>
      </c>
      <c r="I297">
        <v>95</v>
      </c>
      <c r="J297" t="s">
        <v>68</v>
      </c>
      <c r="K297">
        <v>18000</v>
      </c>
      <c r="L297">
        <v>15470</v>
      </c>
      <c r="M297">
        <v>4000</v>
      </c>
      <c r="N297" t="s">
        <v>26</v>
      </c>
      <c r="O297" t="s">
        <v>27</v>
      </c>
      <c r="P297" s="1">
        <v>45825</v>
      </c>
      <c r="Q297" s="1">
        <v>45885</v>
      </c>
      <c r="R297" s="2">
        <v>0.34097222222222223</v>
      </c>
      <c r="S297" s="2">
        <v>0.51458333333333328</v>
      </c>
      <c r="T297" t="str" cm="1">
        <f t="array" ref="T297">_xlfn.IFS(H297&gt;=90,"A",H297&gt;=75,"B",H297&gt;=60,"C",H297&lt;60,"D")</f>
        <v>C</v>
      </c>
      <c r="U297" t="str">
        <f t="shared" si="16"/>
        <v>08:11 AM</v>
      </c>
      <c r="V297" t="str">
        <f t="shared" si="17"/>
        <v>On Time</v>
      </c>
      <c r="W297" t="str">
        <f t="shared" si="18"/>
        <v>4 Hours 10 Minutes</v>
      </c>
      <c r="X297" t="str">
        <f t="shared" si="19"/>
        <v>Short Time Login</v>
      </c>
      <c r="AA297" s="35" t="s">
        <v>520</v>
      </c>
      <c r="AB297" s="35" t="s">
        <v>396</v>
      </c>
      <c r="AC297" s="35">
        <v>74</v>
      </c>
      <c r="AD297" s="35">
        <v>95</v>
      </c>
      <c r="AE297" s="35" t="s">
        <v>68</v>
      </c>
      <c r="AF297" s="35">
        <v>4000</v>
      </c>
      <c r="AH297" s="35" t="s">
        <v>27</v>
      </c>
    </row>
    <row r="298" spans="1:34">
      <c r="A298" t="s">
        <v>521</v>
      </c>
      <c r="B298" t="s">
        <v>156</v>
      </c>
      <c r="C298">
        <v>28</v>
      </c>
      <c r="D298" t="s">
        <v>21</v>
      </c>
      <c r="E298" t="s">
        <v>22</v>
      </c>
      <c r="F298" t="s">
        <v>57</v>
      </c>
      <c r="G298" t="s">
        <v>58</v>
      </c>
      <c r="H298">
        <v>65</v>
      </c>
      <c r="I298">
        <v>96</v>
      </c>
      <c r="J298" t="s">
        <v>68</v>
      </c>
      <c r="K298">
        <v>18000</v>
      </c>
      <c r="L298">
        <v>17240</v>
      </c>
      <c r="M298">
        <v>4000</v>
      </c>
      <c r="N298" t="s">
        <v>26</v>
      </c>
      <c r="O298" t="s">
        <v>27</v>
      </c>
      <c r="P298" s="1">
        <v>45748</v>
      </c>
      <c r="Q298" s="1">
        <v>45868</v>
      </c>
      <c r="R298" s="2">
        <v>0.41875000000000001</v>
      </c>
      <c r="S298" s="2">
        <v>0.6118055555555556</v>
      </c>
      <c r="T298" t="str" cm="1">
        <f t="array" ref="T298">_xlfn.IFS(H298&gt;=90,"A",H298&gt;=75,"B",H298&gt;=60,"C",H298&lt;60,"D")</f>
        <v>C</v>
      </c>
      <c r="U298" t="str">
        <f t="shared" si="16"/>
        <v>10:03 AM</v>
      </c>
      <c r="V298" t="str">
        <f t="shared" si="17"/>
        <v>Delayed</v>
      </c>
      <c r="W298" t="str">
        <f t="shared" si="18"/>
        <v>4 Hours 38 Minutes</v>
      </c>
      <c r="X298" t="str">
        <f t="shared" si="19"/>
        <v>Long Time Login</v>
      </c>
      <c r="AA298" s="34" t="s">
        <v>521</v>
      </c>
      <c r="AB298" s="34" t="s">
        <v>156</v>
      </c>
      <c r="AC298" s="34">
        <v>65</v>
      </c>
      <c r="AD298" s="34">
        <v>96</v>
      </c>
      <c r="AE298" s="34" t="s">
        <v>68</v>
      </c>
      <c r="AF298" s="34">
        <v>4000</v>
      </c>
      <c r="AH298" s="34" t="s">
        <v>27</v>
      </c>
    </row>
    <row r="299" spans="1:34">
      <c r="A299" t="s">
        <v>522</v>
      </c>
      <c r="B299" t="s">
        <v>197</v>
      </c>
      <c r="C299">
        <v>18</v>
      </c>
      <c r="D299" t="s">
        <v>21</v>
      </c>
      <c r="E299" t="s">
        <v>122</v>
      </c>
      <c r="F299" t="s">
        <v>49</v>
      </c>
      <c r="G299" t="s">
        <v>50</v>
      </c>
      <c r="H299">
        <v>94</v>
      </c>
      <c r="I299">
        <v>76</v>
      </c>
      <c r="J299" t="s">
        <v>59</v>
      </c>
      <c r="K299">
        <v>20000</v>
      </c>
      <c r="L299">
        <v>19830</v>
      </c>
      <c r="M299">
        <v>2000</v>
      </c>
      <c r="N299" t="s">
        <v>26</v>
      </c>
      <c r="O299" t="s">
        <v>27</v>
      </c>
      <c r="P299" s="1">
        <v>45792</v>
      </c>
      <c r="Q299" s="1">
        <v>45882</v>
      </c>
      <c r="R299" s="2">
        <v>0.44374999999999998</v>
      </c>
      <c r="S299" s="2">
        <v>0.54027777777777775</v>
      </c>
      <c r="T299" t="str" cm="1">
        <f t="array" ref="T299">_xlfn.IFS(H299&gt;=90,"A",H299&gt;=75,"B",H299&gt;=60,"C",H299&lt;60,"D")</f>
        <v>A</v>
      </c>
      <c r="U299" t="str">
        <f t="shared" si="16"/>
        <v>10:39 AM</v>
      </c>
      <c r="V299" t="str">
        <f t="shared" si="17"/>
        <v>On Time</v>
      </c>
      <c r="W299" t="str">
        <f t="shared" si="18"/>
        <v>2 Hours 19 Minutes</v>
      </c>
      <c r="X299" t="str">
        <f t="shared" si="19"/>
        <v>Long Time Login</v>
      </c>
      <c r="AA299" s="35" t="s">
        <v>522</v>
      </c>
      <c r="AB299" s="35" t="s">
        <v>197</v>
      </c>
      <c r="AC299" s="35">
        <v>94</v>
      </c>
      <c r="AD299" s="35">
        <v>76</v>
      </c>
      <c r="AE299" s="35" t="s">
        <v>59</v>
      </c>
      <c r="AF299" s="35">
        <v>2000</v>
      </c>
      <c r="AH299" s="35" t="s">
        <v>27</v>
      </c>
    </row>
    <row r="300" spans="1:34">
      <c r="A300" t="s">
        <v>523</v>
      </c>
      <c r="B300" t="s">
        <v>327</v>
      </c>
      <c r="C300">
        <v>24</v>
      </c>
      <c r="D300" t="s">
        <v>35</v>
      </c>
      <c r="E300" t="s">
        <v>22</v>
      </c>
      <c r="F300" t="s">
        <v>53</v>
      </c>
      <c r="G300" t="s">
        <v>54</v>
      </c>
      <c r="H300">
        <v>48</v>
      </c>
      <c r="I300">
        <v>93</v>
      </c>
      <c r="J300" t="s">
        <v>25</v>
      </c>
      <c r="K300">
        <v>12000</v>
      </c>
      <c r="L300">
        <v>8390</v>
      </c>
      <c r="M300">
        <v>4000</v>
      </c>
      <c r="N300" t="s">
        <v>26</v>
      </c>
      <c r="O300" t="s">
        <v>27</v>
      </c>
      <c r="P300" s="1">
        <v>45670</v>
      </c>
      <c r="Q300" s="1">
        <v>45760</v>
      </c>
      <c r="R300" s="2">
        <v>0.43055555555555558</v>
      </c>
      <c r="S300" s="2">
        <v>0.55138888888888893</v>
      </c>
      <c r="T300" t="str" cm="1">
        <f t="array" ref="T300">_xlfn.IFS(H300&gt;=90,"A",H300&gt;=75,"B",H300&gt;=60,"C",H300&lt;60,"D")</f>
        <v>D</v>
      </c>
      <c r="U300" t="str">
        <f t="shared" si="16"/>
        <v>10:20 AM</v>
      </c>
      <c r="V300" t="str">
        <f t="shared" si="17"/>
        <v>On Time</v>
      </c>
      <c r="W300" t="str">
        <f t="shared" si="18"/>
        <v>2 Hours 54 Minutes</v>
      </c>
      <c r="X300" t="str">
        <f t="shared" si="19"/>
        <v>Long Time Login</v>
      </c>
      <c r="AA300" s="34" t="s">
        <v>523</v>
      </c>
      <c r="AB300" s="34" t="s">
        <v>327</v>
      </c>
      <c r="AC300" s="34">
        <v>48</v>
      </c>
      <c r="AD300" s="34">
        <v>93</v>
      </c>
      <c r="AE300" s="34" t="s">
        <v>25</v>
      </c>
      <c r="AF300" s="34">
        <v>4000</v>
      </c>
      <c r="AH300" s="34" t="s">
        <v>27</v>
      </c>
    </row>
    <row r="301" spans="1:34">
      <c r="A301" t="s">
        <v>524</v>
      </c>
      <c r="B301" t="s">
        <v>503</v>
      </c>
      <c r="C301">
        <v>22</v>
      </c>
      <c r="D301" t="s">
        <v>35</v>
      </c>
      <c r="E301" t="s">
        <v>62</v>
      </c>
      <c r="F301" t="s">
        <v>88</v>
      </c>
      <c r="G301" t="s">
        <v>89</v>
      </c>
      <c r="H301">
        <v>78</v>
      </c>
      <c r="I301">
        <v>72</v>
      </c>
      <c r="J301" t="s">
        <v>45</v>
      </c>
      <c r="K301">
        <v>10000</v>
      </c>
      <c r="L301">
        <v>7800</v>
      </c>
      <c r="M301">
        <v>4000</v>
      </c>
      <c r="N301" t="s">
        <v>26</v>
      </c>
      <c r="O301" t="s">
        <v>27</v>
      </c>
      <c r="P301" s="1">
        <v>45972</v>
      </c>
      <c r="Q301" s="1">
        <v>46062</v>
      </c>
      <c r="R301" s="2">
        <v>0.42152777777777778</v>
      </c>
      <c r="S301" s="2">
        <v>0.5180555555555556</v>
      </c>
      <c r="T301" t="str" cm="1">
        <f t="array" ref="T301">_xlfn.IFS(H301&gt;=90,"A",H301&gt;=75,"B",H301&gt;=60,"C",H301&lt;60,"D")</f>
        <v>B</v>
      </c>
      <c r="U301" t="str">
        <f t="shared" si="16"/>
        <v>10:07 AM</v>
      </c>
      <c r="V301" t="str">
        <f t="shared" si="17"/>
        <v>On Time</v>
      </c>
      <c r="W301" t="str">
        <f t="shared" si="18"/>
        <v>2 Hours 19 Minutes</v>
      </c>
      <c r="X301" t="str">
        <f t="shared" si="19"/>
        <v>Long Time Login</v>
      </c>
      <c r="AA301" s="35" t="s">
        <v>524</v>
      </c>
      <c r="AB301" s="35" t="s">
        <v>503</v>
      </c>
      <c r="AC301" s="35">
        <v>78</v>
      </c>
      <c r="AD301" s="35">
        <v>72</v>
      </c>
      <c r="AE301" s="35" t="s">
        <v>45</v>
      </c>
      <c r="AF301" s="35">
        <v>4000</v>
      </c>
      <c r="AH301" s="35" t="s">
        <v>27</v>
      </c>
    </row>
    <row r="302" spans="1:34">
      <c r="A302" t="s">
        <v>525</v>
      </c>
      <c r="B302" t="s">
        <v>526</v>
      </c>
      <c r="C302">
        <v>24</v>
      </c>
      <c r="D302" t="s">
        <v>35</v>
      </c>
      <c r="E302" t="s">
        <v>22</v>
      </c>
      <c r="F302" t="s">
        <v>49</v>
      </c>
      <c r="G302" t="s">
        <v>50</v>
      </c>
      <c r="H302">
        <v>49</v>
      </c>
      <c r="I302">
        <v>63</v>
      </c>
      <c r="J302" t="s">
        <v>25</v>
      </c>
      <c r="K302">
        <v>20000</v>
      </c>
      <c r="L302">
        <v>17830</v>
      </c>
      <c r="M302">
        <v>4000</v>
      </c>
      <c r="N302" t="s">
        <v>26</v>
      </c>
      <c r="O302" t="s">
        <v>27</v>
      </c>
      <c r="P302" s="1">
        <v>45965</v>
      </c>
      <c r="Q302" s="1">
        <v>45995</v>
      </c>
      <c r="R302" s="2">
        <v>0.35833333333333334</v>
      </c>
      <c r="S302" s="2">
        <v>0.53749999999999998</v>
      </c>
      <c r="T302" t="str" cm="1">
        <f t="array" ref="T302">_xlfn.IFS(H302&gt;=90,"A",H302&gt;=75,"B",H302&gt;=60,"C",H302&lt;60,"D")</f>
        <v>D</v>
      </c>
      <c r="U302" t="str">
        <f t="shared" si="16"/>
        <v>08:36 AM</v>
      </c>
      <c r="V302" t="str">
        <f t="shared" si="17"/>
        <v>On Time</v>
      </c>
      <c r="W302" t="str">
        <f t="shared" si="18"/>
        <v>4 Hours 18 Minutes</v>
      </c>
      <c r="X302" t="str">
        <f t="shared" si="19"/>
        <v>Short Time Login</v>
      </c>
      <c r="AA302" s="34" t="s">
        <v>525</v>
      </c>
      <c r="AB302" s="34" t="s">
        <v>526</v>
      </c>
      <c r="AC302" s="34">
        <v>49</v>
      </c>
      <c r="AD302" s="34">
        <v>63</v>
      </c>
      <c r="AE302" s="34" t="s">
        <v>25</v>
      </c>
      <c r="AF302" s="34">
        <v>4000</v>
      </c>
      <c r="AH302" s="34" t="s">
        <v>27</v>
      </c>
    </row>
    <row r="303" spans="1:34">
      <c r="A303" t="s">
        <v>527</v>
      </c>
      <c r="B303" t="s">
        <v>528</v>
      </c>
      <c r="C303">
        <v>23</v>
      </c>
      <c r="D303" t="s">
        <v>21</v>
      </c>
      <c r="E303" t="s">
        <v>22</v>
      </c>
      <c r="F303" t="s">
        <v>88</v>
      </c>
      <c r="G303" t="s">
        <v>89</v>
      </c>
      <c r="H303">
        <v>38</v>
      </c>
      <c r="I303">
        <v>86</v>
      </c>
      <c r="J303" t="s">
        <v>25</v>
      </c>
      <c r="K303">
        <v>10000</v>
      </c>
      <c r="L303">
        <v>10030</v>
      </c>
      <c r="M303">
        <v>0</v>
      </c>
      <c r="N303" t="s">
        <v>11</v>
      </c>
      <c r="O303" t="s">
        <v>27</v>
      </c>
      <c r="P303" s="1">
        <v>45679</v>
      </c>
      <c r="Q303" s="1">
        <v>45739</v>
      </c>
      <c r="R303" s="2">
        <v>0.45</v>
      </c>
      <c r="S303" s="2">
        <v>0.65555555555555556</v>
      </c>
      <c r="T303" t="str" cm="1">
        <f t="array" ref="T303">_xlfn.IFS(H303&gt;=90,"A",H303&gt;=75,"B",H303&gt;=60,"C",H303&lt;60,"D")</f>
        <v>D</v>
      </c>
      <c r="U303" t="str">
        <f t="shared" si="16"/>
        <v>10:48 AM</v>
      </c>
      <c r="V303" t="str">
        <f t="shared" si="17"/>
        <v>On Time</v>
      </c>
      <c r="W303" t="str">
        <f t="shared" si="18"/>
        <v>4 Hours 56 Minutes</v>
      </c>
      <c r="X303" t="str">
        <f t="shared" si="19"/>
        <v>Long Time Login</v>
      </c>
      <c r="AA303" s="35" t="s">
        <v>527</v>
      </c>
      <c r="AB303" s="35" t="s">
        <v>528</v>
      </c>
      <c r="AC303" s="35">
        <v>38</v>
      </c>
      <c r="AD303" s="35">
        <v>86</v>
      </c>
      <c r="AE303" s="35" t="s">
        <v>25</v>
      </c>
      <c r="AF303" s="35">
        <v>0</v>
      </c>
      <c r="AH303" s="35" t="s">
        <v>27</v>
      </c>
    </row>
    <row r="304" spans="1:34">
      <c r="A304" t="s">
        <v>529</v>
      </c>
      <c r="B304" t="s">
        <v>144</v>
      </c>
      <c r="C304">
        <v>19</v>
      </c>
      <c r="D304" t="s">
        <v>35</v>
      </c>
      <c r="E304" t="s">
        <v>39</v>
      </c>
      <c r="F304" t="s">
        <v>49</v>
      </c>
      <c r="G304" t="s">
        <v>50</v>
      </c>
      <c r="H304">
        <v>65</v>
      </c>
      <c r="I304">
        <v>72</v>
      </c>
      <c r="J304" t="s">
        <v>68</v>
      </c>
      <c r="K304">
        <v>12000</v>
      </c>
      <c r="L304">
        <v>12980</v>
      </c>
      <c r="M304">
        <v>0</v>
      </c>
      <c r="N304" t="s">
        <v>11</v>
      </c>
      <c r="O304" t="s">
        <v>27</v>
      </c>
      <c r="P304" s="1">
        <v>45969</v>
      </c>
      <c r="Q304" s="1">
        <v>45999</v>
      </c>
      <c r="R304" s="2">
        <v>0.37638888888888888</v>
      </c>
      <c r="S304" s="2">
        <v>0.46527777777777779</v>
      </c>
      <c r="T304" t="str" cm="1">
        <f t="array" ref="T304">_xlfn.IFS(H304&gt;=90,"A",H304&gt;=75,"B",H304&gt;=60,"C",H304&lt;60,"D")</f>
        <v>C</v>
      </c>
      <c r="U304" t="str">
        <f t="shared" si="16"/>
        <v>09:02 AM</v>
      </c>
      <c r="V304" t="str">
        <f t="shared" si="17"/>
        <v>On Time</v>
      </c>
      <c r="W304" t="str">
        <f t="shared" si="18"/>
        <v>2 Hours 8 Minutes</v>
      </c>
      <c r="X304" t="str">
        <f t="shared" si="19"/>
        <v>Short Time Login</v>
      </c>
      <c r="AA304" s="34" t="s">
        <v>529</v>
      </c>
      <c r="AB304" s="34" t="s">
        <v>144</v>
      </c>
      <c r="AC304" s="34">
        <v>65</v>
      </c>
      <c r="AD304" s="34">
        <v>72</v>
      </c>
      <c r="AE304" s="34" t="s">
        <v>68</v>
      </c>
      <c r="AF304" s="34">
        <v>0</v>
      </c>
      <c r="AH304" s="34" t="s">
        <v>27</v>
      </c>
    </row>
    <row r="305" spans="1:34">
      <c r="A305" t="s">
        <v>530</v>
      </c>
      <c r="B305" t="s">
        <v>393</v>
      </c>
      <c r="C305">
        <v>27</v>
      </c>
      <c r="D305" t="s">
        <v>21</v>
      </c>
      <c r="E305" t="s">
        <v>67</v>
      </c>
      <c r="F305" t="s">
        <v>57</v>
      </c>
      <c r="G305" t="s">
        <v>58</v>
      </c>
      <c r="H305">
        <v>47</v>
      </c>
      <c r="I305">
        <v>73</v>
      </c>
      <c r="J305" t="s">
        <v>25</v>
      </c>
      <c r="K305">
        <v>10000</v>
      </c>
      <c r="L305">
        <v>9210</v>
      </c>
      <c r="M305">
        <v>2000</v>
      </c>
      <c r="N305" t="s">
        <v>26</v>
      </c>
      <c r="O305" t="s">
        <v>27</v>
      </c>
      <c r="P305" s="1">
        <v>45925</v>
      </c>
      <c r="Q305" s="1">
        <v>46015</v>
      </c>
      <c r="R305" s="2">
        <v>0.43819444444444444</v>
      </c>
      <c r="S305" s="2">
        <v>0.53333333333333333</v>
      </c>
      <c r="T305" t="str" cm="1">
        <f t="array" ref="T305">_xlfn.IFS(H305&gt;=90,"A",H305&gt;=75,"B",H305&gt;=60,"C",H305&lt;60,"D")</f>
        <v>D</v>
      </c>
      <c r="U305" t="str">
        <f t="shared" si="16"/>
        <v>10:31 AM</v>
      </c>
      <c r="V305" t="str">
        <f t="shared" si="17"/>
        <v>On Time</v>
      </c>
      <c r="W305" t="str">
        <f t="shared" si="18"/>
        <v>2 Hours 17 Minutes</v>
      </c>
      <c r="X305" t="str">
        <f t="shared" si="19"/>
        <v>Long Time Login</v>
      </c>
      <c r="AA305" s="35" t="s">
        <v>530</v>
      </c>
      <c r="AB305" s="35" t="s">
        <v>393</v>
      </c>
      <c r="AC305" s="35">
        <v>47</v>
      </c>
      <c r="AD305" s="35">
        <v>73</v>
      </c>
      <c r="AE305" s="35" t="s">
        <v>25</v>
      </c>
      <c r="AF305" s="35">
        <v>2000</v>
      </c>
      <c r="AH305" s="35" t="s">
        <v>27</v>
      </c>
    </row>
    <row r="306" spans="1:34">
      <c r="A306" t="s">
        <v>531</v>
      </c>
      <c r="B306" t="s">
        <v>256</v>
      </c>
      <c r="C306">
        <v>25</v>
      </c>
      <c r="D306" t="s">
        <v>35</v>
      </c>
      <c r="E306" t="s">
        <v>113</v>
      </c>
      <c r="F306" t="s">
        <v>49</v>
      </c>
      <c r="G306" t="s">
        <v>50</v>
      </c>
      <c r="H306">
        <v>56</v>
      </c>
      <c r="I306">
        <v>89</v>
      </c>
      <c r="J306" t="s">
        <v>25</v>
      </c>
      <c r="K306">
        <v>18000</v>
      </c>
      <c r="L306">
        <v>18650</v>
      </c>
      <c r="M306">
        <v>2000</v>
      </c>
      <c r="N306" t="s">
        <v>26</v>
      </c>
      <c r="O306" t="s">
        <v>27</v>
      </c>
      <c r="P306" s="1">
        <v>45679</v>
      </c>
      <c r="Q306" s="1">
        <v>45739</v>
      </c>
      <c r="R306" s="2">
        <v>0.33819444444444446</v>
      </c>
      <c r="S306" s="2">
        <v>0.47152777777777777</v>
      </c>
      <c r="T306" t="str" cm="1">
        <f t="array" ref="T306">_xlfn.IFS(H306&gt;=90,"A",H306&gt;=75,"B",H306&gt;=60,"C",H306&lt;60,"D")</f>
        <v>D</v>
      </c>
      <c r="U306" t="str">
        <f t="shared" si="16"/>
        <v>08:07 AM</v>
      </c>
      <c r="V306" t="str">
        <f t="shared" si="17"/>
        <v>On Time</v>
      </c>
      <c r="W306" t="str">
        <f t="shared" si="18"/>
        <v>3 Hours 12 Minutes</v>
      </c>
      <c r="X306" t="str">
        <f t="shared" si="19"/>
        <v>Short Time Login</v>
      </c>
      <c r="AA306" s="34" t="s">
        <v>531</v>
      </c>
      <c r="AB306" s="34" t="s">
        <v>256</v>
      </c>
      <c r="AC306" s="34">
        <v>56</v>
      </c>
      <c r="AD306" s="34">
        <v>89</v>
      </c>
      <c r="AE306" s="34" t="s">
        <v>25</v>
      </c>
      <c r="AF306" s="34">
        <v>2000</v>
      </c>
      <c r="AH306" s="34" t="s">
        <v>27</v>
      </c>
    </row>
    <row r="307" spans="1:34">
      <c r="A307" t="s">
        <v>532</v>
      </c>
      <c r="B307" t="s">
        <v>391</v>
      </c>
      <c r="C307">
        <v>27</v>
      </c>
      <c r="D307" t="s">
        <v>35</v>
      </c>
      <c r="E307" t="s">
        <v>73</v>
      </c>
      <c r="F307" t="s">
        <v>88</v>
      </c>
      <c r="G307" t="s">
        <v>89</v>
      </c>
      <c r="H307">
        <v>100</v>
      </c>
      <c r="I307">
        <v>93</v>
      </c>
      <c r="J307" t="s">
        <v>59</v>
      </c>
      <c r="K307">
        <v>18000</v>
      </c>
      <c r="L307">
        <v>19470</v>
      </c>
      <c r="M307">
        <v>0</v>
      </c>
      <c r="N307" t="s">
        <v>11</v>
      </c>
      <c r="O307" t="s">
        <v>27</v>
      </c>
      <c r="P307" s="1">
        <v>45846</v>
      </c>
      <c r="Q307" s="1">
        <v>45876</v>
      </c>
      <c r="R307" s="2">
        <v>0.35</v>
      </c>
      <c r="S307" s="2">
        <v>0.54791666666666672</v>
      </c>
      <c r="T307" t="str" cm="1">
        <f t="array" ref="T307">_xlfn.IFS(H307&gt;=90,"A",H307&gt;=75,"B",H307&gt;=60,"C",H307&lt;60,"D")</f>
        <v>A</v>
      </c>
      <c r="U307" t="str">
        <f t="shared" si="16"/>
        <v>08:24 AM</v>
      </c>
      <c r="V307" t="str">
        <f t="shared" si="17"/>
        <v>On Time</v>
      </c>
      <c r="W307" t="str">
        <f t="shared" si="18"/>
        <v>4 Hours 45 Minutes</v>
      </c>
      <c r="X307" t="str">
        <f t="shared" si="19"/>
        <v>Short Time Login</v>
      </c>
      <c r="AA307" s="35" t="s">
        <v>532</v>
      </c>
      <c r="AB307" s="35" t="s">
        <v>391</v>
      </c>
      <c r="AC307" s="35">
        <v>100</v>
      </c>
      <c r="AD307" s="35">
        <v>93</v>
      </c>
      <c r="AE307" s="35" t="s">
        <v>59</v>
      </c>
      <c r="AF307" s="35">
        <v>0</v>
      </c>
      <c r="AH307" s="35" t="s">
        <v>27</v>
      </c>
    </row>
    <row r="308" spans="1:34">
      <c r="A308" t="s">
        <v>533</v>
      </c>
      <c r="B308" t="s">
        <v>534</v>
      </c>
      <c r="C308">
        <v>23</v>
      </c>
      <c r="D308" t="s">
        <v>35</v>
      </c>
      <c r="E308" t="s">
        <v>67</v>
      </c>
      <c r="F308" t="s">
        <v>23</v>
      </c>
      <c r="G308" t="s">
        <v>24</v>
      </c>
      <c r="H308">
        <v>100</v>
      </c>
      <c r="I308">
        <v>98</v>
      </c>
      <c r="J308" t="s">
        <v>59</v>
      </c>
      <c r="K308">
        <v>15000</v>
      </c>
      <c r="L308">
        <v>17110</v>
      </c>
      <c r="M308">
        <v>0</v>
      </c>
      <c r="N308" t="s">
        <v>11</v>
      </c>
      <c r="O308" t="s">
        <v>27</v>
      </c>
      <c r="P308" s="1">
        <v>45687</v>
      </c>
      <c r="Q308" s="1">
        <v>45867</v>
      </c>
      <c r="R308" s="2">
        <v>0.35902777777777778</v>
      </c>
      <c r="S308" s="2">
        <v>0.42430555555555555</v>
      </c>
      <c r="T308" t="str" cm="1">
        <f t="array" ref="T308">_xlfn.IFS(H308&gt;=90,"A",H308&gt;=75,"B",H308&gt;=60,"C",H308&lt;60,"D")</f>
        <v>A</v>
      </c>
      <c r="U308" t="str">
        <f t="shared" si="16"/>
        <v>08:37 AM</v>
      </c>
      <c r="V308" t="str">
        <f t="shared" si="17"/>
        <v>Delayed</v>
      </c>
      <c r="W308" t="str">
        <f t="shared" si="18"/>
        <v>1 Hours 34 Minutes</v>
      </c>
      <c r="X308" t="str">
        <f t="shared" si="19"/>
        <v>Short Time Login</v>
      </c>
      <c r="AA308" s="34" t="s">
        <v>533</v>
      </c>
      <c r="AB308" s="34" t="s">
        <v>534</v>
      </c>
      <c r="AC308" s="34">
        <v>100</v>
      </c>
      <c r="AD308" s="34">
        <v>98</v>
      </c>
      <c r="AE308" s="34" t="s">
        <v>59</v>
      </c>
      <c r="AF308" s="34">
        <v>0</v>
      </c>
      <c r="AH308" s="34" t="s">
        <v>27</v>
      </c>
    </row>
    <row r="309" spans="1:34">
      <c r="A309" t="s">
        <v>535</v>
      </c>
      <c r="B309" t="s">
        <v>536</v>
      </c>
      <c r="C309">
        <v>18</v>
      </c>
      <c r="D309" t="s">
        <v>35</v>
      </c>
      <c r="E309" t="s">
        <v>36</v>
      </c>
      <c r="F309" t="s">
        <v>49</v>
      </c>
      <c r="G309" t="s">
        <v>50</v>
      </c>
      <c r="H309">
        <v>91</v>
      </c>
      <c r="I309">
        <v>93</v>
      </c>
      <c r="J309" t="s">
        <v>59</v>
      </c>
      <c r="K309">
        <v>20000</v>
      </c>
      <c r="L309">
        <v>22420</v>
      </c>
      <c r="M309">
        <v>0</v>
      </c>
      <c r="N309" t="s">
        <v>11</v>
      </c>
      <c r="O309" t="s">
        <v>27</v>
      </c>
      <c r="P309" s="1">
        <v>45983</v>
      </c>
      <c r="Q309" s="1">
        <v>46073</v>
      </c>
      <c r="R309" s="2">
        <v>0.42708333333333331</v>
      </c>
      <c r="S309" s="2">
        <v>0.49722222222222223</v>
      </c>
      <c r="T309" t="str" cm="1">
        <f t="array" ref="T309">_xlfn.IFS(H309&gt;=90,"A",H309&gt;=75,"B",H309&gt;=60,"C",H309&lt;60,"D")</f>
        <v>A</v>
      </c>
      <c r="U309" t="str">
        <f t="shared" si="16"/>
        <v>10:15 AM</v>
      </c>
      <c r="V309" t="str">
        <f t="shared" si="17"/>
        <v>On Time</v>
      </c>
      <c r="W309" t="str">
        <f t="shared" si="18"/>
        <v>1 Hours 41 Minutes</v>
      </c>
      <c r="X309" t="str">
        <f t="shared" si="19"/>
        <v>Long Time Login</v>
      </c>
      <c r="AA309" s="35" t="s">
        <v>535</v>
      </c>
      <c r="AB309" s="35" t="s">
        <v>536</v>
      </c>
      <c r="AC309" s="35">
        <v>91</v>
      </c>
      <c r="AD309" s="35">
        <v>93</v>
      </c>
      <c r="AE309" s="35" t="s">
        <v>59</v>
      </c>
      <c r="AF309" s="35">
        <v>0</v>
      </c>
      <c r="AH309" s="35" t="s">
        <v>27</v>
      </c>
    </row>
    <row r="310" spans="1:34">
      <c r="A310" t="s">
        <v>537</v>
      </c>
      <c r="B310" t="s">
        <v>282</v>
      </c>
      <c r="C310">
        <v>20</v>
      </c>
      <c r="D310" t="s">
        <v>21</v>
      </c>
      <c r="E310" t="s">
        <v>62</v>
      </c>
      <c r="F310" t="s">
        <v>88</v>
      </c>
      <c r="G310" t="s">
        <v>89</v>
      </c>
      <c r="H310">
        <v>47</v>
      </c>
      <c r="I310">
        <v>88</v>
      </c>
      <c r="J310" t="s">
        <v>25</v>
      </c>
      <c r="K310">
        <v>12000</v>
      </c>
      <c r="L310">
        <v>8980</v>
      </c>
      <c r="M310">
        <v>4000</v>
      </c>
      <c r="N310" t="s">
        <v>26</v>
      </c>
      <c r="O310" t="s">
        <v>27</v>
      </c>
      <c r="P310" s="1">
        <v>45759</v>
      </c>
      <c r="Q310" s="1">
        <v>45819</v>
      </c>
      <c r="R310" s="2">
        <v>0.41944444444444445</v>
      </c>
      <c r="S310" s="2">
        <v>0.50416666666666665</v>
      </c>
      <c r="T310" t="str" cm="1">
        <f t="array" ref="T310">_xlfn.IFS(H310&gt;=90,"A",H310&gt;=75,"B",H310&gt;=60,"C",H310&lt;60,"D")</f>
        <v>D</v>
      </c>
      <c r="U310" t="str">
        <f t="shared" si="16"/>
        <v>10:04 AM</v>
      </c>
      <c r="V310" t="str">
        <f t="shared" si="17"/>
        <v>On Time</v>
      </c>
      <c r="W310" t="str">
        <f t="shared" si="18"/>
        <v>2 Hours 2 Minutes</v>
      </c>
      <c r="X310" t="str">
        <f t="shared" si="19"/>
        <v>Long Time Login</v>
      </c>
      <c r="AA310" s="34" t="s">
        <v>537</v>
      </c>
      <c r="AB310" s="34" t="s">
        <v>282</v>
      </c>
      <c r="AC310" s="34">
        <v>47</v>
      </c>
      <c r="AD310" s="34">
        <v>88</v>
      </c>
      <c r="AE310" s="34" t="s">
        <v>25</v>
      </c>
      <c r="AF310" s="34">
        <v>4000</v>
      </c>
      <c r="AH310" s="34" t="s">
        <v>27</v>
      </c>
    </row>
    <row r="311" spans="1:34">
      <c r="A311" t="s">
        <v>538</v>
      </c>
      <c r="B311" t="s">
        <v>539</v>
      </c>
      <c r="C311">
        <v>26</v>
      </c>
      <c r="D311" t="s">
        <v>21</v>
      </c>
      <c r="E311" t="s">
        <v>39</v>
      </c>
      <c r="F311" t="s">
        <v>31</v>
      </c>
      <c r="G311" t="s">
        <v>32</v>
      </c>
      <c r="H311">
        <v>85</v>
      </c>
      <c r="I311">
        <v>100</v>
      </c>
      <c r="J311" t="s">
        <v>45</v>
      </c>
      <c r="K311">
        <v>10000</v>
      </c>
      <c r="L311">
        <v>10030</v>
      </c>
      <c r="M311">
        <v>0</v>
      </c>
      <c r="N311" t="s">
        <v>11</v>
      </c>
      <c r="O311" t="s">
        <v>27</v>
      </c>
      <c r="P311" s="1">
        <v>45748</v>
      </c>
      <c r="Q311" s="1">
        <v>45928</v>
      </c>
      <c r="R311" s="2">
        <v>0.38055555555555554</v>
      </c>
      <c r="S311" s="2">
        <v>0.56527777777777777</v>
      </c>
      <c r="T311" t="str" cm="1">
        <f t="array" ref="T311">_xlfn.IFS(H311&gt;=90,"A",H311&gt;=75,"B",H311&gt;=60,"C",H311&lt;60,"D")</f>
        <v>B</v>
      </c>
      <c r="U311" t="str">
        <f t="shared" si="16"/>
        <v>09:08 AM</v>
      </c>
      <c r="V311" t="str">
        <f t="shared" si="17"/>
        <v>Delayed</v>
      </c>
      <c r="W311" t="str">
        <f t="shared" si="18"/>
        <v>4 Hours 26 Minutes</v>
      </c>
      <c r="X311" t="str">
        <f t="shared" si="19"/>
        <v>Short Time Login</v>
      </c>
      <c r="AA311" s="35" t="s">
        <v>538</v>
      </c>
      <c r="AB311" s="35" t="s">
        <v>539</v>
      </c>
      <c r="AC311" s="35">
        <v>85</v>
      </c>
      <c r="AD311" s="35">
        <v>100</v>
      </c>
      <c r="AE311" s="35" t="s">
        <v>45</v>
      </c>
      <c r="AF311" s="35">
        <v>0</v>
      </c>
      <c r="AH311" s="35" t="s">
        <v>27</v>
      </c>
    </row>
    <row r="312" spans="1:34">
      <c r="A312" t="s">
        <v>540</v>
      </c>
      <c r="B312" t="s">
        <v>541</v>
      </c>
      <c r="C312">
        <v>22</v>
      </c>
      <c r="D312" t="s">
        <v>21</v>
      </c>
      <c r="E312" t="s">
        <v>44</v>
      </c>
      <c r="F312" t="s">
        <v>23</v>
      </c>
      <c r="G312" t="s">
        <v>24</v>
      </c>
      <c r="H312">
        <v>65</v>
      </c>
      <c r="I312">
        <v>73</v>
      </c>
      <c r="J312" t="s">
        <v>68</v>
      </c>
      <c r="K312">
        <v>12000</v>
      </c>
      <c r="L312">
        <v>9570</v>
      </c>
      <c r="M312">
        <v>4000</v>
      </c>
      <c r="N312" t="s">
        <v>26</v>
      </c>
      <c r="O312" t="s">
        <v>27</v>
      </c>
      <c r="P312" s="1">
        <v>45697</v>
      </c>
      <c r="Q312" s="1">
        <v>45877</v>
      </c>
      <c r="R312" s="2">
        <v>0.3659722222222222</v>
      </c>
      <c r="S312" s="2">
        <v>0.41736111111111113</v>
      </c>
      <c r="T312" t="str" cm="1">
        <f t="array" ref="T312">_xlfn.IFS(H312&gt;=90,"A",H312&gt;=75,"B",H312&gt;=60,"C",H312&lt;60,"D")</f>
        <v>C</v>
      </c>
      <c r="U312" t="str">
        <f t="shared" si="16"/>
        <v>08:47 AM</v>
      </c>
      <c r="V312" t="str">
        <f t="shared" si="17"/>
        <v>Delayed</v>
      </c>
      <c r="W312" t="str">
        <f t="shared" si="18"/>
        <v>1 Hours 14 Minutes</v>
      </c>
      <c r="X312" t="str">
        <f t="shared" si="19"/>
        <v>Short Time Login</v>
      </c>
      <c r="AA312" s="34" t="s">
        <v>540</v>
      </c>
      <c r="AB312" s="34" t="s">
        <v>541</v>
      </c>
      <c r="AC312" s="34">
        <v>65</v>
      </c>
      <c r="AD312" s="34">
        <v>73</v>
      </c>
      <c r="AE312" s="34" t="s">
        <v>68</v>
      </c>
      <c r="AF312" s="34">
        <v>4000</v>
      </c>
      <c r="AH312" s="34" t="s">
        <v>27</v>
      </c>
    </row>
    <row r="313" spans="1:34">
      <c r="A313" t="s">
        <v>542</v>
      </c>
      <c r="B313" t="s">
        <v>256</v>
      </c>
      <c r="C313">
        <v>24</v>
      </c>
      <c r="D313" t="s">
        <v>21</v>
      </c>
      <c r="E313" t="s">
        <v>62</v>
      </c>
      <c r="F313" t="s">
        <v>49</v>
      </c>
      <c r="G313" t="s">
        <v>50</v>
      </c>
      <c r="H313">
        <v>73</v>
      </c>
      <c r="I313">
        <v>88</v>
      </c>
      <c r="J313" t="s">
        <v>68</v>
      </c>
      <c r="K313">
        <v>12000</v>
      </c>
      <c r="L313">
        <v>11570</v>
      </c>
      <c r="M313">
        <v>2000</v>
      </c>
      <c r="N313" t="s">
        <v>26</v>
      </c>
      <c r="O313" t="s">
        <v>27</v>
      </c>
      <c r="P313" s="1">
        <v>45748</v>
      </c>
      <c r="Q313" s="1">
        <v>45928</v>
      </c>
      <c r="R313" s="2">
        <v>0.40138888888888891</v>
      </c>
      <c r="S313" s="2">
        <v>0.45069444444444445</v>
      </c>
      <c r="T313" t="str" cm="1">
        <f t="array" ref="T313">_xlfn.IFS(H313&gt;=90,"A",H313&gt;=75,"B",H313&gt;=60,"C",H313&lt;60,"D")</f>
        <v>C</v>
      </c>
      <c r="U313" t="str">
        <f t="shared" si="16"/>
        <v>09:38 AM</v>
      </c>
      <c r="V313" t="str">
        <f t="shared" si="17"/>
        <v>Delayed</v>
      </c>
      <c r="W313" t="str">
        <f t="shared" si="18"/>
        <v>1 Hours 11 Minutes</v>
      </c>
      <c r="X313" t="str">
        <f t="shared" si="19"/>
        <v>Short Time Login</v>
      </c>
      <c r="AA313" s="35" t="s">
        <v>542</v>
      </c>
      <c r="AB313" s="35" t="s">
        <v>256</v>
      </c>
      <c r="AC313" s="35">
        <v>73</v>
      </c>
      <c r="AD313" s="35">
        <v>88</v>
      </c>
      <c r="AE313" s="35" t="s">
        <v>68</v>
      </c>
      <c r="AF313" s="35">
        <v>2000</v>
      </c>
      <c r="AH313" s="35" t="s">
        <v>27</v>
      </c>
    </row>
    <row r="314" spans="1:34">
      <c r="A314" t="s">
        <v>543</v>
      </c>
      <c r="B314" t="s">
        <v>110</v>
      </c>
      <c r="C314">
        <v>18</v>
      </c>
      <c r="D314" t="s">
        <v>35</v>
      </c>
      <c r="E314" t="s">
        <v>30</v>
      </c>
      <c r="F314" t="s">
        <v>40</v>
      </c>
      <c r="G314" t="s">
        <v>41</v>
      </c>
      <c r="H314">
        <v>58</v>
      </c>
      <c r="I314">
        <v>65</v>
      </c>
      <c r="J314" t="s">
        <v>25</v>
      </c>
      <c r="K314">
        <v>20000</v>
      </c>
      <c r="L314">
        <v>17830</v>
      </c>
      <c r="M314">
        <v>4000</v>
      </c>
      <c r="N314" t="s">
        <v>26</v>
      </c>
      <c r="O314" t="s">
        <v>27</v>
      </c>
      <c r="P314" s="1">
        <v>45708</v>
      </c>
      <c r="Q314" s="1">
        <v>45738</v>
      </c>
      <c r="R314" s="2">
        <v>0.41111111111111109</v>
      </c>
      <c r="S314" s="2">
        <v>0.50694444444444442</v>
      </c>
      <c r="T314" t="str" cm="1">
        <f t="array" ref="T314">_xlfn.IFS(H314&gt;=90,"A",H314&gt;=75,"B",H314&gt;=60,"C",H314&lt;60,"D")</f>
        <v>D</v>
      </c>
      <c r="U314" t="str">
        <f t="shared" si="16"/>
        <v>09:52 AM</v>
      </c>
      <c r="V314" t="str">
        <f t="shared" si="17"/>
        <v>On Time</v>
      </c>
      <c r="W314" t="str">
        <f t="shared" si="18"/>
        <v>2 Hours 18 Minutes</v>
      </c>
      <c r="X314" t="str">
        <f t="shared" si="19"/>
        <v>Short Time Login</v>
      </c>
      <c r="AA314" s="34" t="s">
        <v>543</v>
      </c>
      <c r="AB314" s="34" t="s">
        <v>110</v>
      </c>
      <c r="AC314" s="34">
        <v>58</v>
      </c>
      <c r="AD314" s="34">
        <v>65</v>
      </c>
      <c r="AE314" s="34" t="s">
        <v>25</v>
      </c>
      <c r="AF314" s="34">
        <v>4000</v>
      </c>
      <c r="AH314" s="34" t="s">
        <v>27</v>
      </c>
    </row>
    <row r="315" spans="1:34">
      <c r="A315" t="s">
        <v>544</v>
      </c>
      <c r="B315" t="s">
        <v>487</v>
      </c>
      <c r="C315">
        <v>20</v>
      </c>
      <c r="D315" t="s">
        <v>35</v>
      </c>
      <c r="E315" t="s">
        <v>48</v>
      </c>
      <c r="F315" t="s">
        <v>49</v>
      </c>
      <c r="G315" t="s">
        <v>50</v>
      </c>
      <c r="H315">
        <v>58</v>
      </c>
      <c r="I315">
        <v>87</v>
      </c>
      <c r="J315" t="s">
        <v>25</v>
      </c>
      <c r="K315">
        <v>15000</v>
      </c>
      <c r="L315">
        <v>15700</v>
      </c>
      <c r="M315">
        <v>2000</v>
      </c>
      <c r="N315" t="s">
        <v>26</v>
      </c>
      <c r="O315" t="s">
        <v>27</v>
      </c>
      <c r="P315" s="1">
        <v>45958</v>
      </c>
      <c r="Q315" s="1">
        <v>46138</v>
      </c>
      <c r="R315" s="2">
        <v>0.45208333333333334</v>
      </c>
      <c r="S315" s="2">
        <v>0.5854166666666667</v>
      </c>
      <c r="T315" t="str" cm="1">
        <f t="array" ref="T315">_xlfn.IFS(H315&gt;=90,"A",H315&gt;=75,"B",H315&gt;=60,"C",H315&lt;60,"D")</f>
        <v>D</v>
      </c>
      <c r="U315" t="str">
        <f t="shared" si="16"/>
        <v>10:51 AM</v>
      </c>
      <c r="V315" t="str">
        <f t="shared" si="17"/>
        <v>Delayed</v>
      </c>
      <c r="W315" t="str">
        <f t="shared" si="18"/>
        <v>3 Hours 12 Minutes</v>
      </c>
      <c r="X315" t="str">
        <f t="shared" si="19"/>
        <v>Long Time Login</v>
      </c>
      <c r="AA315" s="35" t="s">
        <v>544</v>
      </c>
      <c r="AB315" s="35" t="s">
        <v>487</v>
      </c>
      <c r="AC315" s="35">
        <v>58</v>
      </c>
      <c r="AD315" s="35">
        <v>87</v>
      </c>
      <c r="AE315" s="35" t="s">
        <v>25</v>
      </c>
      <c r="AF315" s="35">
        <v>2000</v>
      </c>
      <c r="AH315" s="35" t="s">
        <v>27</v>
      </c>
    </row>
    <row r="316" spans="1:34">
      <c r="A316" t="s">
        <v>545</v>
      </c>
      <c r="B316" t="s">
        <v>546</v>
      </c>
      <c r="C316">
        <v>21</v>
      </c>
      <c r="D316" t="s">
        <v>35</v>
      </c>
      <c r="E316" t="s">
        <v>39</v>
      </c>
      <c r="F316" t="s">
        <v>31</v>
      </c>
      <c r="G316" t="s">
        <v>32</v>
      </c>
      <c r="H316">
        <v>58</v>
      </c>
      <c r="I316">
        <v>66</v>
      </c>
      <c r="J316" t="s">
        <v>25</v>
      </c>
      <c r="K316">
        <v>18000</v>
      </c>
      <c r="L316">
        <v>18650</v>
      </c>
      <c r="M316">
        <v>2000</v>
      </c>
      <c r="N316" t="s">
        <v>26</v>
      </c>
      <c r="O316" t="s">
        <v>127</v>
      </c>
      <c r="P316" s="1">
        <v>45690</v>
      </c>
      <c r="Q316" s="1">
        <v>45870</v>
      </c>
      <c r="R316" s="2">
        <v>0.40555555555555556</v>
      </c>
      <c r="S316" s="2">
        <v>0.45069444444444445</v>
      </c>
      <c r="T316" t="str" cm="1">
        <f t="array" ref="T316">_xlfn.IFS(H316&gt;=90,"A",H316&gt;=75,"B",H316&gt;=60,"C",H316&lt;60,"D")</f>
        <v>D</v>
      </c>
      <c r="U316" t="str">
        <f t="shared" si="16"/>
        <v>09:44 AM</v>
      </c>
      <c r="V316" t="str">
        <f t="shared" si="17"/>
        <v>Delayed</v>
      </c>
      <c r="W316" t="str">
        <f t="shared" si="18"/>
        <v>1 Hours 5 Minutes</v>
      </c>
      <c r="X316" t="str">
        <f t="shared" si="19"/>
        <v>Short Time Login</v>
      </c>
      <c r="AA316" s="34" t="s">
        <v>545</v>
      </c>
      <c r="AB316" s="34" t="s">
        <v>546</v>
      </c>
      <c r="AC316" s="34">
        <v>58</v>
      </c>
      <c r="AD316" s="34">
        <v>66</v>
      </c>
      <c r="AE316" s="34" t="s">
        <v>25</v>
      </c>
      <c r="AF316" s="34">
        <v>2000</v>
      </c>
      <c r="AH316" s="34" t="s">
        <v>127</v>
      </c>
    </row>
    <row r="317" spans="1:34">
      <c r="A317" t="s">
        <v>547</v>
      </c>
      <c r="B317" t="s">
        <v>541</v>
      </c>
      <c r="C317">
        <v>23</v>
      </c>
      <c r="D317" t="s">
        <v>35</v>
      </c>
      <c r="E317" t="s">
        <v>22</v>
      </c>
      <c r="F317" t="s">
        <v>88</v>
      </c>
      <c r="G317" t="s">
        <v>89</v>
      </c>
      <c r="H317">
        <v>42</v>
      </c>
      <c r="I317">
        <v>84</v>
      </c>
      <c r="J317" t="s">
        <v>25</v>
      </c>
      <c r="K317">
        <v>10000</v>
      </c>
      <c r="L317">
        <v>11800</v>
      </c>
      <c r="M317">
        <v>0</v>
      </c>
      <c r="N317" t="s">
        <v>11</v>
      </c>
      <c r="O317" t="s">
        <v>27</v>
      </c>
      <c r="P317" s="1">
        <v>46021</v>
      </c>
      <c r="Q317" s="1">
        <v>46111</v>
      </c>
      <c r="R317" s="2">
        <v>0.34513888888888888</v>
      </c>
      <c r="S317" s="2">
        <v>0.52777777777777779</v>
      </c>
      <c r="T317" t="str" cm="1">
        <f t="array" ref="T317">_xlfn.IFS(H317&gt;=90,"A",H317&gt;=75,"B",H317&gt;=60,"C",H317&lt;60,"D")</f>
        <v>D</v>
      </c>
      <c r="U317" t="str">
        <f t="shared" si="16"/>
        <v>08:17 AM</v>
      </c>
      <c r="V317" t="str">
        <f t="shared" si="17"/>
        <v>On Time</v>
      </c>
      <c r="W317" t="str">
        <f t="shared" si="18"/>
        <v>4 Hours 23 Minutes</v>
      </c>
      <c r="X317" t="str">
        <f t="shared" si="19"/>
        <v>Short Time Login</v>
      </c>
      <c r="AA317" s="35" t="s">
        <v>547</v>
      </c>
      <c r="AB317" s="35" t="s">
        <v>541</v>
      </c>
      <c r="AC317" s="35">
        <v>42</v>
      </c>
      <c r="AD317" s="35">
        <v>84</v>
      </c>
      <c r="AE317" s="35" t="s">
        <v>25</v>
      </c>
      <c r="AF317" s="35">
        <v>0</v>
      </c>
      <c r="AH317" s="35" t="s">
        <v>27</v>
      </c>
    </row>
    <row r="318" spans="1:34">
      <c r="A318" t="s">
        <v>548</v>
      </c>
      <c r="B318" t="s">
        <v>379</v>
      </c>
      <c r="C318">
        <v>28</v>
      </c>
      <c r="D318" t="s">
        <v>21</v>
      </c>
      <c r="E318" t="s">
        <v>48</v>
      </c>
      <c r="F318" t="s">
        <v>49</v>
      </c>
      <c r="G318" t="s">
        <v>50</v>
      </c>
      <c r="H318">
        <v>94</v>
      </c>
      <c r="I318">
        <v>93</v>
      </c>
      <c r="J318" t="s">
        <v>59</v>
      </c>
      <c r="K318">
        <v>12000</v>
      </c>
      <c r="L318">
        <v>10980</v>
      </c>
      <c r="M318">
        <v>2000</v>
      </c>
      <c r="N318" t="s">
        <v>26</v>
      </c>
      <c r="O318" t="s">
        <v>27</v>
      </c>
      <c r="P318" s="1">
        <v>45858</v>
      </c>
      <c r="Q318" s="1">
        <v>45918</v>
      </c>
      <c r="R318" s="2">
        <v>0.34861111111111109</v>
      </c>
      <c r="S318" s="2">
        <v>0.53402777777777777</v>
      </c>
      <c r="T318" t="str" cm="1">
        <f t="array" ref="T318">_xlfn.IFS(H318&gt;=90,"A",H318&gt;=75,"B",H318&gt;=60,"C",H318&lt;60,"D")</f>
        <v>A</v>
      </c>
      <c r="U318" t="str">
        <f t="shared" si="16"/>
        <v>08:22 AM</v>
      </c>
      <c r="V318" t="str">
        <f t="shared" si="17"/>
        <v>On Time</v>
      </c>
      <c r="W318" t="str">
        <f t="shared" si="18"/>
        <v>4 Hours 27 Minutes</v>
      </c>
      <c r="X318" t="str">
        <f t="shared" si="19"/>
        <v>Short Time Login</v>
      </c>
      <c r="AA318" s="34" t="s">
        <v>548</v>
      </c>
      <c r="AB318" s="34" t="s">
        <v>379</v>
      </c>
      <c r="AC318" s="34">
        <v>94</v>
      </c>
      <c r="AD318" s="34">
        <v>93</v>
      </c>
      <c r="AE318" s="34" t="s">
        <v>59</v>
      </c>
      <c r="AF318" s="34">
        <v>2000</v>
      </c>
      <c r="AH318" s="34" t="s">
        <v>27</v>
      </c>
    </row>
    <row r="319" spans="1:34">
      <c r="A319" t="s">
        <v>549</v>
      </c>
      <c r="B319" t="s">
        <v>236</v>
      </c>
      <c r="C319">
        <v>22</v>
      </c>
      <c r="D319" t="s">
        <v>21</v>
      </c>
      <c r="E319" t="s">
        <v>48</v>
      </c>
      <c r="F319" t="s">
        <v>53</v>
      </c>
      <c r="G319" t="s">
        <v>54</v>
      </c>
      <c r="H319">
        <v>72</v>
      </c>
      <c r="I319">
        <v>64</v>
      </c>
      <c r="J319" t="s">
        <v>68</v>
      </c>
      <c r="K319">
        <v>12000</v>
      </c>
      <c r="L319">
        <v>10390</v>
      </c>
      <c r="M319">
        <v>2000</v>
      </c>
      <c r="N319" t="s">
        <v>26</v>
      </c>
      <c r="O319" t="s">
        <v>27</v>
      </c>
      <c r="P319" s="1">
        <v>45874</v>
      </c>
      <c r="Q319" s="1">
        <v>45994</v>
      </c>
      <c r="R319" s="2">
        <v>0.4465277777777778</v>
      </c>
      <c r="S319" s="2">
        <v>0.52083333333333337</v>
      </c>
      <c r="T319" t="str" cm="1">
        <f t="array" ref="T319">_xlfn.IFS(H319&gt;=90,"A",H319&gt;=75,"B",H319&gt;=60,"C",H319&lt;60,"D")</f>
        <v>C</v>
      </c>
      <c r="U319" t="str">
        <f t="shared" si="16"/>
        <v>10:43 AM</v>
      </c>
      <c r="V319" t="str">
        <f t="shared" si="17"/>
        <v>Delayed</v>
      </c>
      <c r="W319" t="str">
        <f t="shared" si="18"/>
        <v>1 Hours 47 Minutes</v>
      </c>
      <c r="X319" t="str">
        <f t="shared" si="19"/>
        <v>Long Time Login</v>
      </c>
      <c r="AA319" s="35" t="s">
        <v>549</v>
      </c>
      <c r="AB319" s="35" t="s">
        <v>236</v>
      </c>
      <c r="AC319" s="35">
        <v>72</v>
      </c>
      <c r="AD319" s="35">
        <v>64</v>
      </c>
      <c r="AE319" s="35" t="s">
        <v>68</v>
      </c>
      <c r="AF319" s="35">
        <v>2000</v>
      </c>
      <c r="AH319" s="35" t="s">
        <v>27</v>
      </c>
    </row>
    <row r="320" spans="1:34">
      <c r="A320" t="s">
        <v>550</v>
      </c>
      <c r="B320" t="s">
        <v>203</v>
      </c>
      <c r="C320">
        <v>25</v>
      </c>
      <c r="D320" t="s">
        <v>21</v>
      </c>
      <c r="E320" t="s">
        <v>67</v>
      </c>
      <c r="F320" t="s">
        <v>31</v>
      </c>
      <c r="G320" t="s">
        <v>32</v>
      </c>
      <c r="H320">
        <v>51</v>
      </c>
      <c r="I320">
        <v>67</v>
      </c>
      <c r="J320" t="s">
        <v>25</v>
      </c>
      <c r="K320">
        <v>20000</v>
      </c>
      <c r="L320">
        <v>19600</v>
      </c>
      <c r="M320">
        <v>4000</v>
      </c>
      <c r="N320" t="s">
        <v>26</v>
      </c>
      <c r="O320" t="s">
        <v>27</v>
      </c>
      <c r="P320" s="1">
        <v>45944</v>
      </c>
      <c r="Q320" s="1">
        <v>46124</v>
      </c>
      <c r="R320" s="2">
        <v>0.33958333333333335</v>
      </c>
      <c r="S320" s="2">
        <v>0.42777777777777776</v>
      </c>
      <c r="T320" t="str" cm="1">
        <f t="array" ref="T320">_xlfn.IFS(H320&gt;=90,"A",H320&gt;=75,"B",H320&gt;=60,"C",H320&lt;60,"D")</f>
        <v>D</v>
      </c>
      <c r="U320" t="str">
        <f t="shared" si="16"/>
        <v>08:09 AM</v>
      </c>
      <c r="V320" t="str">
        <f t="shared" si="17"/>
        <v>Delayed</v>
      </c>
      <c r="W320" t="str">
        <f t="shared" si="18"/>
        <v>2 Hours 7 Minutes</v>
      </c>
      <c r="X320" t="str">
        <f t="shared" si="19"/>
        <v>Short Time Login</v>
      </c>
      <c r="AA320" s="34" t="s">
        <v>550</v>
      </c>
      <c r="AB320" s="34" t="s">
        <v>203</v>
      </c>
      <c r="AC320" s="34">
        <v>51</v>
      </c>
      <c r="AD320" s="34">
        <v>67</v>
      </c>
      <c r="AE320" s="34" t="s">
        <v>25</v>
      </c>
      <c r="AF320" s="34">
        <v>4000</v>
      </c>
      <c r="AH320" s="34" t="s">
        <v>27</v>
      </c>
    </row>
    <row r="321" spans="1:34">
      <c r="A321" t="s">
        <v>551</v>
      </c>
      <c r="B321" t="s">
        <v>410</v>
      </c>
      <c r="C321">
        <v>23</v>
      </c>
      <c r="D321" t="s">
        <v>21</v>
      </c>
      <c r="E321" t="s">
        <v>39</v>
      </c>
      <c r="F321" t="s">
        <v>40</v>
      </c>
      <c r="G321" t="s">
        <v>41</v>
      </c>
      <c r="H321">
        <v>98</v>
      </c>
      <c r="I321">
        <v>70</v>
      </c>
      <c r="J321" t="s">
        <v>59</v>
      </c>
      <c r="K321">
        <v>20000</v>
      </c>
      <c r="L321">
        <v>19830</v>
      </c>
      <c r="M321">
        <v>2000</v>
      </c>
      <c r="N321" t="s">
        <v>26</v>
      </c>
      <c r="O321" t="s">
        <v>27</v>
      </c>
      <c r="P321" s="1">
        <v>45912</v>
      </c>
      <c r="Q321" s="1">
        <v>46092</v>
      </c>
      <c r="R321" s="2">
        <v>0.43680555555555556</v>
      </c>
      <c r="S321" s="2">
        <v>0.61388888888888893</v>
      </c>
      <c r="T321" t="str" cm="1">
        <f t="array" ref="T321">_xlfn.IFS(H321&gt;=90,"A",H321&gt;=75,"B",H321&gt;=60,"C",H321&lt;60,"D")</f>
        <v>A</v>
      </c>
      <c r="U321" t="str">
        <f t="shared" si="16"/>
        <v>10:29 AM</v>
      </c>
      <c r="V321" t="str">
        <f t="shared" si="17"/>
        <v>Delayed</v>
      </c>
      <c r="W321" t="str">
        <f t="shared" si="18"/>
        <v>4 Hours 15 Minutes</v>
      </c>
      <c r="X321" t="str">
        <f t="shared" si="19"/>
        <v>Long Time Login</v>
      </c>
      <c r="AA321" s="35" t="s">
        <v>551</v>
      </c>
      <c r="AB321" s="35" t="s">
        <v>410</v>
      </c>
      <c r="AC321" s="35">
        <v>98</v>
      </c>
      <c r="AD321" s="35">
        <v>70</v>
      </c>
      <c r="AE321" s="35" t="s">
        <v>59</v>
      </c>
      <c r="AF321" s="35">
        <v>2000</v>
      </c>
      <c r="AH321" s="35" t="s">
        <v>27</v>
      </c>
    </row>
    <row r="322" spans="1:34">
      <c r="A322" t="s">
        <v>552</v>
      </c>
      <c r="B322" t="s">
        <v>379</v>
      </c>
      <c r="C322">
        <v>19</v>
      </c>
      <c r="D322" t="s">
        <v>21</v>
      </c>
      <c r="E322" t="s">
        <v>22</v>
      </c>
      <c r="F322" t="s">
        <v>49</v>
      </c>
      <c r="G322" t="s">
        <v>50</v>
      </c>
      <c r="H322">
        <v>49</v>
      </c>
      <c r="I322">
        <v>92</v>
      </c>
      <c r="J322" t="s">
        <v>25</v>
      </c>
      <c r="K322">
        <v>12000</v>
      </c>
      <c r="L322">
        <v>10980</v>
      </c>
      <c r="M322">
        <v>2000</v>
      </c>
      <c r="N322" t="s">
        <v>26</v>
      </c>
      <c r="O322" t="s">
        <v>27</v>
      </c>
      <c r="P322" s="1">
        <v>45670</v>
      </c>
      <c r="Q322" s="1">
        <v>45730</v>
      </c>
      <c r="R322" s="2">
        <v>0.41944444444444445</v>
      </c>
      <c r="S322" s="2">
        <v>0.46111111111111114</v>
      </c>
      <c r="T322" t="str" cm="1">
        <f t="array" ref="T322">_xlfn.IFS(H322&gt;=90,"A",H322&gt;=75,"B",H322&gt;=60,"C",H322&lt;60,"D")</f>
        <v>D</v>
      </c>
      <c r="U322" t="str">
        <f t="shared" ref="U322:U385" si="20">TEXT(R322,"hh:mm AM/PM")</f>
        <v>10:04 AM</v>
      </c>
      <c r="V322" t="str">
        <f t="shared" ref="V322:V385" si="21">IF(_xlfn.DAYS(Q322,P322)&lt;=90,"On Time","Delayed")</f>
        <v>On Time</v>
      </c>
      <c r="W322" t="str">
        <f t="shared" ref="W322:W385" si="22">HOUR(S322-R322)&amp;" Hours "&amp;MINUTE(S322-R322)&amp;" Minutes"</f>
        <v>1 Hours 0 Minutes</v>
      </c>
      <c r="X322" t="str">
        <f t="shared" ref="X322:X385" si="23">IF(R322&gt;TIME(10,0,0),"Long Time Login","Short Time Login")</f>
        <v>Long Time Login</v>
      </c>
      <c r="AA322" s="34" t="s">
        <v>552</v>
      </c>
      <c r="AB322" s="34" t="s">
        <v>379</v>
      </c>
      <c r="AC322" s="34">
        <v>49</v>
      </c>
      <c r="AD322" s="34">
        <v>92</v>
      </c>
      <c r="AE322" s="34" t="s">
        <v>25</v>
      </c>
      <c r="AF322" s="34">
        <v>2000</v>
      </c>
      <c r="AH322" s="34" t="s">
        <v>27</v>
      </c>
    </row>
    <row r="323" spans="1:34">
      <c r="A323" t="s">
        <v>553</v>
      </c>
      <c r="B323" t="s">
        <v>246</v>
      </c>
      <c r="C323">
        <v>22</v>
      </c>
      <c r="D323" t="s">
        <v>35</v>
      </c>
      <c r="E323" t="s">
        <v>96</v>
      </c>
      <c r="F323" t="s">
        <v>63</v>
      </c>
      <c r="G323" t="s">
        <v>64</v>
      </c>
      <c r="H323">
        <v>95</v>
      </c>
      <c r="I323">
        <v>76</v>
      </c>
      <c r="J323" t="s">
        <v>59</v>
      </c>
      <c r="K323">
        <v>12000</v>
      </c>
      <c r="L323">
        <v>10390</v>
      </c>
      <c r="M323">
        <v>2000</v>
      </c>
      <c r="N323" t="s">
        <v>26</v>
      </c>
      <c r="O323" t="s">
        <v>27</v>
      </c>
      <c r="P323" s="1">
        <v>45745</v>
      </c>
      <c r="Q323" s="1">
        <v>45805</v>
      </c>
      <c r="R323" s="2">
        <v>0.44374999999999998</v>
      </c>
      <c r="S323" s="2">
        <v>0.52013888888888893</v>
      </c>
      <c r="T323" t="str" cm="1">
        <f t="array" ref="T323">_xlfn.IFS(H323&gt;=90,"A",H323&gt;=75,"B",H323&gt;=60,"C",H323&lt;60,"D")</f>
        <v>A</v>
      </c>
      <c r="U323" t="str">
        <f t="shared" si="20"/>
        <v>10:39 AM</v>
      </c>
      <c r="V323" t="str">
        <f t="shared" si="21"/>
        <v>On Time</v>
      </c>
      <c r="W323" t="str">
        <f t="shared" si="22"/>
        <v>1 Hours 50 Minutes</v>
      </c>
      <c r="X323" t="str">
        <f t="shared" si="23"/>
        <v>Long Time Login</v>
      </c>
      <c r="AA323" s="35" t="s">
        <v>553</v>
      </c>
      <c r="AB323" s="35" t="s">
        <v>246</v>
      </c>
      <c r="AC323" s="35">
        <v>95</v>
      </c>
      <c r="AD323" s="35">
        <v>76</v>
      </c>
      <c r="AE323" s="35" t="s">
        <v>59</v>
      </c>
      <c r="AF323" s="35">
        <v>2000</v>
      </c>
      <c r="AH323" s="35" t="s">
        <v>27</v>
      </c>
    </row>
    <row r="324" spans="1:34">
      <c r="A324" t="s">
        <v>554</v>
      </c>
      <c r="B324" t="s">
        <v>300</v>
      </c>
      <c r="C324">
        <v>20</v>
      </c>
      <c r="D324" t="s">
        <v>35</v>
      </c>
      <c r="E324" t="s">
        <v>122</v>
      </c>
      <c r="F324" t="s">
        <v>57</v>
      </c>
      <c r="G324" t="s">
        <v>58</v>
      </c>
      <c r="H324">
        <v>92</v>
      </c>
      <c r="I324">
        <v>67</v>
      </c>
      <c r="J324" t="s">
        <v>59</v>
      </c>
      <c r="K324">
        <v>18000</v>
      </c>
      <c r="L324">
        <v>17240</v>
      </c>
      <c r="M324">
        <v>4000</v>
      </c>
      <c r="N324" t="s">
        <v>26</v>
      </c>
      <c r="O324" t="s">
        <v>27</v>
      </c>
      <c r="P324" s="1">
        <v>45922</v>
      </c>
      <c r="Q324" s="1">
        <v>46102</v>
      </c>
      <c r="R324" s="2">
        <v>0.39444444444444443</v>
      </c>
      <c r="S324" s="2">
        <v>0.58819444444444446</v>
      </c>
      <c r="T324" t="str" cm="1">
        <f t="array" ref="T324">_xlfn.IFS(H324&gt;=90,"A",H324&gt;=75,"B",H324&gt;=60,"C",H324&lt;60,"D")</f>
        <v>A</v>
      </c>
      <c r="U324" t="str">
        <f t="shared" si="20"/>
        <v>09:28 AM</v>
      </c>
      <c r="V324" t="str">
        <f t="shared" si="21"/>
        <v>Delayed</v>
      </c>
      <c r="W324" t="str">
        <f t="shared" si="22"/>
        <v>4 Hours 39 Minutes</v>
      </c>
      <c r="X324" t="str">
        <f t="shared" si="23"/>
        <v>Short Time Login</v>
      </c>
      <c r="AA324" s="34" t="s">
        <v>554</v>
      </c>
      <c r="AB324" s="34" t="s">
        <v>300</v>
      </c>
      <c r="AC324" s="34">
        <v>92</v>
      </c>
      <c r="AD324" s="34">
        <v>67</v>
      </c>
      <c r="AE324" s="34" t="s">
        <v>59</v>
      </c>
      <c r="AF324" s="34">
        <v>4000</v>
      </c>
      <c r="AH324" s="34" t="s">
        <v>27</v>
      </c>
    </row>
    <row r="325" spans="1:34">
      <c r="A325" t="s">
        <v>555</v>
      </c>
      <c r="B325" t="s">
        <v>428</v>
      </c>
      <c r="C325">
        <v>18</v>
      </c>
      <c r="D325" t="s">
        <v>21</v>
      </c>
      <c r="E325" t="s">
        <v>44</v>
      </c>
      <c r="F325" t="s">
        <v>49</v>
      </c>
      <c r="G325" t="s">
        <v>50</v>
      </c>
      <c r="H325">
        <v>100</v>
      </c>
      <c r="I325">
        <v>95</v>
      </c>
      <c r="J325" t="s">
        <v>59</v>
      </c>
      <c r="K325">
        <v>20000</v>
      </c>
      <c r="L325">
        <v>18420</v>
      </c>
      <c r="M325">
        <v>4000</v>
      </c>
      <c r="N325" t="s">
        <v>26</v>
      </c>
      <c r="O325" t="s">
        <v>27</v>
      </c>
      <c r="P325" s="1">
        <v>45944</v>
      </c>
      <c r="Q325" s="1">
        <v>46124</v>
      </c>
      <c r="R325" s="2">
        <v>0.34513888888888888</v>
      </c>
      <c r="S325" s="2">
        <v>0.52777777777777779</v>
      </c>
      <c r="T325" t="str" cm="1">
        <f t="array" ref="T325">_xlfn.IFS(H325&gt;=90,"A",H325&gt;=75,"B",H325&gt;=60,"C",H325&lt;60,"D")</f>
        <v>A</v>
      </c>
      <c r="U325" t="str">
        <f t="shared" si="20"/>
        <v>08:17 AM</v>
      </c>
      <c r="V325" t="str">
        <f t="shared" si="21"/>
        <v>Delayed</v>
      </c>
      <c r="W325" t="str">
        <f t="shared" si="22"/>
        <v>4 Hours 23 Minutes</v>
      </c>
      <c r="X325" t="str">
        <f t="shared" si="23"/>
        <v>Short Time Login</v>
      </c>
      <c r="AA325" s="35" t="s">
        <v>555</v>
      </c>
      <c r="AB325" s="35" t="s">
        <v>428</v>
      </c>
      <c r="AC325" s="35">
        <v>100</v>
      </c>
      <c r="AD325" s="35">
        <v>95</v>
      </c>
      <c r="AE325" s="35" t="s">
        <v>59</v>
      </c>
      <c r="AF325" s="35">
        <v>4000</v>
      </c>
      <c r="AH325" s="35" t="s">
        <v>27</v>
      </c>
    </row>
    <row r="326" spans="1:34">
      <c r="A326" t="s">
        <v>556</v>
      </c>
      <c r="B326" t="s">
        <v>132</v>
      </c>
      <c r="C326">
        <v>22</v>
      </c>
      <c r="D326" t="s">
        <v>21</v>
      </c>
      <c r="E326" t="s">
        <v>30</v>
      </c>
      <c r="F326" t="s">
        <v>57</v>
      </c>
      <c r="G326" t="s">
        <v>58</v>
      </c>
      <c r="H326">
        <v>72</v>
      </c>
      <c r="I326">
        <v>91</v>
      </c>
      <c r="J326" t="s">
        <v>68</v>
      </c>
      <c r="K326">
        <v>12000</v>
      </c>
      <c r="L326">
        <v>12160</v>
      </c>
      <c r="M326">
        <v>2000</v>
      </c>
      <c r="N326" t="s">
        <v>26</v>
      </c>
      <c r="O326" t="s">
        <v>27</v>
      </c>
      <c r="P326" s="1">
        <v>45670</v>
      </c>
      <c r="Q326" s="1">
        <v>45850</v>
      </c>
      <c r="R326" s="2">
        <v>0.33333333333333331</v>
      </c>
      <c r="S326" s="2">
        <v>0.4375</v>
      </c>
      <c r="T326" t="str" cm="1">
        <f t="array" ref="T326">_xlfn.IFS(H326&gt;=90,"A",H326&gt;=75,"B",H326&gt;=60,"C",H326&lt;60,"D")</f>
        <v>C</v>
      </c>
      <c r="U326" t="str">
        <f t="shared" si="20"/>
        <v>08:00 AM</v>
      </c>
      <c r="V326" t="str">
        <f t="shared" si="21"/>
        <v>Delayed</v>
      </c>
      <c r="W326" t="str">
        <f t="shared" si="22"/>
        <v>2 Hours 30 Minutes</v>
      </c>
      <c r="X326" t="str">
        <f t="shared" si="23"/>
        <v>Short Time Login</v>
      </c>
      <c r="AA326" s="34" t="s">
        <v>556</v>
      </c>
      <c r="AB326" s="34" t="s">
        <v>132</v>
      </c>
      <c r="AC326" s="34">
        <v>72</v>
      </c>
      <c r="AD326" s="34">
        <v>91</v>
      </c>
      <c r="AE326" s="34" t="s">
        <v>68</v>
      </c>
      <c r="AF326" s="34">
        <v>2000</v>
      </c>
      <c r="AH326" s="34" t="s">
        <v>27</v>
      </c>
    </row>
    <row r="327" spans="1:34">
      <c r="A327" t="s">
        <v>557</v>
      </c>
      <c r="B327" t="s">
        <v>558</v>
      </c>
      <c r="C327">
        <v>27</v>
      </c>
      <c r="D327" t="s">
        <v>21</v>
      </c>
      <c r="E327" t="s">
        <v>96</v>
      </c>
      <c r="F327" t="s">
        <v>40</v>
      </c>
      <c r="G327" t="s">
        <v>41</v>
      </c>
      <c r="H327">
        <v>37</v>
      </c>
      <c r="I327">
        <v>81</v>
      </c>
      <c r="J327" t="s">
        <v>25</v>
      </c>
      <c r="K327">
        <v>20000</v>
      </c>
      <c r="L327">
        <v>22420</v>
      </c>
      <c r="M327">
        <v>0</v>
      </c>
      <c r="N327" t="s">
        <v>11</v>
      </c>
      <c r="O327" t="s">
        <v>127</v>
      </c>
      <c r="P327" s="1">
        <v>45863</v>
      </c>
      <c r="Q327" s="1">
        <v>46043</v>
      </c>
      <c r="R327" s="2">
        <v>0.41597222222222224</v>
      </c>
      <c r="S327" s="2">
        <v>0.59097222222222223</v>
      </c>
      <c r="T327" t="str" cm="1">
        <f t="array" ref="T327">_xlfn.IFS(H327&gt;=90,"A",H327&gt;=75,"B",H327&gt;=60,"C",H327&lt;60,"D")</f>
        <v>D</v>
      </c>
      <c r="U327" t="str">
        <f t="shared" si="20"/>
        <v>09:59 AM</v>
      </c>
      <c r="V327" t="str">
        <f t="shared" si="21"/>
        <v>Delayed</v>
      </c>
      <c r="W327" t="str">
        <f t="shared" si="22"/>
        <v>4 Hours 12 Minutes</v>
      </c>
      <c r="X327" t="str">
        <f t="shared" si="23"/>
        <v>Short Time Login</v>
      </c>
      <c r="AA327" s="35" t="s">
        <v>557</v>
      </c>
      <c r="AB327" s="35" t="s">
        <v>558</v>
      </c>
      <c r="AC327" s="35">
        <v>37</v>
      </c>
      <c r="AD327" s="35">
        <v>81</v>
      </c>
      <c r="AE327" s="35" t="s">
        <v>25</v>
      </c>
      <c r="AF327" s="35">
        <v>0</v>
      </c>
      <c r="AH327" s="35" t="s">
        <v>127</v>
      </c>
    </row>
    <row r="328" spans="1:34">
      <c r="A328" t="s">
        <v>559</v>
      </c>
      <c r="B328" t="s">
        <v>165</v>
      </c>
      <c r="C328">
        <v>24</v>
      </c>
      <c r="D328" t="s">
        <v>35</v>
      </c>
      <c r="E328" t="s">
        <v>39</v>
      </c>
      <c r="F328" t="s">
        <v>57</v>
      </c>
      <c r="G328" t="s">
        <v>58</v>
      </c>
      <c r="H328">
        <v>38</v>
      </c>
      <c r="I328">
        <v>95</v>
      </c>
      <c r="J328" t="s">
        <v>25</v>
      </c>
      <c r="K328">
        <v>18000</v>
      </c>
      <c r="L328">
        <v>19470</v>
      </c>
      <c r="M328">
        <v>0</v>
      </c>
      <c r="N328" t="s">
        <v>11</v>
      </c>
      <c r="O328" t="s">
        <v>27</v>
      </c>
      <c r="P328" s="1">
        <v>45771</v>
      </c>
      <c r="Q328" s="1">
        <v>45801</v>
      </c>
      <c r="R328" s="2">
        <v>0.43680555555555556</v>
      </c>
      <c r="S328" s="2">
        <v>0.55000000000000004</v>
      </c>
      <c r="T328" t="str" cm="1">
        <f t="array" ref="T328">_xlfn.IFS(H328&gt;=90,"A",H328&gt;=75,"B",H328&gt;=60,"C",H328&lt;60,"D")</f>
        <v>D</v>
      </c>
      <c r="U328" t="str">
        <f t="shared" si="20"/>
        <v>10:29 AM</v>
      </c>
      <c r="V328" t="str">
        <f t="shared" si="21"/>
        <v>On Time</v>
      </c>
      <c r="W328" t="str">
        <f t="shared" si="22"/>
        <v>2 Hours 43 Minutes</v>
      </c>
      <c r="X328" t="str">
        <f t="shared" si="23"/>
        <v>Long Time Login</v>
      </c>
      <c r="AA328" s="34" t="s">
        <v>559</v>
      </c>
      <c r="AB328" s="34" t="s">
        <v>165</v>
      </c>
      <c r="AC328" s="34">
        <v>38</v>
      </c>
      <c r="AD328" s="34">
        <v>95</v>
      </c>
      <c r="AE328" s="34" t="s">
        <v>25</v>
      </c>
      <c r="AF328" s="34">
        <v>0</v>
      </c>
      <c r="AH328" s="34" t="s">
        <v>27</v>
      </c>
    </row>
    <row r="329" spans="1:34">
      <c r="A329" t="s">
        <v>560</v>
      </c>
      <c r="B329" t="s">
        <v>457</v>
      </c>
      <c r="C329">
        <v>27</v>
      </c>
      <c r="D329" t="s">
        <v>35</v>
      </c>
      <c r="E329" t="s">
        <v>122</v>
      </c>
      <c r="F329" t="s">
        <v>49</v>
      </c>
      <c r="G329" t="s">
        <v>50</v>
      </c>
      <c r="H329">
        <v>36</v>
      </c>
      <c r="I329">
        <v>75</v>
      </c>
      <c r="J329" t="s">
        <v>25</v>
      </c>
      <c r="K329">
        <v>10000</v>
      </c>
      <c r="L329">
        <v>10620</v>
      </c>
      <c r="M329">
        <v>0</v>
      </c>
      <c r="N329" t="s">
        <v>11</v>
      </c>
      <c r="O329" t="s">
        <v>27</v>
      </c>
      <c r="P329" s="1">
        <v>45818</v>
      </c>
      <c r="Q329" s="1">
        <v>45878</v>
      </c>
      <c r="R329" s="2">
        <v>0.45347222222222222</v>
      </c>
      <c r="S329" s="2">
        <v>0.51458333333333328</v>
      </c>
      <c r="T329" t="str" cm="1">
        <f t="array" ref="T329">_xlfn.IFS(H329&gt;=90,"A",H329&gt;=75,"B",H329&gt;=60,"C",H329&lt;60,"D")</f>
        <v>D</v>
      </c>
      <c r="U329" t="str">
        <f t="shared" si="20"/>
        <v>10:53 AM</v>
      </c>
      <c r="V329" t="str">
        <f t="shared" si="21"/>
        <v>On Time</v>
      </c>
      <c r="W329" t="str">
        <f t="shared" si="22"/>
        <v>1 Hours 28 Minutes</v>
      </c>
      <c r="X329" t="str">
        <f t="shared" si="23"/>
        <v>Long Time Login</v>
      </c>
      <c r="AA329" s="35" t="s">
        <v>560</v>
      </c>
      <c r="AB329" s="35" t="s">
        <v>457</v>
      </c>
      <c r="AC329" s="35">
        <v>36</v>
      </c>
      <c r="AD329" s="35">
        <v>75</v>
      </c>
      <c r="AE329" s="35" t="s">
        <v>25</v>
      </c>
      <c r="AF329" s="35">
        <v>0</v>
      </c>
      <c r="AH329" s="35" t="s">
        <v>27</v>
      </c>
    </row>
    <row r="330" spans="1:34">
      <c r="A330" t="s">
        <v>561</v>
      </c>
      <c r="B330" t="s">
        <v>562</v>
      </c>
      <c r="C330">
        <v>18</v>
      </c>
      <c r="D330" t="s">
        <v>21</v>
      </c>
      <c r="E330" t="s">
        <v>22</v>
      </c>
      <c r="F330" t="s">
        <v>88</v>
      </c>
      <c r="G330" t="s">
        <v>89</v>
      </c>
      <c r="H330">
        <v>77</v>
      </c>
      <c r="I330">
        <v>72</v>
      </c>
      <c r="J330" t="s">
        <v>45</v>
      </c>
      <c r="K330">
        <v>10000</v>
      </c>
      <c r="L330">
        <v>10030</v>
      </c>
      <c r="M330">
        <v>0</v>
      </c>
      <c r="N330" t="s">
        <v>11</v>
      </c>
      <c r="O330" t="s">
        <v>27</v>
      </c>
      <c r="P330" s="1">
        <v>45677</v>
      </c>
      <c r="Q330" s="1">
        <v>45737</v>
      </c>
      <c r="R330" s="2">
        <v>0.42152777777777778</v>
      </c>
      <c r="S330" s="2">
        <v>0.6118055555555556</v>
      </c>
      <c r="T330" t="str" cm="1">
        <f t="array" ref="T330">_xlfn.IFS(H330&gt;=90,"A",H330&gt;=75,"B",H330&gt;=60,"C",H330&lt;60,"D")</f>
        <v>B</v>
      </c>
      <c r="U330" t="str">
        <f t="shared" si="20"/>
        <v>10:07 AM</v>
      </c>
      <c r="V330" t="str">
        <f t="shared" si="21"/>
        <v>On Time</v>
      </c>
      <c r="W330" t="str">
        <f t="shared" si="22"/>
        <v>4 Hours 34 Minutes</v>
      </c>
      <c r="X330" t="str">
        <f t="shared" si="23"/>
        <v>Long Time Login</v>
      </c>
      <c r="AA330" s="34" t="s">
        <v>561</v>
      </c>
      <c r="AB330" s="34" t="s">
        <v>562</v>
      </c>
      <c r="AC330" s="34">
        <v>77</v>
      </c>
      <c r="AD330" s="34">
        <v>72</v>
      </c>
      <c r="AE330" s="34" t="s">
        <v>45</v>
      </c>
      <c r="AF330" s="34">
        <v>0</v>
      </c>
      <c r="AH330" s="34" t="s">
        <v>27</v>
      </c>
    </row>
    <row r="331" spans="1:34">
      <c r="A331" t="s">
        <v>563</v>
      </c>
      <c r="B331" t="s">
        <v>293</v>
      </c>
      <c r="C331">
        <v>19</v>
      </c>
      <c r="D331" t="s">
        <v>21</v>
      </c>
      <c r="E331" t="s">
        <v>39</v>
      </c>
      <c r="F331" t="s">
        <v>31</v>
      </c>
      <c r="G331" t="s">
        <v>32</v>
      </c>
      <c r="H331">
        <v>82</v>
      </c>
      <c r="I331">
        <v>83</v>
      </c>
      <c r="J331" t="s">
        <v>45</v>
      </c>
      <c r="K331">
        <v>15000</v>
      </c>
      <c r="L331">
        <v>11930</v>
      </c>
      <c r="M331">
        <v>4000</v>
      </c>
      <c r="N331" t="s">
        <v>26</v>
      </c>
      <c r="O331" t="s">
        <v>27</v>
      </c>
      <c r="P331" s="1">
        <v>45933</v>
      </c>
      <c r="Q331" s="1">
        <v>45963</v>
      </c>
      <c r="R331" s="2">
        <v>0.37638888888888888</v>
      </c>
      <c r="S331" s="2">
        <v>0.5229166666666667</v>
      </c>
      <c r="T331" t="str" cm="1">
        <f t="array" ref="T331">_xlfn.IFS(H331&gt;=90,"A",H331&gt;=75,"B",H331&gt;=60,"C",H331&lt;60,"D")</f>
        <v>B</v>
      </c>
      <c r="U331" t="str">
        <f t="shared" si="20"/>
        <v>09:02 AM</v>
      </c>
      <c r="V331" t="str">
        <f t="shared" si="21"/>
        <v>On Time</v>
      </c>
      <c r="W331" t="str">
        <f t="shared" si="22"/>
        <v>3 Hours 31 Minutes</v>
      </c>
      <c r="X331" t="str">
        <f t="shared" si="23"/>
        <v>Short Time Login</v>
      </c>
      <c r="AA331" s="35" t="s">
        <v>563</v>
      </c>
      <c r="AB331" s="35" t="s">
        <v>293</v>
      </c>
      <c r="AC331" s="35">
        <v>82</v>
      </c>
      <c r="AD331" s="35">
        <v>83</v>
      </c>
      <c r="AE331" s="35" t="s">
        <v>45</v>
      </c>
      <c r="AF331" s="35">
        <v>4000</v>
      </c>
      <c r="AH331" s="35" t="s">
        <v>27</v>
      </c>
    </row>
    <row r="332" spans="1:34">
      <c r="A332" t="s">
        <v>564</v>
      </c>
      <c r="B332" t="s">
        <v>379</v>
      </c>
      <c r="C332">
        <v>18</v>
      </c>
      <c r="D332" t="s">
        <v>35</v>
      </c>
      <c r="E332" t="s">
        <v>73</v>
      </c>
      <c r="F332" t="s">
        <v>88</v>
      </c>
      <c r="G332" t="s">
        <v>89</v>
      </c>
      <c r="H332">
        <v>43</v>
      </c>
      <c r="I332">
        <v>71</v>
      </c>
      <c r="J332" t="s">
        <v>25</v>
      </c>
      <c r="K332">
        <v>12000</v>
      </c>
      <c r="L332">
        <v>12390</v>
      </c>
      <c r="M332">
        <v>0</v>
      </c>
      <c r="N332" t="s">
        <v>11</v>
      </c>
      <c r="O332" t="s">
        <v>27</v>
      </c>
      <c r="P332" s="1">
        <v>45809</v>
      </c>
      <c r="Q332" s="1">
        <v>45869</v>
      </c>
      <c r="R332" s="2">
        <v>0.39305555555555555</v>
      </c>
      <c r="S332" s="2">
        <v>0.54305555555555551</v>
      </c>
      <c r="T332" t="str" cm="1">
        <f t="array" ref="T332">_xlfn.IFS(H332&gt;=90,"A",H332&gt;=75,"B",H332&gt;=60,"C",H332&lt;60,"D")</f>
        <v>D</v>
      </c>
      <c r="U332" t="str">
        <f t="shared" si="20"/>
        <v>09:26 AM</v>
      </c>
      <c r="V332" t="str">
        <f t="shared" si="21"/>
        <v>On Time</v>
      </c>
      <c r="W332" t="str">
        <f t="shared" si="22"/>
        <v>3 Hours 36 Minutes</v>
      </c>
      <c r="X332" t="str">
        <f t="shared" si="23"/>
        <v>Short Time Login</v>
      </c>
      <c r="AA332" s="34" t="s">
        <v>564</v>
      </c>
      <c r="AB332" s="34" t="s">
        <v>379</v>
      </c>
      <c r="AC332" s="34">
        <v>43</v>
      </c>
      <c r="AD332" s="34">
        <v>71</v>
      </c>
      <c r="AE332" s="34" t="s">
        <v>25</v>
      </c>
      <c r="AF332" s="34">
        <v>0</v>
      </c>
      <c r="AH332" s="34" t="s">
        <v>27</v>
      </c>
    </row>
    <row r="333" spans="1:34">
      <c r="A333" t="s">
        <v>565</v>
      </c>
      <c r="B333" t="s">
        <v>562</v>
      </c>
      <c r="C333">
        <v>23</v>
      </c>
      <c r="D333" t="s">
        <v>21</v>
      </c>
      <c r="E333" t="s">
        <v>39</v>
      </c>
      <c r="F333" t="s">
        <v>57</v>
      </c>
      <c r="G333" t="s">
        <v>58</v>
      </c>
      <c r="H333">
        <v>46</v>
      </c>
      <c r="I333">
        <v>90</v>
      </c>
      <c r="J333" t="s">
        <v>25</v>
      </c>
      <c r="K333">
        <v>15000</v>
      </c>
      <c r="L333">
        <v>15930</v>
      </c>
      <c r="M333">
        <v>0</v>
      </c>
      <c r="N333" t="s">
        <v>11</v>
      </c>
      <c r="O333" t="s">
        <v>27</v>
      </c>
      <c r="P333" s="1">
        <v>45861</v>
      </c>
      <c r="Q333" s="1">
        <v>45921</v>
      </c>
      <c r="R333" s="2">
        <v>0.3611111111111111</v>
      </c>
      <c r="S333" s="2">
        <v>0.44097222222222221</v>
      </c>
      <c r="T333" t="str" cm="1">
        <f t="array" ref="T333">_xlfn.IFS(H333&gt;=90,"A",H333&gt;=75,"B",H333&gt;=60,"C",H333&lt;60,"D")</f>
        <v>D</v>
      </c>
      <c r="U333" t="str">
        <f t="shared" si="20"/>
        <v>08:40 AM</v>
      </c>
      <c r="V333" t="str">
        <f t="shared" si="21"/>
        <v>On Time</v>
      </c>
      <c r="W333" t="str">
        <f t="shared" si="22"/>
        <v>1 Hours 55 Minutes</v>
      </c>
      <c r="X333" t="str">
        <f t="shared" si="23"/>
        <v>Short Time Login</v>
      </c>
      <c r="AA333" s="35" t="s">
        <v>565</v>
      </c>
      <c r="AB333" s="35" t="s">
        <v>562</v>
      </c>
      <c r="AC333" s="35">
        <v>46</v>
      </c>
      <c r="AD333" s="35">
        <v>90</v>
      </c>
      <c r="AE333" s="35" t="s">
        <v>25</v>
      </c>
      <c r="AF333" s="35">
        <v>0</v>
      </c>
      <c r="AH333" s="35" t="s">
        <v>27</v>
      </c>
    </row>
    <row r="334" spans="1:34">
      <c r="A334" t="s">
        <v>566</v>
      </c>
      <c r="B334" t="s">
        <v>146</v>
      </c>
      <c r="C334">
        <v>23</v>
      </c>
      <c r="D334" t="s">
        <v>35</v>
      </c>
      <c r="E334" t="s">
        <v>30</v>
      </c>
      <c r="F334" t="s">
        <v>31</v>
      </c>
      <c r="G334" t="s">
        <v>32</v>
      </c>
      <c r="H334">
        <v>74</v>
      </c>
      <c r="I334">
        <v>95</v>
      </c>
      <c r="J334" t="s">
        <v>68</v>
      </c>
      <c r="K334">
        <v>12000</v>
      </c>
      <c r="L334">
        <v>9570</v>
      </c>
      <c r="M334">
        <v>4000</v>
      </c>
      <c r="N334" t="s">
        <v>26</v>
      </c>
      <c r="O334" t="s">
        <v>27</v>
      </c>
      <c r="P334" s="1">
        <v>45912</v>
      </c>
      <c r="Q334" s="1">
        <v>46002</v>
      </c>
      <c r="R334" s="2">
        <v>0.43333333333333335</v>
      </c>
      <c r="S334" s="2">
        <v>0.48541666666666666</v>
      </c>
      <c r="T334" t="str" cm="1">
        <f t="array" ref="T334">_xlfn.IFS(H334&gt;=90,"A",H334&gt;=75,"B",H334&gt;=60,"C",H334&lt;60,"D")</f>
        <v>C</v>
      </c>
      <c r="U334" t="str">
        <f t="shared" si="20"/>
        <v>10:24 AM</v>
      </c>
      <c r="V334" t="str">
        <f t="shared" si="21"/>
        <v>On Time</v>
      </c>
      <c r="W334" t="str">
        <f t="shared" si="22"/>
        <v>1 Hours 15 Minutes</v>
      </c>
      <c r="X334" t="str">
        <f t="shared" si="23"/>
        <v>Long Time Login</v>
      </c>
      <c r="AA334" s="34" t="s">
        <v>566</v>
      </c>
      <c r="AB334" s="34" t="s">
        <v>146</v>
      </c>
      <c r="AC334" s="34">
        <v>74</v>
      </c>
      <c r="AD334" s="34">
        <v>95</v>
      </c>
      <c r="AE334" s="34" t="s">
        <v>68</v>
      </c>
      <c r="AF334" s="34">
        <v>4000</v>
      </c>
      <c r="AH334" s="34" t="s">
        <v>27</v>
      </c>
    </row>
    <row r="335" spans="1:34">
      <c r="A335" t="s">
        <v>567</v>
      </c>
      <c r="B335" t="s">
        <v>364</v>
      </c>
      <c r="C335">
        <v>23</v>
      </c>
      <c r="D335" t="s">
        <v>35</v>
      </c>
      <c r="E335" t="s">
        <v>96</v>
      </c>
      <c r="F335" t="s">
        <v>63</v>
      </c>
      <c r="G335" t="s">
        <v>64</v>
      </c>
      <c r="H335">
        <v>52</v>
      </c>
      <c r="I335">
        <v>92</v>
      </c>
      <c r="J335" t="s">
        <v>25</v>
      </c>
      <c r="K335">
        <v>15000</v>
      </c>
      <c r="L335">
        <v>11930</v>
      </c>
      <c r="M335">
        <v>4000</v>
      </c>
      <c r="N335" t="s">
        <v>26</v>
      </c>
      <c r="O335" t="s">
        <v>27</v>
      </c>
      <c r="P335" s="1">
        <v>45709</v>
      </c>
      <c r="Q335" s="1">
        <v>45769</v>
      </c>
      <c r="R335" s="2">
        <v>0.4548611111111111</v>
      </c>
      <c r="S335" s="2">
        <v>0.625</v>
      </c>
      <c r="T335" t="str" cm="1">
        <f t="array" ref="T335">_xlfn.IFS(H335&gt;=90,"A",H335&gt;=75,"B",H335&gt;=60,"C",H335&lt;60,"D")</f>
        <v>D</v>
      </c>
      <c r="U335" t="str">
        <f t="shared" si="20"/>
        <v>10:55 AM</v>
      </c>
      <c r="V335" t="str">
        <f t="shared" si="21"/>
        <v>On Time</v>
      </c>
      <c r="W335" t="str">
        <f t="shared" si="22"/>
        <v>4 Hours 5 Minutes</v>
      </c>
      <c r="X335" t="str">
        <f t="shared" si="23"/>
        <v>Long Time Login</v>
      </c>
      <c r="AA335" s="35" t="s">
        <v>567</v>
      </c>
      <c r="AB335" s="35" t="s">
        <v>364</v>
      </c>
      <c r="AC335" s="35">
        <v>52</v>
      </c>
      <c r="AD335" s="35">
        <v>92</v>
      </c>
      <c r="AE335" s="35" t="s">
        <v>25</v>
      </c>
      <c r="AF335" s="35">
        <v>4000</v>
      </c>
      <c r="AH335" s="35" t="s">
        <v>27</v>
      </c>
    </row>
    <row r="336" spans="1:34">
      <c r="A336" t="s">
        <v>568</v>
      </c>
      <c r="B336" t="s">
        <v>399</v>
      </c>
      <c r="C336">
        <v>18</v>
      </c>
      <c r="D336" t="s">
        <v>35</v>
      </c>
      <c r="E336" t="s">
        <v>96</v>
      </c>
      <c r="F336" t="s">
        <v>63</v>
      </c>
      <c r="G336" t="s">
        <v>64</v>
      </c>
      <c r="H336">
        <v>93</v>
      </c>
      <c r="I336">
        <v>95</v>
      </c>
      <c r="J336" t="s">
        <v>59</v>
      </c>
      <c r="K336">
        <v>10000</v>
      </c>
      <c r="L336">
        <v>8030</v>
      </c>
      <c r="M336">
        <v>2000</v>
      </c>
      <c r="N336" t="s">
        <v>26</v>
      </c>
      <c r="O336" t="s">
        <v>27</v>
      </c>
      <c r="P336" s="1">
        <v>45856</v>
      </c>
      <c r="Q336" s="1">
        <v>45916</v>
      </c>
      <c r="R336" s="2">
        <v>0.37291666666666667</v>
      </c>
      <c r="S336" s="2">
        <v>0.43472222222222223</v>
      </c>
      <c r="T336" t="str" cm="1">
        <f t="array" ref="T336">_xlfn.IFS(H336&gt;=90,"A",H336&gt;=75,"B",H336&gt;=60,"C",H336&lt;60,"D")</f>
        <v>A</v>
      </c>
      <c r="U336" t="str">
        <f t="shared" si="20"/>
        <v>08:57 AM</v>
      </c>
      <c r="V336" t="str">
        <f t="shared" si="21"/>
        <v>On Time</v>
      </c>
      <c r="W336" t="str">
        <f t="shared" si="22"/>
        <v>1 Hours 29 Minutes</v>
      </c>
      <c r="X336" t="str">
        <f t="shared" si="23"/>
        <v>Short Time Login</v>
      </c>
      <c r="AA336" s="34" t="s">
        <v>568</v>
      </c>
      <c r="AB336" s="34" t="s">
        <v>399</v>
      </c>
      <c r="AC336" s="34">
        <v>93</v>
      </c>
      <c r="AD336" s="34">
        <v>95</v>
      </c>
      <c r="AE336" s="34" t="s">
        <v>59</v>
      </c>
      <c r="AF336" s="34">
        <v>2000</v>
      </c>
      <c r="AH336" s="34" t="s">
        <v>27</v>
      </c>
    </row>
    <row r="337" spans="1:34">
      <c r="A337" t="s">
        <v>569</v>
      </c>
      <c r="B337" t="s">
        <v>419</v>
      </c>
      <c r="C337">
        <v>21</v>
      </c>
      <c r="D337" t="s">
        <v>35</v>
      </c>
      <c r="E337" t="s">
        <v>44</v>
      </c>
      <c r="F337" t="s">
        <v>57</v>
      </c>
      <c r="G337" t="s">
        <v>58</v>
      </c>
      <c r="H337">
        <v>72</v>
      </c>
      <c r="I337">
        <v>93</v>
      </c>
      <c r="J337" t="s">
        <v>68</v>
      </c>
      <c r="K337">
        <v>10000</v>
      </c>
      <c r="L337">
        <v>11800</v>
      </c>
      <c r="M337">
        <v>0</v>
      </c>
      <c r="N337" t="s">
        <v>11</v>
      </c>
      <c r="O337" t="s">
        <v>27</v>
      </c>
      <c r="P337" s="1">
        <v>45889</v>
      </c>
      <c r="Q337" s="1">
        <v>45949</v>
      </c>
      <c r="R337" s="2">
        <v>0.44027777777777777</v>
      </c>
      <c r="S337" s="2">
        <v>0.64097222222222228</v>
      </c>
      <c r="T337" t="str" cm="1">
        <f t="array" ref="T337">_xlfn.IFS(H337&gt;=90,"A",H337&gt;=75,"B",H337&gt;=60,"C",H337&lt;60,"D")</f>
        <v>C</v>
      </c>
      <c r="U337" t="str">
        <f t="shared" si="20"/>
        <v>10:34 AM</v>
      </c>
      <c r="V337" t="str">
        <f t="shared" si="21"/>
        <v>On Time</v>
      </c>
      <c r="W337" t="str">
        <f t="shared" si="22"/>
        <v>4 Hours 49 Minutes</v>
      </c>
      <c r="X337" t="str">
        <f t="shared" si="23"/>
        <v>Long Time Login</v>
      </c>
      <c r="AA337" s="35" t="s">
        <v>569</v>
      </c>
      <c r="AB337" s="35" t="s">
        <v>419</v>
      </c>
      <c r="AC337" s="35">
        <v>72</v>
      </c>
      <c r="AD337" s="35">
        <v>93</v>
      </c>
      <c r="AE337" s="35" t="s">
        <v>68</v>
      </c>
      <c r="AF337" s="35">
        <v>0</v>
      </c>
      <c r="AH337" s="35" t="s">
        <v>27</v>
      </c>
    </row>
    <row r="338" spans="1:34">
      <c r="A338" t="s">
        <v>570</v>
      </c>
      <c r="B338" t="s">
        <v>571</v>
      </c>
      <c r="C338">
        <v>25</v>
      </c>
      <c r="D338" t="s">
        <v>35</v>
      </c>
      <c r="E338" t="s">
        <v>96</v>
      </c>
      <c r="F338" t="s">
        <v>40</v>
      </c>
      <c r="G338" t="s">
        <v>41</v>
      </c>
      <c r="H338">
        <v>56</v>
      </c>
      <c r="I338">
        <v>84</v>
      </c>
      <c r="J338" t="s">
        <v>25</v>
      </c>
      <c r="K338">
        <v>20000</v>
      </c>
      <c r="L338">
        <v>23010</v>
      </c>
      <c r="M338">
        <v>0</v>
      </c>
      <c r="N338" t="s">
        <v>11</v>
      </c>
      <c r="O338" t="s">
        <v>27</v>
      </c>
      <c r="P338" s="1">
        <v>45727</v>
      </c>
      <c r="Q338" s="1">
        <v>45787</v>
      </c>
      <c r="R338" s="2">
        <v>0.40277777777777779</v>
      </c>
      <c r="S338" s="2">
        <v>0.47152777777777777</v>
      </c>
      <c r="T338" t="str" cm="1">
        <f t="array" ref="T338">_xlfn.IFS(H338&gt;=90,"A",H338&gt;=75,"B",H338&gt;=60,"C",H338&lt;60,"D")</f>
        <v>D</v>
      </c>
      <c r="U338" t="str">
        <f t="shared" si="20"/>
        <v>09:40 AM</v>
      </c>
      <c r="V338" t="str">
        <f t="shared" si="21"/>
        <v>On Time</v>
      </c>
      <c r="W338" t="str">
        <f t="shared" si="22"/>
        <v>1 Hours 39 Minutes</v>
      </c>
      <c r="X338" t="str">
        <f t="shared" si="23"/>
        <v>Short Time Login</v>
      </c>
      <c r="AA338" s="34" t="s">
        <v>570</v>
      </c>
      <c r="AB338" s="34" t="s">
        <v>571</v>
      </c>
      <c r="AC338" s="34">
        <v>56</v>
      </c>
      <c r="AD338" s="34">
        <v>84</v>
      </c>
      <c r="AE338" s="34" t="s">
        <v>25</v>
      </c>
      <c r="AF338" s="34">
        <v>0</v>
      </c>
      <c r="AH338" s="34" t="s">
        <v>27</v>
      </c>
    </row>
    <row r="339" spans="1:34">
      <c r="A339" t="s">
        <v>572</v>
      </c>
      <c r="B339" t="s">
        <v>156</v>
      </c>
      <c r="C339">
        <v>28</v>
      </c>
      <c r="D339" t="s">
        <v>35</v>
      </c>
      <c r="E339" t="s">
        <v>122</v>
      </c>
      <c r="F339" t="s">
        <v>23</v>
      </c>
      <c r="G339" t="s">
        <v>24</v>
      </c>
      <c r="H339">
        <v>45</v>
      </c>
      <c r="I339">
        <v>92</v>
      </c>
      <c r="J339" t="s">
        <v>25</v>
      </c>
      <c r="K339">
        <v>15000</v>
      </c>
      <c r="L339">
        <v>16520</v>
      </c>
      <c r="M339">
        <v>0</v>
      </c>
      <c r="N339" t="s">
        <v>11</v>
      </c>
      <c r="O339" t="s">
        <v>27</v>
      </c>
      <c r="P339" s="1">
        <v>45892</v>
      </c>
      <c r="Q339" s="1">
        <v>45922</v>
      </c>
      <c r="R339" s="2">
        <v>0.41666666666666669</v>
      </c>
      <c r="S339" s="2">
        <v>0.58402777777777781</v>
      </c>
      <c r="T339" t="str" cm="1">
        <f t="array" ref="T339">_xlfn.IFS(H339&gt;=90,"A",H339&gt;=75,"B",H339&gt;=60,"C",H339&lt;60,"D")</f>
        <v>D</v>
      </c>
      <c r="U339" t="str">
        <f t="shared" si="20"/>
        <v>10:00 AM</v>
      </c>
      <c r="V339" t="str">
        <f t="shared" si="21"/>
        <v>On Time</v>
      </c>
      <c r="W339" t="str">
        <f t="shared" si="22"/>
        <v>4 Hours 1 Minutes</v>
      </c>
      <c r="X339" t="str">
        <f t="shared" si="23"/>
        <v>Short Time Login</v>
      </c>
      <c r="AA339" s="35" t="s">
        <v>572</v>
      </c>
      <c r="AB339" s="35" t="s">
        <v>156</v>
      </c>
      <c r="AC339" s="35">
        <v>45</v>
      </c>
      <c r="AD339" s="35">
        <v>92</v>
      </c>
      <c r="AE339" s="35" t="s">
        <v>25</v>
      </c>
      <c r="AF339" s="35">
        <v>0</v>
      </c>
      <c r="AH339" s="35" t="s">
        <v>27</v>
      </c>
    </row>
    <row r="340" spans="1:34">
      <c r="A340" t="s">
        <v>573</v>
      </c>
      <c r="B340" t="s">
        <v>98</v>
      </c>
      <c r="C340">
        <v>24</v>
      </c>
      <c r="D340" t="s">
        <v>35</v>
      </c>
      <c r="E340" t="s">
        <v>39</v>
      </c>
      <c r="F340" t="s">
        <v>53</v>
      </c>
      <c r="G340" t="s">
        <v>54</v>
      </c>
      <c r="H340">
        <v>66</v>
      </c>
      <c r="I340">
        <v>94</v>
      </c>
      <c r="J340" t="s">
        <v>68</v>
      </c>
      <c r="K340">
        <v>10000</v>
      </c>
      <c r="L340">
        <v>8030</v>
      </c>
      <c r="M340">
        <v>2000</v>
      </c>
      <c r="N340" t="s">
        <v>26</v>
      </c>
      <c r="O340" t="s">
        <v>27</v>
      </c>
      <c r="P340" s="1">
        <v>45796</v>
      </c>
      <c r="Q340" s="1">
        <v>45886</v>
      </c>
      <c r="R340" s="2">
        <v>0.44444444444444442</v>
      </c>
      <c r="S340" s="2">
        <v>0.60555555555555551</v>
      </c>
      <c r="T340" t="str" cm="1">
        <f t="array" ref="T340">_xlfn.IFS(H340&gt;=90,"A",H340&gt;=75,"B",H340&gt;=60,"C",H340&lt;60,"D")</f>
        <v>C</v>
      </c>
      <c r="U340" t="str">
        <f t="shared" si="20"/>
        <v>10:40 AM</v>
      </c>
      <c r="V340" t="str">
        <f t="shared" si="21"/>
        <v>On Time</v>
      </c>
      <c r="W340" t="str">
        <f t="shared" si="22"/>
        <v>3 Hours 52 Minutes</v>
      </c>
      <c r="X340" t="str">
        <f t="shared" si="23"/>
        <v>Long Time Login</v>
      </c>
      <c r="AA340" s="34" t="s">
        <v>573</v>
      </c>
      <c r="AB340" s="34" t="s">
        <v>98</v>
      </c>
      <c r="AC340" s="34">
        <v>66</v>
      </c>
      <c r="AD340" s="34">
        <v>94</v>
      </c>
      <c r="AE340" s="34" t="s">
        <v>68</v>
      </c>
      <c r="AF340" s="34">
        <v>2000</v>
      </c>
      <c r="AH340" s="34" t="s">
        <v>27</v>
      </c>
    </row>
    <row r="341" spans="1:34">
      <c r="A341" t="s">
        <v>574</v>
      </c>
      <c r="B341" t="s">
        <v>575</v>
      </c>
      <c r="C341">
        <v>23</v>
      </c>
      <c r="D341" t="s">
        <v>21</v>
      </c>
      <c r="E341" t="s">
        <v>122</v>
      </c>
      <c r="F341" t="s">
        <v>40</v>
      </c>
      <c r="G341" t="s">
        <v>41</v>
      </c>
      <c r="H341">
        <v>57</v>
      </c>
      <c r="I341">
        <v>66</v>
      </c>
      <c r="J341" t="s">
        <v>25</v>
      </c>
      <c r="K341">
        <v>18000</v>
      </c>
      <c r="L341">
        <v>18650</v>
      </c>
      <c r="M341">
        <v>2000</v>
      </c>
      <c r="N341" t="s">
        <v>26</v>
      </c>
      <c r="O341" t="s">
        <v>27</v>
      </c>
      <c r="P341" s="1">
        <v>45872</v>
      </c>
      <c r="Q341" s="1">
        <v>45902</v>
      </c>
      <c r="R341" s="2">
        <v>0.40416666666666667</v>
      </c>
      <c r="S341" s="2">
        <v>0.51527777777777772</v>
      </c>
      <c r="T341" t="str" cm="1">
        <f t="array" ref="T341">_xlfn.IFS(H341&gt;=90,"A",H341&gt;=75,"B",H341&gt;=60,"C",H341&lt;60,"D")</f>
        <v>D</v>
      </c>
      <c r="U341" t="str">
        <f t="shared" si="20"/>
        <v>09:42 AM</v>
      </c>
      <c r="V341" t="str">
        <f t="shared" si="21"/>
        <v>On Time</v>
      </c>
      <c r="W341" t="str">
        <f t="shared" si="22"/>
        <v>2 Hours 40 Minutes</v>
      </c>
      <c r="X341" t="str">
        <f t="shared" si="23"/>
        <v>Short Time Login</v>
      </c>
      <c r="AA341" s="35" t="s">
        <v>574</v>
      </c>
      <c r="AB341" s="35" t="s">
        <v>575</v>
      </c>
      <c r="AC341" s="35">
        <v>57</v>
      </c>
      <c r="AD341" s="35">
        <v>66</v>
      </c>
      <c r="AE341" s="35" t="s">
        <v>25</v>
      </c>
      <c r="AF341" s="35">
        <v>2000</v>
      </c>
      <c r="AH341" s="35" t="s">
        <v>27</v>
      </c>
    </row>
    <row r="342" spans="1:34">
      <c r="A342" t="s">
        <v>576</v>
      </c>
      <c r="B342" t="s">
        <v>171</v>
      </c>
      <c r="C342">
        <v>27</v>
      </c>
      <c r="D342" t="s">
        <v>21</v>
      </c>
      <c r="E342" t="s">
        <v>96</v>
      </c>
      <c r="F342" t="s">
        <v>57</v>
      </c>
      <c r="G342" t="s">
        <v>58</v>
      </c>
      <c r="H342">
        <v>49</v>
      </c>
      <c r="I342">
        <v>80</v>
      </c>
      <c r="J342" t="s">
        <v>25</v>
      </c>
      <c r="K342">
        <v>12000</v>
      </c>
      <c r="L342">
        <v>10160</v>
      </c>
      <c r="M342">
        <v>4000</v>
      </c>
      <c r="N342" t="s">
        <v>26</v>
      </c>
      <c r="O342" t="s">
        <v>27</v>
      </c>
      <c r="P342" s="1">
        <v>45706</v>
      </c>
      <c r="Q342" s="1">
        <v>45766</v>
      </c>
      <c r="R342" s="2">
        <v>0.43333333333333335</v>
      </c>
      <c r="S342" s="2">
        <v>0.57847222222222228</v>
      </c>
      <c r="T342" t="str" cm="1">
        <f t="array" ref="T342">_xlfn.IFS(H342&gt;=90,"A",H342&gt;=75,"B",H342&gt;=60,"C",H342&lt;60,"D")</f>
        <v>D</v>
      </c>
      <c r="U342" t="str">
        <f t="shared" si="20"/>
        <v>10:24 AM</v>
      </c>
      <c r="V342" t="str">
        <f t="shared" si="21"/>
        <v>On Time</v>
      </c>
      <c r="W342" t="str">
        <f t="shared" si="22"/>
        <v>3 Hours 29 Minutes</v>
      </c>
      <c r="X342" t="str">
        <f t="shared" si="23"/>
        <v>Long Time Login</v>
      </c>
      <c r="AA342" s="34" t="s">
        <v>576</v>
      </c>
      <c r="AB342" s="34" t="s">
        <v>171</v>
      </c>
      <c r="AC342" s="34">
        <v>49</v>
      </c>
      <c r="AD342" s="34">
        <v>80</v>
      </c>
      <c r="AE342" s="34" t="s">
        <v>25</v>
      </c>
      <c r="AF342" s="34">
        <v>4000</v>
      </c>
      <c r="AH342" s="34" t="s">
        <v>27</v>
      </c>
    </row>
    <row r="343" spans="1:34">
      <c r="A343" t="s">
        <v>577</v>
      </c>
      <c r="B343" t="s">
        <v>343</v>
      </c>
      <c r="C343">
        <v>28</v>
      </c>
      <c r="D343" t="s">
        <v>21</v>
      </c>
      <c r="E343" t="s">
        <v>22</v>
      </c>
      <c r="F343" t="s">
        <v>40</v>
      </c>
      <c r="G343" t="s">
        <v>41</v>
      </c>
      <c r="H343">
        <v>37</v>
      </c>
      <c r="I343">
        <v>98</v>
      </c>
      <c r="J343" t="s">
        <v>25</v>
      </c>
      <c r="K343">
        <v>10000</v>
      </c>
      <c r="L343">
        <v>9800</v>
      </c>
      <c r="M343">
        <v>2000</v>
      </c>
      <c r="N343" t="s">
        <v>26</v>
      </c>
      <c r="O343" t="s">
        <v>27</v>
      </c>
      <c r="P343" s="1">
        <v>45713</v>
      </c>
      <c r="Q343" s="1">
        <v>45773</v>
      </c>
      <c r="R343" s="2">
        <v>0.38819444444444445</v>
      </c>
      <c r="S343" s="2">
        <v>0.58472222222222225</v>
      </c>
      <c r="T343" t="str" cm="1">
        <f t="array" ref="T343">_xlfn.IFS(H343&gt;=90,"A",H343&gt;=75,"B",H343&gt;=60,"C",H343&lt;60,"D")</f>
        <v>D</v>
      </c>
      <c r="U343" t="str">
        <f t="shared" si="20"/>
        <v>09:19 AM</v>
      </c>
      <c r="V343" t="str">
        <f t="shared" si="21"/>
        <v>On Time</v>
      </c>
      <c r="W343" t="str">
        <f t="shared" si="22"/>
        <v>4 Hours 43 Minutes</v>
      </c>
      <c r="X343" t="str">
        <f t="shared" si="23"/>
        <v>Short Time Login</v>
      </c>
      <c r="AA343" s="35" t="s">
        <v>577</v>
      </c>
      <c r="AB343" s="35" t="s">
        <v>343</v>
      </c>
      <c r="AC343" s="35">
        <v>37</v>
      </c>
      <c r="AD343" s="35">
        <v>98</v>
      </c>
      <c r="AE343" s="35" t="s">
        <v>25</v>
      </c>
      <c r="AF343" s="35">
        <v>2000</v>
      </c>
      <c r="AH343" s="35" t="s">
        <v>27</v>
      </c>
    </row>
    <row r="344" spans="1:34">
      <c r="A344" t="s">
        <v>578</v>
      </c>
      <c r="B344" t="s">
        <v>70</v>
      </c>
      <c r="C344">
        <v>18</v>
      </c>
      <c r="D344" t="s">
        <v>21</v>
      </c>
      <c r="E344" t="s">
        <v>44</v>
      </c>
      <c r="F344" t="s">
        <v>88</v>
      </c>
      <c r="G344" t="s">
        <v>89</v>
      </c>
      <c r="H344">
        <v>49</v>
      </c>
      <c r="I344">
        <v>87</v>
      </c>
      <c r="J344" t="s">
        <v>25</v>
      </c>
      <c r="K344">
        <v>20000</v>
      </c>
      <c r="L344">
        <v>19830</v>
      </c>
      <c r="M344">
        <v>2000</v>
      </c>
      <c r="N344" t="s">
        <v>26</v>
      </c>
      <c r="O344" t="s">
        <v>27</v>
      </c>
      <c r="P344" s="1">
        <v>45735</v>
      </c>
      <c r="Q344" s="1">
        <v>45825</v>
      </c>
      <c r="R344" s="2">
        <v>0.45624999999999999</v>
      </c>
      <c r="S344" s="2">
        <v>0.52361111111111114</v>
      </c>
      <c r="T344" t="str" cm="1">
        <f t="array" ref="T344">_xlfn.IFS(H344&gt;=90,"A",H344&gt;=75,"B",H344&gt;=60,"C",H344&lt;60,"D")</f>
        <v>D</v>
      </c>
      <c r="U344" t="str">
        <f t="shared" si="20"/>
        <v>10:57 AM</v>
      </c>
      <c r="V344" t="str">
        <f t="shared" si="21"/>
        <v>On Time</v>
      </c>
      <c r="W344" t="str">
        <f t="shared" si="22"/>
        <v>1 Hours 37 Minutes</v>
      </c>
      <c r="X344" t="str">
        <f t="shared" si="23"/>
        <v>Long Time Login</v>
      </c>
      <c r="AA344" s="34" t="s">
        <v>578</v>
      </c>
      <c r="AB344" s="34" t="s">
        <v>70</v>
      </c>
      <c r="AC344" s="34">
        <v>49</v>
      </c>
      <c r="AD344" s="34">
        <v>87</v>
      </c>
      <c r="AE344" s="34" t="s">
        <v>25</v>
      </c>
      <c r="AF344" s="34">
        <v>2000</v>
      </c>
      <c r="AH344" s="34" t="s">
        <v>27</v>
      </c>
    </row>
    <row r="345" spans="1:34">
      <c r="A345" t="s">
        <v>579</v>
      </c>
      <c r="B345" t="s">
        <v>396</v>
      </c>
      <c r="C345">
        <v>26</v>
      </c>
      <c r="D345" t="s">
        <v>35</v>
      </c>
      <c r="E345" t="s">
        <v>67</v>
      </c>
      <c r="F345" t="s">
        <v>49</v>
      </c>
      <c r="G345" t="s">
        <v>50</v>
      </c>
      <c r="H345">
        <v>36</v>
      </c>
      <c r="I345">
        <v>89</v>
      </c>
      <c r="J345" t="s">
        <v>25</v>
      </c>
      <c r="K345">
        <v>18000</v>
      </c>
      <c r="L345">
        <v>18650</v>
      </c>
      <c r="M345">
        <v>2000</v>
      </c>
      <c r="N345" t="s">
        <v>26</v>
      </c>
      <c r="O345" t="s">
        <v>27</v>
      </c>
      <c r="P345" s="1">
        <v>45992</v>
      </c>
      <c r="Q345" s="1">
        <v>46082</v>
      </c>
      <c r="R345" s="2">
        <v>0.36180555555555555</v>
      </c>
      <c r="S345" s="2">
        <v>0.54722222222222228</v>
      </c>
      <c r="T345" t="str" cm="1">
        <f t="array" ref="T345">_xlfn.IFS(H345&gt;=90,"A",H345&gt;=75,"B",H345&gt;=60,"C",H345&lt;60,"D")</f>
        <v>D</v>
      </c>
      <c r="U345" t="str">
        <f t="shared" si="20"/>
        <v>08:41 AM</v>
      </c>
      <c r="V345" t="str">
        <f t="shared" si="21"/>
        <v>On Time</v>
      </c>
      <c r="W345" t="str">
        <f t="shared" si="22"/>
        <v>4 Hours 27 Minutes</v>
      </c>
      <c r="X345" t="str">
        <f t="shared" si="23"/>
        <v>Short Time Login</v>
      </c>
      <c r="AA345" s="35" t="s">
        <v>579</v>
      </c>
      <c r="AB345" s="35" t="s">
        <v>396</v>
      </c>
      <c r="AC345" s="35">
        <v>36</v>
      </c>
      <c r="AD345" s="35">
        <v>89</v>
      </c>
      <c r="AE345" s="35" t="s">
        <v>25</v>
      </c>
      <c r="AF345" s="35">
        <v>2000</v>
      </c>
      <c r="AH345" s="35" t="s">
        <v>27</v>
      </c>
    </row>
    <row r="346" spans="1:34">
      <c r="A346" t="s">
        <v>580</v>
      </c>
      <c r="B346" t="s">
        <v>83</v>
      </c>
      <c r="C346">
        <v>26</v>
      </c>
      <c r="D346" t="s">
        <v>21</v>
      </c>
      <c r="E346" t="s">
        <v>67</v>
      </c>
      <c r="F346" t="s">
        <v>88</v>
      </c>
      <c r="G346" t="s">
        <v>89</v>
      </c>
      <c r="H346">
        <v>37</v>
      </c>
      <c r="I346">
        <v>84</v>
      </c>
      <c r="J346" t="s">
        <v>25</v>
      </c>
      <c r="K346">
        <v>20000</v>
      </c>
      <c r="L346">
        <v>19600</v>
      </c>
      <c r="M346">
        <v>4000</v>
      </c>
      <c r="N346" t="s">
        <v>26</v>
      </c>
      <c r="O346" t="s">
        <v>27</v>
      </c>
      <c r="P346" s="1">
        <v>45740</v>
      </c>
      <c r="Q346" s="1">
        <v>45800</v>
      </c>
      <c r="R346" s="2">
        <v>0.4236111111111111</v>
      </c>
      <c r="S346" s="2">
        <v>0.59444444444444444</v>
      </c>
      <c r="T346" t="str" cm="1">
        <f t="array" ref="T346">_xlfn.IFS(H346&gt;=90,"A",H346&gt;=75,"B",H346&gt;=60,"C",H346&lt;60,"D")</f>
        <v>D</v>
      </c>
      <c r="U346" t="str">
        <f t="shared" si="20"/>
        <v>10:10 AM</v>
      </c>
      <c r="V346" t="str">
        <f t="shared" si="21"/>
        <v>On Time</v>
      </c>
      <c r="W346" t="str">
        <f t="shared" si="22"/>
        <v>4 Hours 6 Minutes</v>
      </c>
      <c r="X346" t="str">
        <f t="shared" si="23"/>
        <v>Long Time Login</v>
      </c>
      <c r="AA346" s="34" t="s">
        <v>580</v>
      </c>
      <c r="AB346" s="34" t="s">
        <v>83</v>
      </c>
      <c r="AC346" s="34">
        <v>37</v>
      </c>
      <c r="AD346" s="34">
        <v>84</v>
      </c>
      <c r="AE346" s="34" t="s">
        <v>25</v>
      </c>
      <c r="AF346" s="34">
        <v>4000</v>
      </c>
      <c r="AH346" s="34" t="s">
        <v>27</v>
      </c>
    </row>
    <row r="347" spans="1:34">
      <c r="A347" t="s">
        <v>581</v>
      </c>
      <c r="B347" t="s">
        <v>146</v>
      </c>
      <c r="C347">
        <v>24</v>
      </c>
      <c r="D347" t="s">
        <v>35</v>
      </c>
      <c r="E347" t="s">
        <v>39</v>
      </c>
      <c r="F347" t="s">
        <v>88</v>
      </c>
      <c r="G347" t="s">
        <v>89</v>
      </c>
      <c r="H347">
        <v>92</v>
      </c>
      <c r="I347">
        <v>94</v>
      </c>
      <c r="J347" t="s">
        <v>59</v>
      </c>
      <c r="K347">
        <v>15000</v>
      </c>
      <c r="L347">
        <v>14520</v>
      </c>
      <c r="M347">
        <v>2000</v>
      </c>
      <c r="N347" t="s">
        <v>26</v>
      </c>
      <c r="O347" t="s">
        <v>27</v>
      </c>
      <c r="P347" s="1">
        <v>45914</v>
      </c>
      <c r="Q347" s="1">
        <v>46004</v>
      </c>
      <c r="R347" s="2">
        <v>0.44791666666666669</v>
      </c>
      <c r="S347" s="2">
        <v>0.55555555555555558</v>
      </c>
      <c r="T347" t="str" cm="1">
        <f t="array" ref="T347">_xlfn.IFS(H347&gt;=90,"A",H347&gt;=75,"B",H347&gt;=60,"C",H347&lt;60,"D")</f>
        <v>A</v>
      </c>
      <c r="U347" t="str">
        <f t="shared" si="20"/>
        <v>10:45 AM</v>
      </c>
      <c r="V347" t="str">
        <f t="shared" si="21"/>
        <v>On Time</v>
      </c>
      <c r="W347" t="str">
        <f t="shared" si="22"/>
        <v>2 Hours 35 Minutes</v>
      </c>
      <c r="X347" t="str">
        <f t="shared" si="23"/>
        <v>Long Time Login</v>
      </c>
      <c r="AA347" s="35" t="s">
        <v>581</v>
      </c>
      <c r="AB347" s="35" t="s">
        <v>146</v>
      </c>
      <c r="AC347" s="35">
        <v>92</v>
      </c>
      <c r="AD347" s="35">
        <v>94</v>
      </c>
      <c r="AE347" s="35" t="s">
        <v>59</v>
      </c>
      <c r="AF347" s="35">
        <v>2000</v>
      </c>
      <c r="AH347" s="35" t="s">
        <v>27</v>
      </c>
    </row>
    <row r="348" spans="1:34">
      <c r="A348" t="s">
        <v>582</v>
      </c>
      <c r="B348" t="s">
        <v>117</v>
      </c>
      <c r="C348">
        <v>23</v>
      </c>
      <c r="D348" t="s">
        <v>35</v>
      </c>
      <c r="E348" t="s">
        <v>22</v>
      </c>
      <c r="F348" t="s">
        <v>63</v>
      </c>
      <c r="G348" t="s">
        <v>64</v>
      </c>
      <c r="H348">
        <v>60</v>
      </c>
      <c r="I348">
        <v>76</v>
      </c>
      <c r="J348" t="s">
        <v>68</v>
      </c>
      <c r="K348">
        <v>12000</v>
      </c>
      <c r="L348">
        <v>12390</v>
      </c>
      <c r="M348">
        <v>0</v>
      </c>
      <c r="N348" t="s">
        <v>11</v>
      </c>
      <c r="O348" t="s">
        <v>27</v>
      </c>
      <c r="P348" s="1">
        <v>45905</v>
      </c>
      <c r="Q348" s="1">
        <v>45995</v>
      </c>
      <c r="R348" s="2">
        <v>0.36249999999999999</v>
      </c>
      <c r="S348" s="2">
        <v>0.50416666666666665</v>
      </c>
      <c r="T348" t="str" cm="1">
        <f t="array" ref="T348">_xlfn.IFS(H348&gt;=90,"A",H348&gt;=75,"B",H348&gt;=60,"C",H348&lt;60,"D")</f>
        <v>C</v>
      </c>
      <c r="U348" t="str">
        <f t="shared" si="20"/>
        <v>08:42 AM</v>
      </c>
      <c r="V348" t="str">
        <f t="shared" si="21"/>
        <v>On Time</v>
      </c>
      <c r="W348" t="str">
        <f t="shared" si="22"/>
        <v>3 Hours 24 Minutes</v>
      </c>
      <c r="X348" t="str">
        <f t="shared" si="23"/>
        <v>Short Time Login</v>
      </c>
      <c r="AA348" s="34" t="s">
        <v>582</v>
      </c>
      <c r="AB348" s="34" t="s">
        <v>117</v>
      </c>
      <c r="AC348" s="34">
        <v>60</v>
      </c>
      <c r="AD348" s="34">
        <v>76</v>
      </c>
      <c r="AE348" s="34" t="s">
        <v>68</v>
      </c>
      <c r="AF348" s="34">
        <v>0</v>
      </c>
      <c r="AH348" s="34" t="s">
        <v>27</v>
      </c>
    </row>
    <row r="349" spans="1:34">
      <c r="A349" t="s">
        <v>583</v>
      </c>
      <c r="B349" t="s">
        <v>584</v>
      </c>
      <c r="C349">
        <v>25</v>
      </c>
      <c r="D349" t="s">
        <v>21</v>
      </c>
      <c r="E349" t="s">
        <v>36</v>
      </c>
      <c r="F349" t="s">
        <v>23</v>
      </c>
      <c r="G349" t="s">
        <v>24</v>
      </c>
      <c r="H349">
        <v>37</v>
      </c>
      <c r="I349">
        <v>88</v>
      </c>
      <c r="J349" t="s">
        <v>25</v>
      </c>
      <c r="K349">
        <v>15000</v>
      </c>
      <c r="L349">
        <v>15930</v>
      </c>
      <c r="M349">
        <v>0</v>
      </c>
      <c r="N349" t="s">
        <v>11</v>
      </c>
      <c r="O349" t="s">
        <v>27</v>
      </c>
      <c r="P349" s="1">
        <v>45769</v>
      </c>
      <c r="Q349" s="1">
        <v>45949</v>
      </c>
      <c r="R349" s="2">
        <v>0.42083333333333334</v>
      </c>
      <c r="S349" s="2">
        <v>0.57013888888888886</v>
      </c>
      <c r="T349" t="str" cm="1">
        <f t="array" ref="T349">_xlfn.IFS(H349&gt;=90,"A",H349&gt;=75,"B",H349&gt;=60,"C",H349&lt;60,"D")</f>
        <v>D</v>
      </c>
      <c r="U349" t="str">
        <f t="shared" si="20"/>
        <v>10:06 AM</v>
      </c>
      <c r="V349" t="str">
        <f t="shared" si="21"/>
        <v>Delayed</v>
      </c>
      <c r="W349" t="str">
        <f t="shared" si="22"/>
        <v>3 Hours 35 Minutes</v>
      </c>
      <c r="X349" t="str">
        <f t="shared" si="23"/>
        <v>Long Time Login</v>
      </c>
      <c r="AA349" s="35" t="s">
        <v>583</v>
      </c>
      <c r="AB349" s="35" t="s">
        <v>584</v>
      </c>
      <c r="AC349" s="35">
        <v>37</v>
      </c>
      <c r="AD349" s="35">
        <v>88</v>
      </c>
      <c r="AE349" s="35" t="s">
        <v>25</v>
      </c>
      <c r="AF349" s="35">
        <v>0</v>
      </c>
      <c r="AH349" s="35" t="s">
        <v>27</v>
      </c>
    </row>
    <row r="350" spans="1:34">
      <c r="A350" t="s">
        <v>585</v>
      </c>
      <c r="B350" t="s">
        <v>586</v>
      </c>
      <c r="C350">
        <v>23</v>
      </c>
      <c r="D350" t="s">
        <v>35</v>
      </c>
      <c r="E350" t="s">
        <v>39</v>
      </c>
      <c r="F350" t="s">
        <v>31</v>
      </c>
      <c r="G350" t="s">
        <v>32</v>
      </c>
      <c r="H350">
        <v>77</v>
      </c>
      <c r="I350">
        <v>74</v>
      </c>
      <c r="J350" t="s">
        <v>45</v>
      </c>
      <c r="K350">
        <v>10000</v>
      </c>
      <c r="L350">
        <v>10620</v>
      </c>
      <c r="M350">
        <v>0</v>
      </c>
      <c r="N350" t="s">
        <v>11</v>
      </c>
      <c r="O350" t="s">
        <v>27</v>
      </c>
      <c r="P350" s="1">
        <v>45849</v>
      </c>
      <c r="Q350" s="1">
        <v>46029</v>
      </c>
      <c r="R350" s="2">
        <v>0.4201388888888889</v>
      </c>
      <c r="S350" s="2">
        <v>0.59166666666666667</v>
      </c>
      <c r="T350" t="str" cm="1">
        <f t="array" ref="T350">_xlfn.IFS(H350&gt;=90,"A",H350&gt;=75,"B",H350&gt;=60,"C",H350&lt;60,"D")</f>
        <v>B</v>
      </c>
      <c r="U350" t="str">
        <f t="shared" si="20"/>
        <v>10:05 AM</v>
      </c>
      <c r="V350" t="str">
        <f t="shared" si="21"/>
        <v>Delayed</v>
      </c>
      <c r="W350" t="str">
        <f t="shared" si="22"/>
        <v>4 Hours 7 Minutes</v>
      </c>
      <c r="X350" t="str">
        <f t="shared" si="23"/>
        <v>Long Time Login</v>
      </c>
      <c r="AA350" s="34" t="s">
        <v>585</v>
      </c>
      <c r="AB350" s="34" t="s">
        <v>586</v>
      </c>
      <c r="AC350" s="34">
        <v>77</v>
      </c>
      <c r="AD350" s="34">
        <v>74</v>
      </c>
      <c r="AE350" s="34" t="s">
        <v>45</v>
      </c>
      <c r="AF350" s="34">
        <v>0</v>
      </c>
      <c r="AH350" s="34" t="s">
        <v>27</v>
      </c>
    </row>
    <row r="351" spans="1:34">
      <c r="A351" t="s">
        <v>587</v>
      </c>
      <c r="B351" t="s">
        <v>187</v>
      </c>
      <c r="C351">
        <v>23</v>
      </c>
      <c r="D351" t="s">
        <v>21</v>
      </c>
      <c r="E351" t="s">
        <v>67</v>
      </c>
      <c r="F351" t="s">
        <v>40</v>
      </c>
      <c r="G351" t="s">
        <v>41</v>
      </c>
      <c r="H351">
        <v>37</v>
      </c>
      <c r="I351">
        <v>90</v>
      </c>
      <c r="J351" t="s">
        <v>25</v>
      </c>
      <c r="K351">
        <v>10000</v>
      </c>
      <c r="L351">
        <v>7210</v>
      </c>
      <c r="M351">
        <v>4000</v>
      </c>
      <c r="N351" t="s">
        <v>26</v>
      </c>
      <c r="O351" t="s">
        <v>27</v>
      </c>
      <c r="P351" s="1">
        <v>45984</v>
      </c>
      <c r="Q351" s="1">
        <v>46104</v>
      </c>
      <c r="R351" s="2">
        <v>0.35972222222222222</v>
      </c>
      <c r="S351" s="2">
        <v>0.54236111111111107</v>
      </c>
      <c r="T351" t="str" cm="1">
        <f t="array" ref="T351">_xlfn.IFS(H351&gt;=90,"A",H351&gt;=75,"B",H351&gt;=60,"C",H351&lt;60,"D")</f>
        <v>D</v>
      </c>
      <c r="U351" t="str">
        <f t="shared" si="20"/>
        <v>08:38 AM</v>
      </c>
      <c r="V351" t="str">
        <f t="shared" si="21"/>
        <v>Delayed</v>
      </c>
      <c r="W351" t="str">
        <f t="shared" si="22"/>
        <v>4 Hours 23 Minutes</v>
      </c>
      <c r="X351" t="str">
        <f t="shared" si="23"/>
        <v>Short Time Login</v>
      </c>
      <c r="AA351" s="35" t="s">
        <v>587</v>
      </c>
      <c r="AB351" s="35" t="s">
        <v>187</v>
      </c>
      <c r="AC351" s="35">
        <v>37</v>
      </c>
      <c r="AD351" s="35">
        <v>90</v>
      </c>
      <c r="AE351" s="35" t="s">
        <v>25</v>
      </c>
      <c r="AF351" s="35">
        <v>4000</v>
      </c>
      <c r="AH351" s="35" t="s">
        <v>27</v>
      </c>
    </row>
    <row r="352" spans="1:34">
      <c r="A352" t="s">
        <v>588</v>
      </c>
      <c r="B352" t="s">
        <v>181</v>
      </c>
      <c r="C352">
        <v>19</v>
      </c>
      <c r="D352" t="s">
        <v>21</v>
      </c>
      <c r="E352" t="s">
        <v>73</v>
      </c>
      <c r="F352" t="s">
        <v>53</v>
      </c>
      <c r="G352" t="s">
        <v>54</v>
      </c>
      <c r="H352">
        <v>72</v>
      </c>
      <c r="I352">
        <v>74</v>
      </c>
      <c r="J352" t="s">
        <v>68</v>
      </c>
      <c r="K352">
        <v>12000</v>
      </c>
      <c r="L352">
        <v>10390</v>
      </c>
      <c r="M352">
        <v>2000</v>
      </c>
      <c r="N352" t="s">
        <v>26</v>
      </c>
      <c r="O352" t="s">
        <v>27</v>
      </c>
      <c r="P352" s="1">
        <v>46003</v>
      </c>
      <c r="Q352" s="1">
        <v>46183</v>
      </c>
      <c r="R352" s="2">
        <v>0.41944444444444445</v>
      </c>
      <c r="S352" s="2">
        <v>0.47222222222222221</v>
      </c>
      <c r="T352" t="str" cm="1">
        <f t="array" ref="T352">_xlfn.IFS(H352&gt;=90,"A",H352&gt;=75,"B",H352&gt;=60,"C",H352&lt;60,"D")</f>
        <v>C</v>
      </c>
      <c r="U352" t="str">
        <f t="shared" si="20"/>
        <v>10:04 AM</v>
      </c>
      <c r="V352" t="str">
        <f t="shared" si="21"/>
        <v>Delayed</v>
      </c>
      <c r="W352" t="str">
        <f t="shared" si="22"/>
        <v>1 Hours 16 Minutes</v>
      </c>
      <c r="X352" t="str">
        <f t="shared" si="23"/>
        <v>Long Time Login</v>
      </c>
      <c r="AA352" s="34" t="s">
        <v>588</v>
      </c>
      <c r="AB352" s="34" t="s">
        <v>181</v>
      </c>
      <c r="AC352" s="34">
        <v>72</v>
      </c>
      <c r="AD352" s="34">
        <v>74</v>
      </c>
      <c r="AE352" s="34" t="s">
        <v>68</v>
      </c>
      <c r="AF352" s="34">
        <v>2000</v>
      </c>
      <c r="AH352" s="34" t="s">
        <v>27</v>
      </c>
    </row>
    <row r="353" spans="1:34">
      <c r="A353" t="s">
        <v>589</v>
      </c>
      <c r="B353" t="s">
        <v>534</v>
      </c>
      <c r="C353">
        <v>22</v>
      </c>
      <c r="D353" t="s">
        <v>21</v>
      </c>
      <c r="E353" t="s">
        <v>73</v>
      </c>
      <c r="F353" t="s">
        <v>63</v>
      </c>
      <c r="G353" t="s">
        <v>64</v>
      </c>
      <c r="H353">
        <v>38</v>
      </c>
      <c r="I353">
        <v>73</v>
      </c>
      <c r="J353" t="s">
        <v>25</v>
      </c>
      <c r="K353">
        <v>12000</v>
      </c>
      <c r="L353">
        <v>10980</v>
      </c>
      <c r="M353">
        <v>2000</v>
      </c>
      <c r="N353" t="s">
        <v>26</v>
      </c>
      <c r="O353" t="s">
        <v>27</v>
      </c>
      <c r="P353" s="1">
        <v>45720</v>
      </c>
      <c r="Q353" s="1">
        <v>45780</v>
      </c>
      <c r="R353" s="2">
        <v>0.42916666666666664</v>
      </c>
      <c r="S353" s="2">
        <v>0.51111111111111107</v>
      </c>
      <c r="T353" t="str" cm="1">
        <f t="array" ref="T353">_xlfn.IFS(H353&gt;=90,"A",H353&gt;=75,"B",H353&gt;=60,"C",H353&lt;60,"D")</f>
        <v>D</v>
      </c>
      <c r="U353" t="str">
        <f t="shared" si="20"/>
        <v>10:18 AM</v>
      </c>
      <c r="V353" t="str">
        <f t="shared" si="21"/>
        <v>On Time</v>
      </c>
      <c r="W353" t="str">
        <f t="shared" si="22"/>
        <v>1 Hours 58 Minutes</v>
      </c>
      <c r="X353" t="str">
        <f t="shared" si="23"/>
        <v>Long Time Login</v>
      </c>
      <c r="AA353" s="35" t="s">
        <v>589</v>
      </c>
      <c r="AB353" s="35" t="s">
        <v>534</v>
      </c>
      <c r="AC353" s="35">
        <v>38</v>
      </c>
      <c r="AD353" s="35">
        <v>73</v>
      </c>
      <c r="AE353" s="35" t="s">
        <v>25</v>
      </c>
      <c r="AF353" s="35">
        <v>2000</v>
      </c>
      <c r="AH353" s="35" t="s">
        <v>27</v>
      </c>
    </row>
    <row r="354" spans="1:34">
      <c r="A354" t="s">
        <v>590</v>
      </c>
      <c r="B354" t="s">
        <v>591</v>
      </c>
      <c r="C354">
        <v>21</v>
      </c>
      <c r="D354" t="s">
        <v>21</v>
      </c>
      <c r="E354" t="s">
        <v>39</v>
      </c>
      <c r="F354" t="s">
        <v>49</v>
      </c>
      <c r="G354" t="s">
        <v>50</v>
      </c>
      <c r="H354">
        <v>77</v>
      </c>
      <c r="I354">
        <v>67</v>
      </c>
      <c r="J354" t="s">
        <v>45</v>
      </c>
      <c r="K354">
        <v>20000</v>
      </c>
      <c r="L354">
        <v>21830</v>
      </c>
      <c r="M354">
        <v>0</v>
      </c>
      <c r="N354" t="s">
        <v>11</v>
      </c>
      <c r="O354" t="s">
        <v>27</v>
      </c>
      <c r="P354" s="1">
        <v>46012</v>
      </c>
      <c r="Q354" s="1">
        <v>46072</v>
      </c>
      <c r="R354" s="2">
        <v>0.36388888888888887</v>
      </c>
      <c r="S354" s="2">
        <v>0.41944444444444445</v>
      </c>
      <c r="T354" t="str" cm="1">
        <f t="array" ref="T354">_xlfn.IFS(H354&gt;=90,"A",H354&gt;=75,"B",H354&gt;=60,"C",H354&lt;60,"D")</f>
        <v>B</v>
      </c>
      <c r="U354" t="str">
        <f t="shared" si="20"/>
        <v>08:44 AM</v>
      </c>
      <c r="V354" t="str">
        <f t="shared" si="21"/>
        <v>On Time</v>
      </c>
      <c r="W354" t="str">
        <f t="shared" si="22"/>
        <v>1 Hours 20 Minutes</v>
      </c>
      <c r="X354" t="str">
        <f t="shared" si="23"/>
        <v>Short Time Login</v>
      </c>
      <c r="AA354" s="34" t="s">
        <v>590</v>
      </c>
      <c r="AB354" s="34" t="s">
        <v>591</v>
      </c>
      <c r="AC354" s="34">
        <v>77</v>
      </c>
      <c r="AD354" s="34">
        <v>67</v>
      </c>
      <c r="AE354" s="34" t="s">
        <v>45</v>
      </c>
      <c r="AF354" s="34">
        <v>0</v>
      </c>
      <c r="AH354" s="34" t="s">
        <v>27</v>
      </c>
    </row>
    <row r="355" spans="1:34">
      <c r="A355" t="s">
        <v>592</v>
      </c>
      <c r="B355" t="s">
        <v>222</v>
      </c>
      <c r="C355">
        <v>25</v>
      </c>
      <c r="D355" t="s">
        <v>21</v>
      </c>
      <c r="E355" t="s">
        <v>39</v>
      </c>
      <c r="F355" t="s">
        <v>49</v>
      </c>
      <c r="G355" t="s">
        <v>50</v>
      </c>
      <c r="H355">
        <v>96</v>
      </c>
      <c r="I355">
        <v>94</v>
      </c>
      <c r="J355" t="s">
        <v>59</v>
      </c>
      <c r="K355">
        <v>12000</v>
      </c>
      <c r="L355">
        <v>11570</v>
      </c>
      <c r="M355">
        <v>2000</v>
      </c>
      <c r="N355" t="s">
        <v>26</v>
      </c>
      <c r="O355" t="s">
        <v>27</v>
      </c>
      <c r="P355" s="1">
        <v>45720</v>
      </c>
      <c r="Q355" s="1">
        <v>45810</v>
      </c>
      <c r="R355" s="2">
        <v>0.44930555555555557</v>
      </c>
      <c r="S355" s="2">
        <v>0.5180555555555556</v>
      </c>
      <c r="T355" t="str" cm="1">
        <f t="array" ref="T355">_xlfn.IFS(H355&gt;=90,"A",H355&gt;=75,"B",H355&gt;=60,"C",H355&lt;60,"D")</f>
        <v>A</v>
      </c>
      <c r="U355" t="str">
        <f t="shared" si="20"/>
        <v>10:47 AM</v>
      </c>
      <c r="V355" t="str">
        <f t="shared" si="21"/>
        <v>On Time</v>
      </c>
      <c r="W355" t="str">
        <f t="shared" si="22"/>
        <v>1 Hours 39 Minutes</v>
      </c>
      <c r="X355" t="str">
        <f t="shared" si="23"/>
        <v>Long Time Login</v>
      </c>
      <c r="AA355" s="35" t="s">
        <v>592</v>
      </c>
      <c r="AB355" s="35" t="s">
        <v>222</v>
      </c>
      <c r="AC355" s="35">
        <v>96</v>
      </c>
      <c r="AD355" s="35">
        <v>94</v>
      </c>
      <c r="AE355" s="35" t="s">
        <v>59</v>
      </c>
      <c r="AF355" s="35">
        <v>2000</v>
      </c>
      <c r="AH355" s="35" t="s">
        <v>27</v>
      </c>
    </row>
    <row r="356" spans="1:34">
      <c r="A356" t="s">
        <v>593</v>
      </c>
      <c r="B356" t="s">
        <v>87</v>
      </c>
      <c r="C356">
        <v>20</v>
      </c>
      <c r="D356" t="s">
        <v>35</v>
      </c>
      <c r="E356" t="s">
        <v>62</v>
      </c>
      <c r="F356" t="s">
        <v>88</v>
      </c>
      <c r="G356" t="s">
        <v>89</v>
      </c>
      <c r="H356">
        <v>71</v>
      </c>
      <c r="I356">
        <v>97</v>
      </c>
      <c r="J356" t="s">
        <v>68</v>
      </c>
      <c r="K356">
        <v>20000</v>
      </c>
      <c r="L356">
        <v>19010</v>
      </c>
      <c r="M356">
        <v>4000</v>
      </c>
      <c r="N356" t="s">
        <v>26</v>
      </c>
      <c r="O356" t="s">
        <v>27</v>
      </c>
      <c r="P356" s="1">
        <v>45686</v>
      </c>
      <c r="Q356" s="1">
        <v>45776</v>
      </c>
      <c r="R356" s="2">
        <v>0.34236111111111112</v>
      </c>
      <c r="S356" s="2">
        <v>0.42291666666666666</v>
      </c>
      <c r="T356" t="str" cm="1">
        <f t="array" ref="T356">_xlfn.IFS(H356&gt;=90,"A",H356&gt;=75,"B",H356&gt;=60,"C",H356&lt;60,"D")</f>
        <v>C</v>
      </c>
      <c r="U356" t="str">
        <f t="shared" si="20"/>
        <v>08:13 AM</v>
      </c>
      <c r="V356" t="str">
        <f t="shared" si="21"/>
        <v>On Time</v>
      </c>
      <c r="W356" t="str">
        <f t="shared" si="22"/>
        <v>1 Hours 56 Minutes</v>
      </c>
      <c r="X356" t="str">
        <f t="shared" si="23"/>
        <v>Short Time Login</v>
      </c>
      <c r="AA356" s="34" t="s">
        <v>593</v>
      </c>
      <c r="AB356" s="34" t="s">
        <v>87</v>
      </c>
      <c r="AC356" s="34">
        <v>71</v>
      </c>
      <c r="AD356" s="34">
        <v>97</v>
      </c>
      <c r="AE356" s="34" t="s">
        <v>68</v>
      </c>
      <c r="AF356" s="34">
        <v>4000</v>
      </c>
      <c r="AH356" s="34" t="s">
        <v>27</v>
      </c>
    </row>
    <row r="357" spans="1:34">
      <c r="A357" t="s">
        <v>594</v>
      </c>
      <c r="B357" t="s">
        <v>243</v>
      </c>
      <c r="C357">
        <v>24</v>
      </c>
      <c r="D357" t="s">
        <v>21</v>
      </c>
      <c r="E357" t="s">
        <v>30</v>
      </c>
      <c r="F357" t="s">
        <v>63</v>
      </c>
      <c r="G357" t="s">
        <v>64</v>
      </c>
      <c r="H357">
        <v>39</v>
      </c>
      <c r="I357">
        <v>85</v>
      </c>
      <c r="J357" t="s">
        <v>25</v>
      </c>
      <c r="K357">
        <v>12000</v>
      </c>
      <c r="L357">
        <v>10160</v>
      </c>
      <c r="M357">
        <v>4000</v>
      </c>
      <c r="N357" t="s">
        <v>26</v>
      </c>
      <c r="O357" t="s">
        <v>27</v>
      </c>
      <c r="P357" s="1">
        <v>45971</v>
      </c>
      <c r="Q357" s="1">
        <v>46151</v>
      </c>
      <c r="R357" s="2">
        <v>0.40694444444444444</v>
      </c>
      <c r="S357" s="2">
        <v>0.48541666666666666</v>
      </c>
      <c r="T357" t="str" cm="1">
        <f t="array" ref="T357">_xlfn.IFS(H357&gt;=90,"A",H357&gt;=75,"B",H357&gt;=60,"C",H357&lt;60,"D")</f>
        <v>D</v>
      </c>
      <c r="U357" t="str">
        <f t="shared" si="20"/>
        <v>09:46 AM</v>
      </c>
      <c r="V357" t="str">
        <f t="shared" si="21"/>
        <v>Delayed</v>
      </c>
      <c r="W357" t="str">
        <f t="shared" si="22"/>
        <v>1 Hours 53 Minutes</v>
      </c>
      <c r="X357" t="str">
        <f t="shared" si="23"/>
        <v>Short Time Login</v>
      </c>
      <c r="AA357" s="35" t="s">
        <v>594</v>
      </c>
      <c r="AB357" s="35" t="s">
        <v>243</v>
      </c>
      <c r="AC357" s="35">
        <v>39</v>
      </c>
      <c r="AD357" s="35">
        <v>85</v>
      </c>
      <c r="AE357" s="35" t="s">
        <v>25</v>
      </c>
      <c r="AF357" s="35">
        <v>4000</v>
      </c>
      <c r="AH357" s="35" t="s">
        <v>27</v>
      </c>
    </row>
    <row r="358" spans="1:34">
      <c r="A358" t="s">
        <v>595</v>
      </c>
      <c r="B358" t="s">
        <v>449</v>
      </c>
      <c r="C358">
        <v>19</v>
      </c>
      <c r="D358" t="s">
        <v>35</v>
      </c>
      <c r="E358" t="s">
        <v>22</v>
      </c>
      <c r="F358" t="s">
        <v>88</v>
      </c>
      <c r="G358" t="s">
        <v>89</v>
      </c>
      <c r="H358">
        <v>70</v>
      </c>
      <c r="I358">
        <v>71</v>
      </c>
      <c r="J358" t="s">
        <v>68</v>
      </c>
      <c r="K358">
        <v>18000</v>
      </c>
      <c r="L358">
        <v>19470</v>
      </c>
      <c r="M358">
        <v>0</v>
      </c>
      <c r="N358" t="s">
        <v>11</v>
      </c>
      <c r="O358" t="s">
        <v>27</v>
      </c>
      <c r="P358" s="1">
        <v>45758</v>
      </c>
      <c r="Q358" s="1">
        <v>45788</v>
      </c>
      <c r="R358" s="2">
        <v>0.35</v>
      </c>
      <c r="S358" s="2">
        <v>0.39513888888888887</v>
      </c>
      <c r="T358" t="str" cm="1">
        <f t="array" ref="T358">_xlfn.IFS(H358&gt;=90,"A",H358&gt;=75,"B",H358&gt;=60,"C",H358&lt;60,"D")</f>
        <v>C</v>
      </c>
      <c r="U358" t="str">
        <f t="shared" si="20"/>
        <v>08:24 AM</v>
      </c>
      <c r="V358" t="str">
        <f t="shared" si="21"/>
        <v>On Time</v>
      </c>
      <c r="W358" t="str">
        <f t="shared" si="22"/>
        <v>1 Hours 5 Minutes</v>
      </c>
      <c r="X358" t="str">
        <f t="shared" si="23"/>
        <v>Short Time Login</v>
      </c>
      <c r="AA358" s="34" t="s">
        <v>595</v>
      </c>
      <c r="AB358" s="34" t="s">
        <v>449</v>
      </c>
      <c r="AC358" s="34">
        <v>70</v>
      </c>
      <c r="AD358" s="34">
        <v>71</v>
      </c>
      <c r="AE358" s="34" t="s">
        <v>68</v>
      </c>
      <c r="AF358" s="34">
        <v>0</v>
      </c>
      <c r="AH358" s="34" t="s">
        <v>27</v>
      </c>
    </row>
    <row r="359" spans="1:34">
      <c r="A359" t="s">
        <v>596</v>
      </c>
      <c r="B359" t="s">
        <v>467</v>
      </c>
      <c r="C359">
        <v>25</v>
      </c>
      <c r="D359" t="s">
        <v>35</v>
      </c>
      <c r="E359" t="s">
        <v>39</v>
      </c>
      <c r="F359" t="s">
        <v>57</v>
      </c>
      <c r="G359" t="s">
        <v>58</v>
      </c>
      <c r="H359">
        <v>92</v>
      </c>
      <c r="I359">
        <v>100</v>
      </c>
      <c r="J359" t="s">
        <v>59</v>
      </c>
      <c r="K359">
        <v>10000</v>
      </c>
      <c r="L359">
        <v>7210</v>
      </c>
      <c r="M359">
        <v>4000</v>
      </c>
      <c r="N359" t="s">
        <v>26</v>
      </c>
      <c r="O359" t="s">
        <v>27</v>
      </c>
      <c r="P359" s="1">
        <v>45900</v>
      </c>
      <c r="Q359" s="1">
        <v>46080</v>
      </c>
      <c r="R359" s="2">
        <v>0.4513888888888889</v>
      </c>
      <c r="S359" s="2">
        <v>0.6430555555555556</v>
      </c>
      <c r="T359" t="str" cm="1">
        <f t="array" ref="T359">_xlfn.IFS(H359&gt;=90,"A",H359&gt;=75,"B",H359&gt;=60,"C",H359&lt;60,"D")</f>
        <v>A</v>
      </c>
      <c r="U359" t="str">
        <f t="shared" si="20"/>
        <v>10:50 AM</v>
      </c>
      <c r="V359" t="str">
        <f t="shared" si="21"/>
        <v>Delayed</v>
      </c>
      <c r="W359" t="str">
        <f t="shared" si="22"/>
        <v>4 Hours 36 Minutes</v>
      </c>
      <c r="X359" t="str">
        <f t="shared" si="23"/>
        <v>Long Time Login</v>
      </c>
      <c r="AA359" s="35" t="s">
        <v>596</v>
      </c>
      <c r="AB359" s="35" t="s">
        <v>467</v>
      </c>
      <c r="AC359" s="35">
        <v>92</v>
      </c>
      <c r="AD359" s="35">
        <v>100</v>
      </c>
      <c r="AE359" s="35" t="s">
        <v>59</v>
      </c>
      <c r="AF359" s="35">
        <v>4000</v>
      </c>
      <c r="AH359" s="35" t="s">
        <v>27</v>
      </c>
    </row>
    <row r="360" spans="1:34">
      <c r="A360" t="s">
        <v>597</v>
      </c>
      <c r="B360" t="s">
        <v>158</v>
      </c>
      <c r="C360">
        <v>26</v>
      </c>
      <c r="D360" t="s">
        <v>21</v>
      </c>
      <c r="E360" t="s">
        <v>73</v>
      </c>
      <c r="F360" t="s">
        <v>49</v>
      </c>
      <c r="G360" t="s">
        <v>50</v>
      </c>
      <c r="H360">
        <v>82</v>
      </c>
      <c r="I360">
        <v>73</v>
      </c>
      <c r="J360" t="s">
        <v>45</v>
      </c>
      <c r="K360">
        <v>20000</v>
      </c>
      <c r="L360">
        <v>19010</v>
      </c>
      <c r="M360">
        <v>4000</v>
      </c>
      <c r="N360" t="s">
        <v>26</v>
      </c>
      <c r="O360" t="s">
        <v>27</v>
      </c>
      <c r="P360" s="1">
        <v>45702</v>
      </c>
      <c r="Q360" s="1">
        <v>45732</v>
      </c>
      <c r="R360" s="2">
        <v>0.4548611111111111</v>
      </c>
      <c r="S360" s="2">
        <v>0.55902777777777779</v>
      </c>
      <c r="T360" t="str" cm="1">
        <f t="array" ref="T360">_xlfn.IFS(H360&gt;=90,"A",H360&gt;=75,"B",H360&gt;=60,"C",H360&lt;60,"D")</f>
        <v>B</v>
      </c>
      <c r="U360" t="str">
        <f t="shared" si="20"/>
        <v>10:55 AM</v>
      </c>
      <c r="V360" t="str">
        <f t="shared" si="21"/>
        <v>On Time</v>
      </c>
      <c r="W360" t="str">
        <f t="shared" si="22"/>
        <v>2 Hours 30 Minutes</v>
      </c>
      <c r="X360" t="str">
        <f t="shared" si="23"/>
        <v>Long Time Login</v>
      </c>
      <c r="AA360" s="34" t="s">
        <v>597</v>
      </c>
      <c r="AB360" s="34" t="s">
        <v>158</v>
      </c>
      <c r="AC360" s="34">
        <v>82</v>
      </c>
      <c r="AD360" s="34">
        <v>73</v>
      </c>
      <c r="AE360" s="34" t="s">
        <v>45</v>
      </c>
      <c r="AF360" s="34">
        <v>4000</v>
      </c>
      <c r="AH360" s="34" t="s">
        <v>27</v>
      </c>
    </row>
    <row r="361" spans="1:34">
      <c r="A361" t="s">
        <v>598</v>
      </c>
      <c r="B361" t="s">
        <v>599</v>
      </c>
      <c r="C361">
        <v>25</v>
      </c>
      <c r="D361" t="s">
        <v>35</v>
      </c>
      <c r="E361" t="s">
        <v>122</v>
      </c>
      <c r="F361" t="s">
        <v>57</v>
      </c>
      <c r="G361" t="s">
        <v>58</v>
      </c>
      <c r="H361">
        <v>93</v>
      </c>
      <c r="I361">
        <v>72</v>
      </c>
      <c r="J361" t="s">
        <v>59</v>
      </c>
      <c r="K361">
        <v>12000</v>
      </c>
      <c r="L361">
        <v>10160</v>
      </c>
      <c r="M361">
        <v>4000</v>
      </c>
      <c r="N361" t="s">
        <v>26</v>
      </c>
      <c r="O361" t="s">
        <v>27</v>
      </c>
      <c r="P361" s="1">
        <v>45856</v>
      </c>
      <c r="Q361" s="1">
        <v>45976</v>
      </c>
      <c r="R361" s="2">
        <v>0.44444444444444442</v>
      </c>
      <c r="S361" s="2">
        <v>0.50208333333333333</v>
      </c>
      <c r="T361" t="str" cm="1">
        <f t="array" ref="T361">_xlfn.IFS(H361&gt;=90,"A",H361&gt;=75,"B",H361&gt;=60,"C",H361&lt;60,"D")</f>
        <v>A</v>
      </c>
      <c r="U361" t="str">
        <f t="shared" si="20"/>
        <v>10:40 AM</v>
      </c>
      <c r="V361" t="str">
        <f t="shared" si="21"/>
        <v>Delayed</v>
      </c>
      <c r="W361" t="str">
        <f t="shared" si="22"/>
        <v>1 Hours 23 Minutes</v>
      </c>
      <c r="X361" t="str">
        <f t="shared" si="23"/>
        <v>Long Time Login</v>
      </c>
      <c r="AA361" s="35" t="s">
        <v>598</v>
      </c>
      <c r="AB361" s="35" t="s">
        <v>599</v>
      </c>
      <c r="AC361" s="35">
        <v>93</v>
      </c>
      <c r="AD361" s="35">
        <v>72</v>
      </c>
      <c r="AE361" s="35" t="s">
        <v>59</v>
      </c>
      <c r="AF361" s="35">
        <v>4000</v>
      </c>
      <c r="AH361" s="35" t="s">
        <v>27</v>
      </c>
    </row>
    <row r="362" spans="1:34">
      <c r="A362" t="s">
        <v>600</v>
      </c>
      <c r="B362" t="s">
        <v>338</v>
      </c>
      <c r="C362">
        <v>19</v>
      </c>
      <c r="D362" t="s">
        <v>35</v>
      </c>
      <c r="E362" t="s">
        <v>122</v>
      </c>
      <c r="F362" t="s">
        <v>31</v>
      </c>
      <c r="G362" t="s">
        <v>32</v>
      </c>
      <c r="H362">
        <v>58</v>
      </c>
      <c r="I362">
        <v>70</v>
      </c>
      <c r="J362" t="s">
        <v>25</v>
      </c>
      <c r="K362">
        <v>18000</v>
      </c>
      <c r="L362">
        <v>21240</v>
      </c>
      <c r="M362">
        <v>0</v>
      </c>
      <c r="N362" t="s">
        <v>11</v>
      </c>
      <c r="O362" t="s">
        <v>27</v>
      </c>
      <c r="P362" s="1">
        <v>45989</v>
      </c>
      <c r="Q362" s="1">
        <v>46109</v>
      </c>
      <c r="R362" s="2">
        <v>0.40069444444444446</v>
      </c>
      <c r="S362" s="2">
        <v>0.56736111111111109</v>
      </c>
      <c r="T362" t="str" cm="1">
        <f t="array" ref="T362">_xlfn.IFS(H362&gt;=90,"A",H362&gt;=75,"B",H362&gt;=60,"C",H362&lt;60,"D")</f>
        <v>D</v>
      </c>
      <c r="U362" t="str">
        <f t="shared" si="20"/>
        <v>09:37 AM</v>
      </c>
      <c r="V362" t="str">
        <f t="shared" si="21"/>
        <v>Delayed</v>
      </c>
      <c r="W362" t="str">
        <f t="shared" si="22"/>
        <v>4 Hours 0 Minutes</v>
      </c>
      <c r="X362" t="str">
        <f t="shared" si="23"/>
        <v>Short Time Login</v>
      </c>
      <c r="AA362" s="34" t="s">
        <v>600</v>
      </c>
      <c r="AB362" s="34" t="s">
        <v>338</v>
      </c>
      <c r="AC362" s="34">
        <v>58</v>
      </c>
      <c r="AD362" s="34">
        <v>70</v>
      </c>
      <c r="AE362" s="34" t="s">
        <v>25</v>
      </c>
      <c r="AF362" s="34">
        <v>0</v>
      </c>
      <c r="AH362" s="34" t="s">
        <v>27</v>
      </c>
    </row>
    <row r="363" spans="1:34">
      <c r="A363" t="s">
        <v>601</v>
      </c>
      <c r="B363" t="s">
        <v>534</v>
      </c>
      <c r="C363">
        <v>19</v>
      </c>
      <c r="D363" t="s">
        <v>21</v>
      </c>
      <c r="E363" t="s">
        <v>67</v>
      </c>
      <c r="F363" t="s">
        <v>49</v>
      </c>
      <c r="G363" t="s">
        <v>50</v>
      </c>
      <c r="H363">
        <v>58</v>
      </c>
      <c r="I363">
        <v>77</v>
      </c>
      <c r="J363" t="s">
        <v>25</v>
      </c>
      <c r="K363">
        <v>18000</v>
      </c>
      <c r="L363">
        <v>20650</v>
      </c>
      <c r="M363">
        <v>0</v>
      </c>
      <c r="N363" t="s">
        <v>11</v>
      </c>
      <c r="O363" t="s">
        <v>27</v>
      </c>
      <c r="P363" s="1">
        <v>45967</v>
      </c>
      <c r="Q363" s="1">
        <v>46057</v>
      </c>
      <c r="R363" s="2">
        <v>0.43472222222222223</v>
      </c>
      <c r="S363" s="2">
        <v>0.49861111111111112</v>
      </c>
      <c r="T363" t="str" cm="1">
        <f t="array" ref="T363">_xlfn.IFS(H363&gt;=90,"A",H363&gt;=75,"B",H363&gt;=60,"C",H363&lt;60,"D")</f>
        <v>D</v>
      </c>
      <c r="U363" t="str">
        <f t="shared" si="20"/>
        <v>10:26 AM</v>
      </c>
      <c r="V363" t="str">
        <f t="shared" si="21"/>
        <v>On Time</v>
      </c>
      <c r="W363" t="str">
        <f t="shared" si="22"/>
        <v>1 Hours 32 Minutes</v>
      </c>
      <c r="X363" t="str">
        <f t="shared" si="23"/>
        <v>Long Time Login</v>
      </c>
      <c r="AA363" s="35" t="s">
        <v>601</v>
      </c>
      <c r="AB363" s="35" t="s">
        <v>534</v>
      </c>
      <c r="AC363" s="35">
        <v>58</v>
      </c>
      <c r="AD363" s="35">
        <v>77</v>
      </c>
      <c r="AE363" s="35" t="s">
        <v>25</v>
      </c>
      <c r="AF363" s="35">
        <v>0</v>
      </c>
      <c r="AH363" s="35" t="s">
        <v>27</v>
      </c>
    </row>
    <row r="364" spans="1:34">
      <c r="A364" t="s">
        <v>602</v>
      </c>
      <c r="B364" t="s">
        <v>175</v>
      </c>
      <c r="C364">
        <v>21</v>
      </c>
      <c r="D364" t="s">
        <v>35</v>
      </c>
      <c r="E364" t="s">
        <v>36</v>
      </c>
      <c r="F364" t="s">
        <v>57</v>
      </c>
      <c r="G364" t="s">
        <v>58</v>
      </c>
      <c r="H364">
        <v>91</v>
      </c>
      <c r="I364">
        <v>62</v>
      </c>
      <c r="J364" t="s">
        <v>59</v>
      </c>
      <c r="K364">
        <v>15000</v>
      </c>
      <c r="L364">
        <v>13700</v>
      </c>
      <c r="M364">
        <v>4000</v>
      </c>
      <c r="N364" t="s">
        <v>26</v>
      </c>
      <c r="O364" t="s">
        <v>127</v>
      </c>
      <c r="P364" s="1">
        <v>45690</v>
      </c>
      <c r="Q364" s="1">
        <v>45750</v>
      </c>
      <c r="R364" s="2">
        <v>0.43680555555555556</v>
      </c>
      <c r="S364" s="2">
        <v>0.47916666666666669</v>
      </c>
      <c r="T364" t="str" cm="1">
        <f t="array" ref="T364">_xlfn.IFS(H364&gt;=90,"A",H364&gt;=75,"B",H364&gt;=60,"C",H364&lt;60,"D")</f>
        <v>A</v>
      </c>
      <c r="U364" t="str">
        <f t="shared" si="20"/>
        <v>10:29 AM</v>
      </c>
      <c r="V364" t="str">
        <f t="shared" si="21"/>
        <v>On Time</v>
      </c>
      <c r="W364" t="str">
        <f t="shared" si="22"/>
        <v>1 Hours 1 Minutes</v>
      </c>
      <c r="X364" t="str">
        <f t="shared" si="23"/>
        <v>Long Time Login</v>
      </c>
      <c r="AA364" s="34" t="s">
        <v>602</v>
      </c>
      <c r="AB364" s="34" t="s">
        <v>175</v>
      </c>
      <c r="AC364" s="34">
        <v>91</v>
      </c>
      <c r="AD364" s="34">
        <v>62</v>
      </c>
      <c r="AE364" s="34" t="s">
        <v>59</v>
      </c>
      <c r="AF364" s="34">
        <v>4000</v>
      </c>
      <c r="AH364" s="34" t="s">
        <v>127</v>
      </c>
    </row>
    <row r="365" spans="1:34">
      <c r="A365" t="s">
        <v>603</v>
      </c>
      <c r="B365" t="s">
        <v>393</v>
      </c>
      <c r="C365">
        <v>21</v>
      </c>
      <c r="D365" t="s">
        <v>35</v>
      </c>
      <c r="E365" t="s">
        <v>44</v>
      </c>
      <c r="F365" t="s">
        <v>88</v>
      </c>
      <c r="G365" t="s">
        <v>89</v>
      </c>
      <c r="H365">
        <v>100</v>
      </c>
      <c r="I365">
        <v>67</v>
      </c>
      <c r="J365" t="s">
        <v>59</v>
      </c>
      <c r="K365">
        <v>10000</v>
      </c>
      <c r="L365">
        <v>11210</v>
      </c>
      <c r="M365">
        <v>0</v>
      </c>
      <c r="N365" t="s">
        <v>11</v>
      </c>
      <c r="O365" t="s">
        <v>27</v>
      </c>
      <c r="P365" s="1">
        <v>45682</v>
      </c>
      <c r="Q365" s="1">
        <v>45862</v>
      </c>
      <c r="R365" s="2">
        <v>0.3611111111111111</v>
      </c>
      <c r="S365" s="2">
        <v>0.55138888888888893</v>
      </c>
      <c r="T365" t="str" cm="1">
        <f t="array" ref="T365">_xlfn.IFS(H365&gt;=90,"A",H365&gt;=75,"B",H365&gt;=60,"C",H365&lt;60,"D")</f>
        <v>A</v>
      </c>
      <c r="U365" t="str">
        <f t="shared" si="20"/>
        <v>08:40 AM</v>
      </c>
      <c r="V365" t="str">
        <f t="shared" si="21"/>
        <v>Delayed</v>
      </c>
      <c r="W365" t="str">
        <f t="shared" si="22"/>
        <v>4 Hours 34 Minutes</v>
      </c>
      <c r="X365" t="str">
        <f t="shared" si="23"/>
        <v>Short Time Login</v>
      </c>
      <c r="AA365" s="35" t="s">
        <v>603</v>
      </c>
      <c r="AB365" s="35" t="s">
        <v>393</v>
      </c>
      <c r="AC365" s="35">
        <v>100</v>
      </c>
      <c r="AD365" s="35">
        <v>67</v>
      </c>
      <c r="AE365" s="35" t="s">
        <v>59</v>
      </c>
      <c r="AF365" s="35">
        <v>0</v>
      </c>
      <c r="AH365" s="35" t="s">
        <v>27</v>
      </c>
    </row>
    <row r="366" spans="1:34">
      <c r="A366" t="s">
        <v>604</v>
      </c>
      <c r="B366" t="s">
        <v>562</v>
      </c>
      <c r="C366">
        <v>25</v>
      </c>
      <c r="D366" t="s">
        <v>21</v>
      </c>
      <c r="E366" t="s">
        <v>113</v>
      </c>
      <c r="F366" t="s">
        <v>53</v>
      </c>
      <c r="G366" t="s">
        <v>54</v>
      </c>
      <c r="H366">
        <v>77</v>
      </c>
      <c r="I366">
        <v>67</v>
      </c>
      <c r="J366" t="s">
        <v>45</v>
      </c>
      <c r="K366">
        <v>15000</v>
      </c>
      <c r="L366">
        <v>11930</v>
      </c>
      <c r="M366">
        <v>4000</v>
      </c>
      <c r="N366" t="s">
        <v>26</v>
      </c>
      <c r="O366" t="s">
        <v>27</v>
      </c>
      <c r="P366" s="1">
        <v>46001</v>
      </c>
      <c r="Q366" s="1">
        <v>46181</v>
      </c>
      <c r="R366" s="2">
        <v>0.41388888888888886</v>
      </c>
      <c r="S366" s="2">
        <v>0.51944444444444449</v>
      </c>
      <c r="T366" t="str" cm="1">
        <f t="array" ref="T366">_xlfn.IFS(H366&gt;=90,"A",H366&gt;=75,"B",H366&gt;=60,"C",H366&lt;60,"D")</f>
        <v>B</v>
      </c>
      <c r="U366" t="str">
        <f t="shared" si="20"/>
        <v>09:56 AM</v>
      </c>
      <c r="V366" t="str">
        <f t="shared" si="21"/>
        <v>Delayed</v>
      </c>
      <c r="W366" t="str">
        <f t="shared" si="22"/>
        <v>2 Hours 32 Minutes</v>
      </c>
      <c r="X366" t="str">
        <f t="shared" si="23"/>
        <v>Short Time Login</v>
      </c>
      <c r="AA366" s="34" t="s">
        <v>604</v>
      </c>
      <c r="AB366" s="34" t="s">
        <v>562</v>
      </c>
      <c r="AC366" s="34">
        <v>77</v>
      </c>
      <c r="AD366" s="34">
        <v>67</v>
      </c>
      <c r="AE366" s="34" t="s">
        <v>45</v>
      </c>
      <c r="AF366" s="34">
        <v>4000</v>
      </c>
      <c r="AH366" s="34" t="s">
        <v>27</v>
      </c>
    </row>
    <row r="367" spans="1:34">
      <c r="A367" t="s">
        <v>605</v>
      </c>
      <c r="B367" t="s">
        <v>376</v>
      </c>
      <c r="C367">
        <v>26</v>
      </c>
      <c r="D367" t="s">
        <v>35</v>
      </c>
      <c r="E367" t="s">
        <v>73</v>
      </c>
      <c r="F367" t="s">
        <v>23</v>
      </c>
      <c r="G367" t="s">
        <v>24</v>
      </c>
      <c r="H367">
        <v>49</v>
      </c>
      <c r="I367">
        <v>97</v>
      </c>
      <c r="J367" t="s">
        <v>25</v>
      </c>
      <c r="K367">
        <v>12000</v>
      </c>
      <c r="L367">
        <v>13570</v>
      </c>
      <c r="M367">
        <v>0</v>
      </c>
      <c r="N367" t="s">
        <v>11</v>
      </c>
      <c r="O367" t="s">
        <v>27</v>
      </c>
      <c r="P367" s="1">
        <v>45786</v>
      </c>
      <c r="Q367" s="1">
        <v>45876</v>
      </c>
      <c r="R367" s="2">
        <v>0.33958333333333335</v>
      </c>
      <c r="S367" s="2">
        <v>0.40069444444444446</v>
      </c>
      <c r="T367" t="str" cm="1">
        <f t="array" ref="T367">_xlfn.IFS(H367&gt;=90,"A",H367&gt;=75,"B",H367&gt;=60,"C",H367&lt;60,"D")</f>
        <v>D</v>
      </c>
      <c r="U367" t="str">
        <f t="shared" si="20"/>
        <v>08:09 AM</v>
      </c>
      <c r="V367" t="str">
        <f t="shared" si="21"/>
        <v>On Time</v>
      </c>
      <c r="W367" t="str">
        <f t="shared" si="22"/>
        <v>1 Hours 28 Minutes</v>
      </c>
      <c r="X367" t="str">
        <f t="shared" si="23"/>
        <v>Short Time Login</v>
      </c>
      <c r="AA367" s="35" t="s">
        <v>605</v>
      </c>
      <c r="AB367" s="35" t="s">
        <v>376</v>
      </c>
      <c r="AC367" s="35">
        <v>49</v>
      </c>
      <c r="AD367" s="35">
        <v>97</v>
      </c>
      <c r="AE367" s="35" t="s">
        <v>25</v>
      </c>
      <c r="AF367" s="35">
        <v>0</v>
      </c>
      <c r="AH367" s="35" t="s">
        <v>27</v>
      </c>
    </row>
    <row r="368" spans="1:34">
      <c r="A368" t="s">
        <v>606</v>
      </c>
      <c r="B368" t="s">
        <v>66</v>
      </c>
      <c r="C368">
        <v>21</v>
      </c>
      <c r="D368" t="s">
        <v>35</v>
      </c>
      <c r="E368" t="s">
        <v>67</v>
      </c>
      <c r="F368" t="s">
        <v>57</v>
      </c>
      <c r="G368" t="s">
        <v>58</v>
      </c>
      <c r="H368">
        <v>89</v>
      </c>
      <c r="I368">
        <v>94</v>
      </c>
      <c r="J368" t="s">
        <v>45</v>
      </c>
      <c r="K368">
        <v>12000</v>
      </c>
      <c r="L368">
        <v>8980</v>
      </c>
      <c r="M368">
        <v>4000</v>
      </c>
      <c r="N368" t="s">
        <v>26</v>
      </c>
      <c r="O368" t="s">
        <v>27</v>
      </c>
      <c r="P368" s="1">
        <v>45733</v>
      </c>
      <c r="Q368" s="1">
        <v>45823</v>
      </c>
      <c r="R368" s="2">
        <v>0.34375</v>
      </c>
      <c r="S368" s="2">
        <v>0.54374999999999996</v>
      </c>
      <c r="T368" t="str" cm="1">
        <f t="array" ref="T368">_xlfn.IFS(H368&gt;=90,"A",H368&gt;=75,"B",H368&gt;=60,"C",H368&lt;60,"D")</f>
        <v>B</v>
      </c>
      <c r="U368" t="str">
        <f t="shared" si="20"/>
        <v>08:15 AM</v>
      </c>
      <c r="V368" t="str">
        <f t="shared" si="21"/>
        <v>On Time</v>
      </c>
      <c r="W368" t="str">
        <f t="shared" si="22"/>
        <v>4 Hours 48 Minutes</v>
      </c>
      <c r="X368" t="str">
        <f t="shared" si="23"/>
        <v>Short Time Login</v>
      </c>
      <c r="AA368" s="34" t="s">
        <v>606</v>
      </c>
      <c r="AB368" s="34" t="s">
        <v>66</v>
      </c>
      <c r="AC368" s="34">
        <v>89</v>
      </c>
      <c r="AD368" s="34">
        <v>94</v>
      </c>
      <c r="AE368" s="34" t="s">
        <v>45</v>
      </c>
      <c r="AF368" s="34">
        <v>4000</v>
      </c>
      <c r="AH368" s="34" t="s">
        <v>27</v>
      </c>
    </row>
    <row r="369" spans="1:34">
      <c r="A369" t="s">
        <v>607</v>
      </c>
      <c r="B369" t="s">
        <v>575</v>
      </c>
      <c r="C369">
        <v>26</v>
      </c>
      <c r="D369" t="s">
        <v>21</v>
      </c>
      <c r="E369" t="s">
        <v>36</v>
      </c>
      <c r="F369" t="s">
        <v>31</v>
      </c>
      <c r="G369" t="s">
        <v>32</v>
      </c>
      <c r="H369">
        <v>53</v>
      </c>
      <c r="I369">
        <v>61</v>
      </c>
      <c r="J369" t="s">
        <v>25</v>
      </c>
      <c r="K369">
        <v>15000</v>
      </c>
      <c r="L369">
        <v>13930</v>
      </c>
      <c r="M369">
        <v>2000</v>
      </c>
      <c r="N369" t="s">
        <v>26</v>
      </c>
      <c r="O369" t="s">
        <v>127</v>
      </c>
      <c r="P369" s="1">
        <v>46009</v>
      </c>
      <c r="Q369" s="1">
        <v>46189</v>
      </c>
      <c r="R369" s="2">
        <v>0.44930555555555557</v>
      </c>
      <c r="S369" s="2">
        <v>0.56666666666666665</v>
      </c>
      <c r="T369" t="str" cm="1">
        <f t="array" ref="T369">_xlfn.IFS(H369&gt;=90,"A",H369&gt;=75,"B",H369&gt;=60,"C",H369&lt;60,"D")</f>
        <v>D</v>
      </c>
      <c r="U369" t="str">
        <f t="shared" si="20"/>
        <v>10:47 AM</v>
      </c>
      <c r="V369" t="str">
        <f t="shared" si="21"/>
        <v>Delayed</v>
      </c>
      <c r="W369" t="str">
        <f t="shared" si="22"/>
        <v>2 Hours 49 Minutes</v>
      </c>
      <c r="X369" t="str">
        <f t="shared" si="23"/>
        <v>Long Time Login</v>
      </c>
      <c r="AA369" s="35" t="s">
        <v>607</v>
      </c>
      <c r="AB369" s="35" t="s">
        <v>575</v>
      </c>
      <c r="AC369" s="35">
        <v>53</v>
      </c>
      <c r="AD369" s="35">
        <v>61</v>
      </c>
      <c r="AE369" s="35" t="s">
        <v>25</v>
      </c>
      <c r="AF369" s="35">
        <v>2000</v>
      </c>
      <c r="AH369" s="35" t="s">
        <v>127</v>
      </c>
    </row>
    <row r="370" spans="1:34">
      <c r="A370" t="s">
        <v>608</v>
      </c>
      <c r="B370" t="s">
        <v>546</v>
      </c>
      <c r="C370">
        <v>22</v>
      </c>
      <c r="D370" t="s">
        <v>35</v>
      </c>
      <c r="E370" t="s">
        <v>122</v>
      </c>
      <c r="F370" t="s">
        <v>23</v>
      </c>
      <c r="G370" t="s">
        <v>24</v>
      </c>
      <c r="H370">
        <v>80</v>
      </c>
      <c r="I370">
        <v>84</v>
      </c>
      <c r="J370" t="s">
        <v>45</v>
      </c>
      <c r="K370">
        <v>10000</v>
      </c>
      <c r="L370">
        <v>9800</v>
      </c>
      <c r="M370">
        <v>2000</v>
      </c>
      <c r="N370" t="s">
        <v>26</v>
      </c>
      <c r="O370" t="s">
        <v>27</v>
      </c>
      <c r="P370" s="1">
        <v>45693</v>
      </c>
      <c r="Q370" s="1">
        <v>45723</v>
      </c>
      <c r="R370" s="2">
        <v>0.41180555555555554</v>
      </c>
      <c r="S370" s="2">
        <v>0.54097222222222219</v>
      </c>
      <c r="T370" t="str" cm="1">
        <f t="array" ref="T370">_xlfn.IFS(H370&gt;=90,"A",H370&gt;=75,"B",H370&gt;=60,"C",H370&lt;60,"D")</f>
        <v>B</v>
      </c>
      <c r="U370" t="str">
        <f t="shared" si="20"/>
        <v>09:53 AM</v>
      </c>
      <c r="V370" t="str">
        <f t="shared" si="21"/>
        <v>On Time</v>
      </c>
      <c r="W370" t="str">
        <f t="shared" si="22"/>
        <v>3 Hours 6 Minutes</v>
      </c>
      <c r="X370" t="str">
        <f t="shared" si="23"/>
        <v>Short Time Login</v>
      </c>
      <c r="AA370" s="34" t="s">
        <v>608</v>
      </c>
      <c r="AB370" s="34" t="s">
        <v>546</v>
      </c>
      <c r="AC370" s="34">
        <v>80</v>
      </c>
      <c r="AD370" s="34">
        <v>84</v>
      </c>
      <c r="AE370" s="34" t="s">
        <v>45</v>
      </c>
      <c r="AF370" s="34">
        <v>2000</v>
      </c>
      <c r="AH370" s="34" t="s">
        <v>27</v>
      </c>
    </row>
    <row r="371" spans="1:34">
      <c r="A371" t="s">
        <v>609</v>
      </c>
      <c r="B371" t="s">
        <v>610</v>
      </c>
      <c r="C371">
        <v>19</v>
      </c>
      <c r="D371" t="s">
        <v>35</v>
      </c>
      <c r="E371" t="s">
        <v>122</v>
      </c>
      <c r="F371" t="s">
        <v>88</v>
      </c>
      <c r="G371" t="s">
        <v>89</v>
      </c>
      <c r="H371">
        <v>100</v>
      </c>
      <c r="I371">
        <v>94</v>
      </c>
      <c r="J371" t="s">
        <v>59</v>
      </c>
      <c r="K371">
        <v>15000</v>
      </c>
      <c r="L371">
        <v>15110</v>
      </c>
      <c r="M371">
        <v>2000</v>
      </c>
      <c r="N371" t="s">
        <v>26</v>
      </c>
      <c r="O371" t="s">
        <v>27</v>
      </c>
      <c r="P371" s="1">
        <v>45855</v>
      </c>
      <c r="Q371" s="1">
        <v>46035</v>
      </c>
      <c r="R371" s="2">
        <v>0.38541666666666669</v>
      </c>
      <c r="S371" s="2">
        <v>0.53333333333333333</v>
      </c>
      <c r="T371" t="str" cm="1">
        <f t="array" ref="T371">_xlfn.IFS(H371&gt;=90,"A",H371&gt;=75,"B",H371&gt;=60,"C",H371&lt;60,"D")</f>
        <v>A</v>
      </c>
      <c r="U371" t="str">
        <f t="shared" si="20"/>
        <v>09:15 AM</v>
      </c>
      <c r="V371" t="str">
        <f t="shared" si="21"/>
        <v>Delayed</v>
      </c>
      <c r="W371" t="str">
        <f t="shared" si="22"/>
        <v>3 Hours 33 Minutes</v>
      </c>
      <c r="X371" t="str">
        <f t="shared" si="23"/>
        <v>Short Time Login</v>
      </c>
      <c r="AA371" s="35" t="s">
        <v>609</v>
      </c>
      <c r="AB371" s="35" t="s">
        <v>610</v>
      </c>
      <c r="AC371" s="35">
        <v>100</v>
      </c>
      <c r="AD371" s="35">
        <v>94</v>
      </c>
      <c r="AE371" s="35" t="s">
        <v>59</v>
      </c>
      <c r="AF371" s="35">
        <v>2000</v>
      </c>
      <c r="AH371" s="35" t="s">
        <v>27</v>
      </c>
    </row>
    <row r="372" spans="1:34">
      <c r="A372" t="s">
        <v>611</v>
      </c>
      <c r="B372" t="s">
        <v>612</v>
      </c>
      <c r="C372">
        <v>24</v>
      </c>
      <c r="D372" t="s">
        <v>35</v>
      </c>
      <c r="E372" t="s">
        <v>30</v>
      </c>
      <c r="F372" t="s">
        <v>57</v>
      </c>
      <c r="G372" t="s">
        <v>58</v>
      </c>
      <c r="H372">
        <v>41</v>
      </c>
      <c r="I372">
        <v>94</v>
      </c>
      <c r="J372" t="s">
        <v>25</v>
      </c>
      <c r="K372">
        <v>18000</v>
      </c>
      <c r="L372">
        <v>20060</v>
      </c>
      <c r="M372">
        <v>0</v>
      </c>
      <c r="N372" t="s">
        <v>11</v>
      </c>
      <c r="O372" t="s">
        <v>27</v>
      </c>
      <c r="P372" s="1">
        <v>45768</v>
      </c>
      <c r="Q372" s="1">
        <v>45798</v>
      </c>
      <c r="R372" s="2">
        <v>0.34791666666666665</v>
      </c>
      <c r="S372" s="2">
        <v>0.3972222222222222</v>
      </c>
      <c r="T372" t="str" cm="1">
        <f t="array" ref="T372">_xlfn.IFS(H372&gt;=90,"A",H372&gt;=75,"B",H372&gt;=60,"C",H372&lt;60,"D")</f>
        <v>D</v>
      </c>
      <c r="U372" t="str">
        <f t="shared" si="20"/>
        <v>08:21 AM</v>
      </c>
      <c r="V372" t="str">
        <f t="shared" si="21"/>
        <v>On Time</v>
      </c>
      <c r="W372" t="str">
        <f t="shared" si="22"/>
        <v>1 Hours 11 Minutes</v>
      </c>
      <c r="X372" t="str">
        <f t="shared" si="23"/>
        <v>Short Time Login</v>
      </c>
      <c r="AA372" s="34" t="s">
        <v>611</v>
      </c>
      <c r="AB372" s="34" t="s">
        <v>612</v>
      </c>
      <c r="AC372" s="34">
        <v>41</v>
      </c>
      <c r="AD372" s="34">
        <v>94</v>
      </c>
      <c r="AE372" s="34" t="s">
        <v>25</v>
      </c>
      <c r="AF372" s="34">
        <v>0</v>
      </c>
      <c r="AH372" s="34" t="s">
        <v>27</v>
      </c>
    </row>
    <row r="373" spans="1:34">
      <c r="A373" t="s">
        <v>613</v>
      </c>
      <c r="B373" t="s">
        <v>150</v>
      </c>
      <c r="C373">
        <v>18</v>
      </c>
      <c r="D373" t="s">
        <v>21</v>
      </c>
      <c r="E373" t="s">
        <v>113</v>
      </c>
      <c r="F373" t="s">
        <v>63</v>
      </c>
      <c r="G373" t="s">
        <v>64</v>
      </c>
      <c r="H373">
        <v>72</v>
      </c>
      <c r="I373">
        <v>72</v>
      </c>
      <c r="J373" t="s">
        <v>68</v>
      </c>
      <c r="K373">
        <v>15000</v>
      </c>
      <c r="L373">
        <v>12520</v>
      </c>
      <c r="M373">
        <v>4000</v>
      </c>
      <c r="N373" t="s">
        <v>26</v>
      </c>
      <c r="O373" t="s">
        <v>27</v>
      </c>
      <c r="P373" s="1">
        <v>45911</v>
      </c>
      <c r="Q373" s="1">
        <v>46001</v>
      </c>
      <c r="R373" s="2">
        <v>0.35694444444444445</v>
      </c>
      <c r="S373" s="2">
        <v>0.55694444444444446</v>
      </c>
      <c r="T373" t="str" cm="1">
        <f t="array" ref="T373">_xlfn.IFS(H373&gt;=90,"A",H373&gt;=75,"B",H373&gt;=60,"C",H373&lt;60,"D")</f>
        <v>C</v>
      </c>
      <c r="U373" t="str">
        <f t="shared" si="20"/>
        <v>08:34 AM</v>
      </c>
      <c r="V373" t="str">
        <f t="shared" si="21"/>
        <v>On Time</v>
      </c>
      <c r="W373" t="str">
        <f t="shared" si="22"/>
        <v>4 Hours 48 Minutes</v>
      </c>
      <c r="X373" t="str">
        <f t="shared" si="23"/>
        <v>Short Time Login</v>
      </c>
      <c r="AA373" s="35" t="s">
        <v>613</v>
      </c>
      <c r="AB373" s="35" t="s">
        <v>150</v>
      </c>
      <c r="AC373" s="35">
        <v>72</v>
      </c>
      <c r="AD373" s="35">
        <v>72</v>
      </c>
      <c r="AE373" s="35" t="s">
        <v>68</v>
      </c>
      <c r="AF373" s="35">
        <v>4000</v>
      </c>
      <c r="AH373" s="35" t="s">
        <v>27</v>
      </c>
    </row>
    <row r="374" spans="1:34">
      <c r="A374" t="s">
        <v>614</v>
      </c>
      <c r="B374" t="s">
        <v>327</v>
      </c>
      <c r="C374">
        <v>26</v>
      </c>
      <c r="D374" t="s">
        <v>21</v>
      </c>
      <c r="E374" t="s">
        <v>113</v>
      </c>
      <c r="F374" t="s">
        <v>63</v>
      </c>
      <c r="G374" t="s">
        <v>64</v>
      </c>
      <c r="H374">
        <v>66</v>
      </c>
      <c r="I374">
        <v>81</v>
      </c>
      <c r="J374" t="s">
        <v>68</v>
      </c>
      <c r="K374">
        <v>18000</v>
      </c>
      <c r="L374">
        <v>21240</v>
      </c>
      <c r="M374">
        <v>0</v>
      </c>
      <c r="N374" t="s">
        <v>11</v>
      </c>
      <c r="O374" t="s">
        <v>27</v>
      </c>
      <c r="P374" s="1">
        <v>45961</v>
      </c>
      <c r="Q374" s="1">
        <v>46021</v>
      </c>
      <c r="R374" s="2">
        <v>0.37708333333333333</v>
      </c>
      <c r="S374" s="2">
        <v>0.4909722222222222</v>
      </c>
      <c r="T374" t="str" cm="1">
        <f t="array" ref="T374">_xlfn.IFS(H374&gt;=90,"A",H374&gt;=75,"B",H374&gt;=60,"C",H374&lt;60,"D")</f>
        <v>C</v>
      </c>
      <c r="U374" t="str">
        <f t="shared" si="20"/>
        <v>09:03 AM</v>
      </c>
      <c r="V374" t="str">
        <f t="shared" si="21"/>
        <v>On Time</v>
      </c>
      <c r="W374" t="str">
        <f t="shared" si="22"/>
        <v>2 Hours 44 Minutes</v>
      </c>
      <c r="X374" t="str">
        <f t="shared" si="23"/>
        <v>Short Time Login</v>
      </c>
      <c r="AA374" s="34" t="s">
        <v>614</v>
      </c>
      <c r="AB374" s="34" t="s">
        <v>327</v>
      </c>
      <c r="AC374" s="34">
        <v>66</v>
      </c>
      <c r="AD374" s="34">
        <v>81</v>
      </c>
      <c r="AE374" s="34" t="s">
        <v>68</v>
      </c>
      <c r="AF374" s="34">
        <v>0</v>
      </c>
      <c r="AH374" s="34" t="s">
        <v>27</v>
      </c>
    </row>
    <row r="375" spans="1:34">
      <c r="A375" t="s">
        <v>615</v>
      </c>
      <c r="B375" t="s">
        <v>616</v>
      </c>
      <c r="C375">
        <v>26</v>
      </c>
      <c r="D375" t="s">
        <v>35</v>
      </c>
      <c r="E375" t="s">
        <v>96</v>
      </c>
      <c r="F375" t="s">
        <v>53</v>
      </c>
      <c r="G375" t="s">
        <v>54</v>
      </c>
      <c r="H375">
        <v>68</v>
      </c>
      <c r="I375">
        <v>72</v>
      </c>
      <c r="J375" t="s">
        <v>68</v>
      </c>
      <c r="K375">
        <v>20000</v>
      </c>
      <c r="L375">
        <v>18420</v>
      </c>
      <c r="M375">
        <v>4000</v>
      </c>
      <c r="N375" t="s">
        <v>26</v>
      </c>
      <c r="O375" t="s">
        <v>27</v>
      </c>
      <c r="P375" s="1">
        <v>45913</v>
      </c>
      <c r="Q375" s="1">
        <v>45973</v>
      </c>
      <c r="R375" s="2">
        <v>0.34375</v>
      </c>
      <c r="S375" s="2">
        <v>0.54722222222222228</v>
      </c>
      <c r="T375" t="str" cm="1">
        <f t="array" ref="T375">_xlfn.IFS(H375&gt;=90,"A",H375&gt;=75,"B",H375&gt;=60,"C",H375&lt;60,"D")</f>
        <v>C</v>
      </c>
      <c r="U375" t="str">
        <f t="shared" si="20"/>
        <v>08:15 AM</v>
      </c>
      <c r="V375" t="str">
        <f t="shared" si="21"/>
        <v>On Time</v>
      </c>
      <c r="W375" t="str">
        <f t="shared" si="22"/>
        <v>4 Hours 53 Minutes</v>
      </c>
      <c r="X375" t="str">
        <f t="shared" si="23"/>
        <v>Short Time Login</v>
      </c>
      <c r="AA375" s="35" t="s">
        <v>615</v>
      </c>
      <c r="AB375" s="35" t="s">
        <v>616</v>
      </c>
      <c r="AC375" s="35">
        <v>68</v>
      </c>
      <c r="AD375" s="35">
        <v>72</v>
      </c>
      <c r="AE375" s="35" t="s">
        <v>68</v>
      </c>
      <c r="AF375" s="35">
        <v>4000</v>
      </c>
      <c r="AH375" s="35" t="s">
        <v>27</v>
      </c>
    </row>
    <row r="376" spans="1:34">
      <c r="A376" t="s">
        <v>617</v>
      </c>
      <c r="B376" t="s">
        <v>618</v>
      </c>
      <c r="C376">
        <v>22</v>
      </c>
      <c r="D376" t="s">
        <v>21</v>
      </c>
      <c r="E376" t="s">
        <v>113</v>
      </c>
      <c r="F376" t="s">
        <v>40</v>
      </c>
      <c r="G376" t="s">
        <v>41</v>
      </c>
      <c r="H376">
        <v>42</v>
      </c>
      <c r="I376">
        <v>79</v>
      </c>
      <c r="J376" t="s">
        <v>25</v>
      </c>
      <c r="K376">
        <v>12000</v>
      </c>
      <c r="L376">
        <v>8980</v>
      </c>
      <c r="M376">
        <v>4000</v>
      </c>
      <c r="N376" t="s">
        <v>26</v>
      </c>
      <c r="O376" t="s">
        <v>27</v>
      </c>
      <c r="P376" s="1">
        <v>45727</v>
      </c>
      <c r="Q376" s="1">
        <v>45787</v>
      </c>
      <c r="R376" s="2">
        <v>0.34861111111111109</v>
      </c>
      <c r="S376" s="2">
        <v>0.4826388888888889</v>
      </c>
      <c r="T376" t="str" cm="1">
        <f t="array" ref="T376">_xlfn.IFS(H376&gt;=90,"A",H376&gt;=75,"B",H376&gt;=60,"C",H376&lt;60,"D")</f>
        <v>D</v>
      </c>
      <c r="U376" t="str">
        <f t="shared" si="20"/>
        <v>08:22 AM</v>
      </c>
      <c r="V376" t="str">
        <f t="shared" si="21"/>
        <v>On Time</v>
      </c>
      <c r="W376" t="str">
        <f t="shared" si="22"/>
        <v>3 Hours 13 Minutes</v>
      </c>
      <c r="X376" t="str">
        <f t="shared" si="23"/>
        <v>Short Time Login</v>
      </c>
      <c r="AA376" s="34" t="s">
        <v>617</v>
      </c>
      <c r="AB376" s="34" t="s">
        <v>618</v>
      </c>
      <c r="AC376" s="34">
        <v>42</v>
      </c>
      <c r="AD376" s="34">
        <v>79</v>
      </c>
      <c r="AE376" s="34" t="s">
        <v>25</v>
      </c>
      <c r="AF376" s="34">
        <v>4000</v>
      </c>
      <c r="AH376" s="34" t="s">
        <v>27</v>
      </c>
    </row>
    <row r="377" spans="1:34">
      <c r="A377" t="s">
        <v>619</v>
      </c>
      <c r="B377" t="s">
        <v>121</v>
      </c>
      <c r="C377">
        <v>27</v>
      </c>
      <c r="D377" t="s">
        <v>35</v>
      </c>
      <c r="E377" t="s">
        <v>22</v>
      </c>
      <c r="F377" t="s">
        <v>88</v>
      </c>
      <c r="G377" t="s">
        <v>89</v>
      </c>
      <c r="H377">
        <v>94</v>
      </c>
      <c r="I377">
        <v>74</v>
      </c>
      <c r="J377" t="s">
        <v>59</v>
      </c>
      <c r="K377">
        <v>20000</v>
      </c>
      <c r="L377">
        <v>19600</v>
      </c>
      <c r="M377">
        <v>4000</v>
      </c>
      <c r="N377" t="s">
        <v>26</v>
      </c>
      <c r="O377" t="s">
        <v>27</v>
      </c>
      <c r="P377" s="1">
        <v>45982</v>
      </c>
      <c r="Q377" s="1">
        <v>46012</v>
      </c>
      <c r="R377" s="2">
        <v>0.42083333333333334</v>
      </c>
      <c r="S377" s="2">
        <v>0.50624999999999998</v>
      </c>
      <c r="T377" t="str" cm="1">
        <f t="array" ref="T377">_xlfn.IFS(H377&gt;=90,"A",H377&gt;=75,"B",H377&gt;=60,"C",H377&lt;60,"D")</f>
        <v>A</v>
      </c>
      <c r="U377" t="str">
        <f t="shared" si="20"/>
        <v>10:06 AM</v>
      </c>
      <c r="V377" t="str">
        <f t="shared" si="21"/>
        <v>On Time</v>
      </c>
      <c r="W377" t="str">
        <f t="shared" si="22"/>
        <v>2 Hours 3 Minutes</v>
      </c>
      <c r="X377" t="str">
        <f t="shared" si="23"/>
        <v>Long Time Login</v>
      </c>
      <c r="AA377" s="35" t="s">
        <v>619</v>
      </c>
      <c r="AB377" s="35" t="s">
        <v>121</v>
      </c>
      <c r="AC377" s="35">
        <v>94</v>
      </c>
      <c r="AD377" s="35">
        <v>74</v>
      </c>
      <c r="AE377" s="35" t="s">
        <v>59</v>
      </c>
      <c r="AF377" s="35">
        <v>4000</v>
      </c>
      <c r="AH377" s="35" t="s">
        <v>27</v>
      </c>
    </row>
    <row r="378" spans="1:34">
      <c r="A378" t="s">
        <v>620</v>
      </c>
      <c r="B378" t="s">
        <v>132</v>
      </c>
      <c r="C378">
        <v>27</v>
      </c>
      <c r="D378" t="s">
        <v>35</v>
      </c>
      <c r="E378" t="s">
        <v>96</v>
      </c>
      <c r="F378" t="s">
        <v>57</v>
      </c>
      <c r="G378" t="s">
        <v>58</v>
      </c>
      <c r="H378">
        <v>70</v>
      </c>
      <c r="I378">
        <v>98</v>
      </c>
      <c r="J378" t="s">
        <v>68</v>
      </c>
      <c r="K378">
        <v>20000</v>
      </c>
      <c r="L378">
        <v>18420</v>
      </c>
      <c r="M378">
        <v>4000</v>
      </c>
      <c r="N378" t="s">
        <v>26</v>
      </c>
      <c r="O378" t="s">
        <v>27</v>
      </c>
      <c r="P378" s="1">
        <v>45704</v>
      </c>
      <c r="Q378" s="1">
        <v>45824</v>
      </c>
      <c r="R378" s="2">
        <v>0.36944444444444446</v>
      </c>
      <c r="S378" s="2">
        <v>0.46597222222222223</v>
      </c>
      <c r="T378" t="str" cm="1">
        <f t="array" ref="T378">_xlfn.IFS(H378&gt;=90,"A",H378&gt;=75,"B",H378&gt;=60,"C",H378&lt;60,"D")</f>
        <v>C</v>
      </c>
      <c r="U378" t="str">
        <f t="shared" si="20"/>
        <v>08:52 AM</v>
      </c>
      <c r="V378" t="str">
        <f t="shared" si="21"/>
        <v>Delayed</v>
      </c>
      <c r="W378" t="str">
        <f t="shared" si="22"/>
        <v>2 Hours 19 Minutes</v>
      </c>
      <c r="X378" t="str">
        <f t="shared" si="23"/>
        <v>Short Time Login</v>
      </c>
      <c r="AA378" s="34" t="s">
        <v>620</v>
      </c>
      <c r="AB378" s="34" t="s">
        <v>132</v>
      </c>
      <c r="AC378" s="34">
        <v>70</v>
      </c>
      <c r="AD378" s="34">
        <v>98</v>
      </c>
      <c r="AE378" s="34" t="s">
        <v>68</v>
      </c>
      <c r="AF378" s="34">
        <v>4000</v>
      </c>
      <c r="AH378" s="34" t="s">
        <v>27</v>
      </c>
    </row>
    <row r="379" spans="1:34">
      <c r="A379" t="s">
        <v>621</v>
      </c>
      <c r="B379" t="s">
        <v>102</v>
      </c>
      <c r="C379">
        <v>22</v>
      </c>
      <c r="D379" t="s">
        <v>35</v>
      </c>
      <c r="E379" t="s">
        <v>48</v>
      </c>
      <c r="F379" t="s">
        <v>57</v>
      </c>
      <c r="G379" t="s">
        <v>58</v>
      </c>
      <c r="H379">
        <v>41</v>
      </c>
      <c r="I379">
        <v>72</v>
      </c>
      <c r="J379" t="s">
        <v>25</v>
      </c>
      <c r="K379">
        <v>15000</v>
      </c>
      <c r="L379">
        <v>13930</v>
      </c>
      <c r="M379">
        <v>2000</v>
      </c>
      <c r="N379" t="s">
        <v>26</v>
      </c>
      <c r="O379" t="s">
        <v>27</v>
      </c>
      <c r="P379" s="1">
        <v>45941</v>
      </c>
      <c r="Q379" s="1">
        <v>46001</v>
      </c>
      <c r="R379" s="2">
        <v>0.39097222222222222</v>
      </c>
      <c r="S379" s="2">
        <v>0.43958333333333333</v>
      </c>
      <c r="T379" t="str" cm="1">
        <f t="array" ref="T379">_xlfn.IFS(H379&gt;=90,"A",H379&gt;=75,"B",H379&gt;=60,"C",H379&lt;60,"D")</f>
        <v>D</v>
      </c>
      <c r="U379" t="str">
        <f t="shared" si="20"/>
        <v>09:23 AM</v>
      </c>
      <c r="V379" t="str">
        <f t="shared" si="21"/>
        <v>On Time</v>
      </c>
      <c r="W379" t="str">
        <f t="shared" si="22"/>
        <v>1 Hours 10 Minutes</v>
      </c>
      <c r="X379" t="str">
        <f t="shared" si="23"/>
        <v>Short Time Login</v>
      </c>
      <c r="AA379" s="35" t="s">
        <v>621</v>
      </c>
      <c r="AB379" s="35" t="s">
        <v>102</v>
      </c>
      <c r="AC379" s="35">
        <v>41</v>
      </c>
      <c r="AD379" s="35">
        <v>72</v>
      </c>
      <c r="AE379" s="35" t="s">
        <v>25</v>
      </c>
      <c r="AF379" s="35">
        <v>2000</v>
      </c>
      <c r="AH379" s="35" t="s">
        <v>27</v>
      </c>
    </row>
    <row r="380" spans="1:34">
      <c r="A380" t="s">
        <v>622</v>
      </c>
      <c r="B380" t="s">
        <v>471</v>
      </c>
      <c r="C380">
        <v>18</v>
      </c>
      <c r="D380" t="s">
        <v>35</v>
      </c>
      <c r="E380" t="s">
        <v>30</v>
      </c>
      <c r="F380" t="s">
        <v>23</v>
      </c>
      <c r="G380" t="s">
        <v>24</v>
      </c>
      <c r="H380">
        <v>48</v>
      </c>
      <c r="I380">
        <v>98</v>
      </c>
      <c r="J380" t="s">
        <v>25</v>
      </c>
      <c r="K380">
        <v>10000</v>
      </c>
      <c r="L380">
        <v>10030</v>
      </c>
      <c r="M380">
        <v>0</v>
      </c>
      <c r="N380" t="s">
        <v>11</v>
      </c>
      <c r="O380" t="s">
        <v>27</v>
      </c>
      <c r="P380" s="1">
        <v>45715</v>
      </c>
      <c r="Q380" s="1">
        <v>45805</v>
      </c>
      <c r="R380" s="2">
        <v>0.39166666666666666</v>
      </c>
      <c r="S380" s="2">
        <v>0.44444444444444442</v>
      </c>
      <c r="T380" t="str" cm="1">
        <f t="array" ref="T380">_xlfn.IFS(H380&gt;=90,"A",H380&gt;=75,"B",H380&gt;=60,"C",H380&lt;60,"D")</f>
        <v>D</v>
      </c>
      <c r="U380" t="str">
        <f t="shared" si="20"/>
        <v>09:24 AM</v>
      </c>
      <c r="V380" t="str">
        <f t="shared" si="21"/>
        <v>On Time</v>
      </c>
      <c r="W380" t="str">
        <f t="shared" si="22"/>
        <v>1 Hours 16 Minutes</v>
      </c>
      <c r="X380" t="str">
        <f t="shared" si="23"/>
        <v>Short Time Login</v>
      </c>
      <c r="AA380" s="34" t="s">
        <v>622</v>
      </c>
      <c r="AB380" s="34" t="s">
        <v>471</v>
      </c>
      <c r="AC380" s="34">
        <v>48</v>
      </c>
      <c r="AD380" s="34">
        <v>98</v>
      </c>
      <c r="AE380" s="34" t="s">
        <v>25</v>
      </c>
      <c r="AF380" s="34">
        <v>0</v>
      </c>
      <c r="AH380" s="34" t="s">
        <v>27</v>
      </c>
    </row>
    <row r="381" spans="1:34">
      <c r="A381" t="s">
        <v>623</v>
      </c>
      <c r="B381" t="s">
        <v>624</v>
      </c>
      <c r="C381">
        <v>28</v>
      </c>
      <c r="D381" t="s">
        <v>35</v>
      </c>
      <c r="E381" t="s">
        <v>44</v>
      </c>
      <c r="F381" t="s">
        <v>53</v>
      </c>
      <c r="G381" t="s">
        <v>54</v>
      </c>
      <c r="H381">
        <v>96</v>
      </c>
      <c r="I381">
        <v>70</v>
      </c>
      <c r="J381" t="s">
        <v>59</v>
      </c>
      <c r="K381">
        <v>15000</v>
      </c>
      <c r="L381">
        <v>13110</v>
      </c>
      <c r="M381">
        <v>4000</v>
      </c>
      <c r="N381" t="s">
        <v>26</v>
      </c>
      <c r="O381" t="s">
        <v>27</v>
      </c>
      <c r="P381" s="1">
        <v>46006</v>
      </c>
      <c r="Q381" s="1">
        <v>46126</v>
      </c>
      <c r="R381" s="2">
        <v>0.42916666666666664</v>
      </c>
      <c r="S381" s="2">
        <v>0.53055555555555556</v>
      </c>
      <c r="T381" t="str" cm="1">
        <f t="array" ref="T381">_xlfn.IFS(H381&gt;=90,"A",H381&gt;=75,"B",H381&gt;=60,"C",H381&lt;60,"D")</f>
        <v>A</v>
      </c>
      <c r="U381" t="str">
        <f t="shared" si="20"/>
        <v>10:18 AM</v>
      </c>
      <c r="V381" t="str">
        <f t="shared" si="21"/>
        <v>Delayed</v>
      </c>
      <c r="W381" t="str">
        <f t="shared" si="22"/>
        <v>2 Hours 26 Minutes</v>
      </c>
      <c r="X381" t="str">
        <f t="shared" si="23"/>
        <v>Long Time Login</v>
      </c>
      <c r="AA381" s="35" t="s">
        <v>623</v>
      </c>
      <c r="AB381" s="35" t="s">
        <v>624</v>
      </c>
      <c r="AC381" s="35">
        <v>96</v>
      </c>
      <c r="AD381" s="35">
        <v>70</v>
      </c>
      <c r="AE381" s="35" t="s">
        <v>59</v>
      </c>
      <c r="AF381" s="35">
        <v>4000</v>
      </c>
      <c r="AH381" s="35" t="s">
        <v>27</v>
      </c>
    </row>
    <row r="382" spans="1:34">
      <c r="A382" t="s">
        <v>625</v>
      </c>
      <c r="B382" t="s">
        <v>487</v>
      </c>
      <c r="C382">
        <v>28</v>
      </c>
      <c r="D382" t="s">
        <v>35</v>
      </c>
      <c r="E382" t="s">
        <v>39</v>
      </c>
      <c r="F382" t="s">
        <v>23</v>
      </c>
      <c r="G382" t="s">
        <v>24</v>
      </c>
      <c r="H382">
        <v>90</v>
      </c>
      <c r="I382">
        <v>88</v>
      </c>
      <c r="J382" t="s">
        <v>59</v>
      </c>
      <c r="K382">
        <v>20000</v>
      </c>
      <c r="L382">
        <v>23600</v>
      </c>
      <c r="M382">
        <v>0</v>
      </c>
      <c r="N382" t="s">
        <v>11</v>
      </c>
      <c r="O382" t="s">
        <v>27</v>
      </c>
      <c r="P382" s="1">
        <v>45750</v>
      </c>
      <c r="Q382" s="1">
        <v>45780</v>
      </c>
      <c r="R382" s="2">
        <v>0.40138888888888891</v>
      </c>
      <c r="S382" s="2">
        <v>0.45902777777777776</v>
      </c>
      <c r="T382" t="str" cm="1">
        <f t="array" ref="T382">_xlfn.IFS(H382&gt;=90,"A",H382&gt;=75,"B",H382&gt;=60,"C",H382&lt;60,"D")</f>
        <v>A</v>
      </c>
      <c r="U382" t="str">
        <f t="shared" si="20"/>
        <v>09:38 AM</v>
      </c>
      <c r="V382" t="str">
        <f t="shared" si="21"/>
        <v>On Time</v>
      </c>
      <c r="W382" t="str">
        <f t="shared" si="22"/>
        <v>1 Hours 23 Minutes</v>
      </c>
      <c r="X382" t="str">
        <f t="shared" si="23"/>
        <v>Short Time Login</v>
      </c>
      <c r="AA382" s="34" t="s">
        <v>625</v>
      </c>
      <c r="AB382" s="34" t="s">
        <v>487</v>
      </c>
      <c r="AC382" s="34">
        <v>90</v>
      </c>
      <c r="AD382" s="34">
        <v>88</v>
      </c>
      <c r="AE382" s="34" t="s">
        <v>59</v>
      </c>
      <c r="AF382" s="34">
        <v>0</v>
      </c>
      <c r="AH382" s="34" t="s">
        <v>27</v>
      </c>
    </row>
    <row r="383" spans="1:34">
      <c r="A383" t="s">
        <v>626</v>
      </c>
      <c r="B383" t="s">
        <v>295</v>
      </c>
      <c r="C383">
        <v>20</v>
      </c>
      <c r="D383" t="s">
        <v>21</v>
      </c>
      <c r="E383" t="s">
        <v>96</v>
      </c>
      <c r="F383" t="s">
        <v>53</v>
      </c>
      <c r="G383" t="s">
        <v>54</v>
      </c>
      <c r="H383">
        <v>77</v>
      </c>
      <c r="I383">
        <v>94</v>
      </c>
      <c r="J383" t="s">
        <v>45</v>
      </c>
      <c r="K383">
        <v>15000</v>
      </c>
      <c r="L383">
        <v>15110</v>
      </c>
      <c r="M383">
        <v>2000</v>
      </c>
      <c r="N383" t="s">
        <v>26</v>
      </c>
      <c r="O383" t="s">
        <v>27</v>
      </c>
      <c r="P383" s="1">
        <v>45909</v>
      </c>
      <c r="Q383" s="1">
        <v>45999</v>
      </c>
      <c r="R383" s="2">
        <v>0.40486111111111112</v>
      </c>
      <c r="S383" s="2">
        <v>0.56874999999999998</v>
      </c>
      <c r="T383" t="str" cm="1">
        <f t="array" ref="T383">_xlfn.IFS(H383&gt;=90,"A",H383&gt;=75,"B",H383&gt;=60,"C",H383&lt;60,"D")</f>
        <v>B</v>
      </c>
      <c r="U383" t="str">
        <f t="shared" si="20"/>
        <v>09:43 AM</v>
      </c>
      <c r="V383" t="str">
        <f t="shared" si="21"/>
        <v>On Time</v>
      </c>
      <c r="W383" t="str">
        <f t="shared" si="22"/>
        <v>3 Hours 56 Minutes</v>
      </c>
      <c r="X383" t="str">
        <f t="shared" si="23"/>
        <v>Short Time Login</v>
      </c>
      <c r="AA383" s="35" t="s">
        <v>626</v>
      </c>
      <c r="AB383" s="35" t="s">
        <v>295</v>
      </c>
      <c r="AC383" s="35">
        <v>77</v>
      </c>
      <c r="AD383" s="35">
        <v>94</v>
      </c>
      <c r="AE383" s="35" t="s">
        <v>45</v>
      </c>
      <c r="AF383" s="35">
        <v>2000</v>
      </c>
      <c r="AH383" s="35" t="s">
        <v>27</v>
      </c>
    </row>
    <row r="384" spans="1:34">
      <c r="A384" t="s">
        <v>627</v>
      </c>
      <c r="B384" t="s">
        <v>628</v>
      </c>
      <c r="C384">
        <v>21</v>
      </c>
      <c r="D384" t="s">
        <v>21</v>
      </c>
      <c r="E384" t="s">
        <v>36</v>
      </c>
      <c r="F384" t="s">
        <v>23</v>
      </c>
      <c r="G384" t="s">
        <v>24</v>
      </c>
      <c r="H384">
        <v>36</v>
      </c>
      <c r="I384">
        <v>66</v>
      </c>
      <c r="J384" t="s">
        <v>25</v>
      </c>
      <c r="K384">
        <v>15000</v>
      </c>
      <c r="L384">
        <v>15930</v>
      </c>
      <c r="M384">
        <v>0</v>
      </c>
      <c r="N384" t="s">
        <v>11</v>
      </c>
      <c r="O384" t="s">
        <v>27</v>
      </c>
      <c r="P384" s="1">
        <v>45739</v>
      </c>
      <c r="Q384" s="1">
        <v>45799</v>
      </c>
      <c r="R384" s="2">
        <v>0.36249999999999999</v>
      </c>
      <c r="S384" s="2">
        <v>0.50624999999999998</v>
      </c>
      <c r="T384" t="str" cm="1">
        <f t="array" ref="T384">_xlfn.IFS(H384&gt;=90,"A",H384&gt;=75,"B",H384&gt;=60,"C",H384&lt;60,"D")</f>
        <v>D</v>
      </c>
      <c r="U384" t="str">
        <f t="shared" si="20"/>
        <v>08:42 AM</v>
      </c>
      <c r="V384" t="str">
        <f t="shared" si="21"/>
        <v>On Time</v>
      </c>
      <c r="W384" t="str">
        <f t="shared" si="22"/>
        <v>3 Hours 27 Minutes</v>
      </c>
      <c r="X384" t="str">
        <f t="shared" si="23"/>
        <v>Short Time Login</v>
      </c>
      <c r="AA384" s="34" t="s">
        <v>627</v>
      </c>
      <c r="AB384" s="34" t="s">
        <v>628</v>
      </c>
      <c r="AC384" s="34">
        <v>36</v>
      </c>
      <c r="AD384" s="34">
        <v>66</v>
      </c>
      <c r="AE384" s="34" t="s">
        <v>25</v>
      </c>
      <c r="AF384" s="34">
        <v>0</v>
      </c>
      <c r="AH384" s="34" t="s">
        <v>27</v>
      </c>
    </row>
    <row r="385" spans="1:34">
      <c r="A385" t="s">
        <v>629</v>
      </c>
      <c r="B385" t="s">
        <v>630</v>
      </c>
      <c r="C385">
        <v>26</v>
      </c>
      <c r="D385" t="s">
        <v>21</v>
      </c>
      <c r="E385" t="s">
        <v>67</v>
      </c>
      <c r="F385" t="s">
        <v>88</v>
      </c>
      <c r="G385" t="s">
        <v>89</v>
      </c>
      <c r="H385">
        <v>59</v>
      </c>
      <c r="I385">
        <v>94</v>
      </c>
      <c r="J385" t="s">
        <v>25</v>
      </c>
      <c r="K385">
        <v>20000</v>
      </c>
      <c r="L385">
        <v>19830</v>
      </c>
      <c r="M385">
        <v>2000</v>
      </c>
      <c r="N385" t="s">
        <v>26</v>
      </c>
      <c r="O385" t="s">
        <v>27</v>
      </c>
      <c r="P385" s="1">
        <v>45911</v>
      </c>
      <c r="Q385" s="1">
        <v>46031</v>
      </c>
      <c r="R385" s="2">
        <v>0.40555555555555556</v>
      </c>
      <c r="S385" s="2">
        <v>0.53055555555555556</v>
      </c>
      <c r="T385" t="str" cm="1">
        <f t="array" ref="T385">_xlfn.IFS(H385&gt;=90,"A",H385&gt;=75,"B",H385&gt;=60,"C",H385&lt;60,"D")</f>
        <v>D</v>
      </c>
      <c r="U385" t="str">
        <f t="shared" si="20"/>
        <v>09:44 AM</v>
      </c>
      <c r="V385" t="str">
        <f t="shared" si="21"/>
        <v>Delayed</v>
      </c>
      <c r="W385" t="str">
        <f t="shared" si="22"/>
        <v>3 Hours 0 Minutes</v>
      </c>
      <c r="X385" t="str">
        <f t="shared" si="23"/>
        <v>Short Time Login</v>
      </c>
      <c r="AA385" s="35" t="s">
        <v>629</v>
      </c>
      <c r="AB385" s="35" t="s">
        <v>630</v>
      </c>
      <c r="AC385" s="35">
        <v>59</v>
      </c>
      <c r="AD385" s="35">
        <v>94</v>
      </c>
      <c r="AE385" s="35" t="s">
        <v>25</v>
      </c>
      <c r="AF385" s="35">
        <v>2000</v>
      </c>
      <c r="AH385" s="35" t="s">
        <v>27</v>
      </c>
    </row>
    <row r="386" spans="1:34">
      <c r="A386" t="s">
        <v>631</v>
      </c>
      <c r="B386" t="s">
        <v>238</v>
      </c>
      <c r="C386">
        <v>26</v>
      </c>
      <c r="D386" t="s">
        <v>21</v>
      </c>
      <c r="E386" t="s">
        <v>67</v>
      </c>
      <c r="F386" t="s">
        <v>40</v>
      </c>
      <c r="G386" t="s">
        <v>41</v>
      </c>
      <c r="H386">
        <v>54</v>
      </c>
      <c r="I386">
        <v>91</v>
      </c>
      <c r="J386" t="s">
        <v>25</v>
      </c>
      <c r="K386">
        <v>10000</v>
      </c>
      <c r="L386">
        <v>7800</v>
      </c>
      <c r="M386">
        <v>4000</v>
      </c>
      <c r="N386" t="s">
        <v>26</v>
      </c>
      <c r="O386" t="s">
        <v>27</v>
      </c>
      <c r="P386" s="1">
        <v>45838</v>
      </c>
      <c r="Q386" s="1">
        <v>45928</v>
      </c>
      <c r="R386" s="2">
        <v>0.36666666666666664</v>
      </c>
      <c r="S386" s="2">
        <v>0.47430555555555554</v>
      </c>
      <c r="T386" t="str" cm="1">
        <f t="array" ref="T386">_xlfn.IFS(H386&gt;=90,"A",H386&gt;=75,"B",H386&gt;=60,"C",H386&lt;60,"D")</f>
        <v>D</v>
      </c>
      <c r="U386" t="str">
        <f t="shared" ref="U386:U449" si="24">TEXT(R386,"hh:mm AM/PM")</f>
        <v>08:48 AM</v>
      </c>
      <c r="V386" t="str">
        <f t="shared" ref="V386:V449" si="25">IF(_xlfn.DAYS(Q386,P386)&lt;=90,"On Time","Delayed")</f>
        <v>On Time</v>
      </c>
      <c r="W386" t="str">
        <f t="shared" ref="W386:W449" si="26">HOUR(S386-R386)&amp;" Hours "&amp;MINUTE(S386-R386)&amp;" Minutes"</f>
        <v>2 Hours 35 Minutes</v>
      </c>
      <c r="X386" t="str">
        <f t="shared" ref="X386:X449" si="27">IF(R386&gt;TIME(10,0,0),"Long Time Login","Short Time Login")</f>
        <v>Short Time Login</v>
      </c>
      <c r="AA386" s="34" t="s">
        <v>631</v>
      </c>
      <c r="AB386" s="34" t="s">
        <v>238</v>
      </c>
      <c r="AC386" s="34">
        <v>54</v>
      </c>
      <c r="AD386" s="34">
        <v>91</v>
      </c>
      <c r="AE386" s="34" t="s">
        <v>25</v>
      </c>
      <c r="AF386" s="34">
        <v>4000</v>
      </c>
      <c r="AH386" s="34" t="s">
        <v>27</v>
      </c>
    </row>
    <row r="387" spans="1:34">
      <c r="A387" t="s">
        <v>632</v>
      </c>
      <c r="B387" t="s">
        <v>399</v>
      </c>
      <c r="C387">
        <v>22</v>
      </c>
      <c r="D387" t="s">
        <v>21</v>
      </c>
      <c r="E387" t="s">
        <v>96</v>
      </c>
      <c r="F387" t="s">
        <v>31</v>
      </c>
      <c r="G387" t="s">
        <v>32</v>
      </c>
      <c r="H387">
        <v>76</v>
      </c>
      <c r="I387">
        <v>82</v>
      </c>
      <c r="J387" t="s">
        <v>45</v>
      </c>
      <c r="K387">
        <v>12000</v>
      </c>
      <c r="L387">
        <v>9570</v>
      </c>
      <c r="M387">
        <v>4000</v>
      </c>
      <c r="N387" t="s">
        <v>26</v>
      </c>
      <c r="O387" t="s">
        <v>27</v>
      </c>
      <c r="P387" s="1">
        <v>45915</v>
      </c>
      <c r="Q387" s="1">
        <v>46035</v>
      </c>
      <c r="R387" s="2">
        <v>0.35902777777777778</v>
      </c>
      <c r="S387" s="2">
        <v>0.46944444444444444</v>
      </c>
      <c r="T387" t="str" cm="1">
        <f t="array" ref="T387">_xlfn.IFS(H387&gt;=90,"A",H387&gt;=75,"B",H387&gt;=60,"C",H387&lt;60,"D")</f>
        <v>B</v>
      </c>
      <c r="U387" t="str">
        <f t="shared" si="24"/>
        <v>08:37 AM</v>
      </c>
      <c r="V387" t="str">
        <f t="shared" si="25"/>
        <v>Delayed</v>
      </c>
      <c r="W387" t="str">
        <f t="shared" si="26"/>
        <v>2 Hours 39 Minutes</v>
      </c>
      <c r="X387" t="str">
        <f t="shared" si="27"/>
        <v>Short Time Login</v>
      </c>
      <c r="AA387" s="35" t="s">
        <v>632</v>
      </c>
      <c r="AB387" s="35" t="s">
        <v>399</v>
      </c>
      <c r="AC387" s="35">
        <v>76</v>
      </c>
      <c r="AD387" s="35">
        <v>82</v>
      </c>
      <c r="AE387" s="35" t="s">
        <v>45</v>
      </c>
      <c r="AF387" s="35">
        <v>4000</v>
      </c>
      <c r="AH387" s="35" t="s">
        <v>27</v>
      </c>
    </row>
    <row r="388" spans="1:34">
      <c r="A388" t="s">
        <v>633</v>
      </c>
      <c r="B388" t="s">
        <v>154</v>
      </c>
      <c r="C388">
        <v>18</v>
      </c>
      <c r="D388" t="s">
        <v>35</v>
      </c>
      <c r="E388" t="s">
        <v>67</v>
      </c>
      <c r="F388" t="s">
        <v>40</v>
      </c>
      <c r="G388" t="s">
        <v>41</v>
      </c>
      <c r="H388">
        <v>43</v>
      </c>
      <c r="I388">
        <v>74</v>
      </c>
      <c r="J388" t="s">
        <v>25</v>
      </c>
      <c r="K388">
        <v>18000</v>
      </c>
      <c r="L388">
        <v>21240</v>
      </c>
      <c r="M388">
        <v>0</v>
      </c>
      <c r="N388" t="s">
        <v>11</v>
      </c>
      <c r="O388" t="s">
        <v>27</v>
      </c>
      <c r="P388" s="1">
        <v>45777</v>
      </c>
      <c r="Q388" s="1">
        <v>45807</v>
      </c>
      <c r="R388" s="2">
        <v>0.33680555555555558</v>
      </c>
      <c r="S388" s="2">
        <v>0.45</v>
      </c>
      <c r="T388" t="str" cm="1">
        <f t="array" ref="T388">_xlfn.IFS(H388&gt;=90,"A",H388&gt;=75,"B",H388&gt;=60,"C",H388&lt;60,"D")</f>
        <v>D</v>
      </c>
      <c r="U388" t="str">
        <f t="shared" si="24"/>
        <v>08:05 AM</v>
      </c>
      <c r="V388" t="str">
        <f t="shared" si="25"/>
        <v>On Time</v>
      </c>
      <c r="W388" t="str">
        <f t="shared" si="26"/>
        <v>2 Hours 43 Minutes</v>
      </c>
      <c r="X388" t="str">
        <f t="shared" si="27"/>
        <v>Short Time Login</v>
      </c>
      <c r="AA388" s="34" t="s">
        <v>633</v>
      </c>
      <c r="AB388" s="34" t="s">
        <v>154</v>
      </c>
      <c r="AC388" s="34">
        <v>43</v>
      </c>
      <c r="AD388" s="34">
        <v>74</v>
      </c>
      <c r="AE388" s="34" t="s">
        <v>25</v>
      </c>
      <c r="AF388" s="34">
        <v>0</v>
      </c>
      <c r="AH388" s="34" t="s">
        <v>27</v>
      </c>
    </row>
    <row r="389" spans="1:34">
      <c r="A389" t="s">
        <v>634</v>
      </c>
      <c r="B389" t="s">
        <v>635</v>
      </c>
      <c r="C389">
        <v>23</v>
      </c>
      <c r="D389" t="s">
        <v>21</v>
      </c>
      <c r="E389" t="s">
        <v>36</v>
      </c>
      <c r="F389" t="s">
        <v>31</v>
      </c>
      <c r="G389" t="s">
        <v>32</v>
      </c>
      <c r="H389">
        <v>50</v>
      </c>
      <c r="I389">
        <v>68</v>
      </c>
      <c r="J389" t="s">
        <v>25</v>
      </c>
      <c r="K389">
        <v>12000</v>
      </c>
      <c r="L389">
        <v>8980</v>
      </c>
      <c r="M389">
        <v>4000</v>
      </c>
      <c r="N389" t="s">
        <v>26</v>
      </c>
      <c r="O389" t="s">
        <v>27</v>
      </c>
      <c r="P389" s="1">
        <v>45930</v>
      </c>
      <c r="Q389" s="1">
        <v>46020</v>
      </c>
      <c r="R389" s="2">
        <v>0.37083333333333335</v>
      </c>
      <c r="S389" s="2">
        <v>0.50486111111111109</v>
      </c>
      <c r="T389" t="str" cm="1">
        <f t="array" ref="T389">_xlfn.IFS(H389&gt;=90,"A",H389&gt;=75,"B",H389&gt;=60,"C",H389&lt;60,"D")</f>
        <v>D</v>
      </c>
      <c r="U389" t="str">
        <f t="shared" si="24"/>
        <v>08:54 AM</v>
      </c>
      <c r="V389" t="str">
        <f t="shared" si="25"/>
        <v>On Time</v>
      </c>
      <c r="W389" t="str">
        <f t="shared" si="26"/>
        <v>3 Hours 13 Minutes</v>
      </c>
      <c r="X389" t="str">
        <f t="shared" si="27"/>
        <v>Short Time Login</v>
      </c>
      <c r="AA389" s="35" t="s">
        <v>634</v>
      </c>
      <c r="AB389" s="35" t="s">
        <v>635</v>
      </c>
      <c r="AC389" s="35">
        <v>50</v>
      </c>
      <c r="AD389" s="35">
        <v>68</v>
      </c>
      <c r="AE389" s="35" t="s">
        <v>25</v>
      </c>
      <c r="AF389" s="35">
        <v>4000</v>
      </c>
      <c r="AH389" s="35" t="s">
        <v>27</v>
      </c>
    </row>
    <row r="390" spans="1:34">
      <c r="A390" t="s">
        <v>636</v>
      </c>
      <c r="B390" t="s">
        <v>226</v>
      </c>
      <c r="C390">
        <v>25</v>
      </c>
      <c r="D390" t="s">
        <v>35</v>
      </c>
      <c r="E390" t="s">
        <v>122</v>
      </c>
      <c r="F390" t="s">
        <v>88</v>
      </c>
      <c r="G390" t="s">
        <v>89</v>
      </c>
      <c r="H390">
        <v>46</v>
      </c>
      <c r="I390">
        <v>66</v>
      </c>
      <c r="J390" t="s">
        <v>25</v>
      </c>
      <c r="K390">
        <v>20000</v>
      </c>
      <c r="L390">
        <v>22420</v>
      </c>
      <c r="M390">
        <v>0</v>
      </c>
      <c r="N390" t="s">
        <v>11</v>
      </c>
      <c r="O390" t="s">
        <v>127</v>
      </c>
      <c r="P390" s="1">
        <v>45816</v>
      </c>
      <c r="Q390" s="1">
        <v>45936</v>
      </c>
      <c r="R390" s="2">
        <v>0.43680555555555556</v>
      </c>
      <c r="S390" s="2">
        <v>0.63402777777777775</v>
      </c>
      <c r="T390" t="str" cm="1">
        <f t="array" ref="T390">_xlfn.IFS(H390&gt;=90,"A",H390&gt;=75,"B",H390&gt;=60,"C",H390&lt;60,"D")</f>
        <v>D</v>
      </c>
      <c r="U390" t="str">
        <f t="shared" si="24"/>
        <v>10:29 AM</v>
      </c>
      <c r="V390" t="str">
        <f t="shared" si="25"/>
        <v>Delayed</v>
      </c>
      <c r="W390" t="str">
        <f t="shared" si="26"/>
        <v>4 Hours 44 Minutes</v>
      </c>
      <c r="X390" t="str">
        <f t="shared" si="27"/>
        <v>Long Time Login</v>
      </c>
      <c r="AA390" s="34" t="s">
        <v>636</v>
      </c>
      <c r="AB390" s="34" t="s">
        <v>226</v>
      </c>
      <c r="AC390" s="34">
        <v>46</v>
      </c>
      <c r="AD390" s="34">
        <v>66</v>
      </c>
      <c r="AE390" s="34" t="s">
        <v>25</v>
      </c>
      <c r="AF390" s="34">
        <v>0</v>
      </c>
      <c r="AH390" s="34" t="s">
        <v>127</v>
      </c>
    </row>
    <row r="391" spans="1:34">
      <c r="A391" t="s">
        <v>637</v>
      </c>
      <c r="B391" t="s">
        <v>87</v>
      </c>
      <c r="C391">
        <v>27</v>
      </c>
      <c r="D391" t="s">
        <v>35</v>
      </c>
      <c r="E391" t="s">
        <v>22</v>
      </c>
      <c r="F391" t="s">
        <v>31</v>
      </c>
      <c r="G391" t="s">
        <v>32</v>
      </c>
      <c r="H391">
        <v>48</v>
      </c>
      <c r="I391">
        <v>90</v>
      </c>
      <c r="J391" t="s">
        <v>25</v>
      </c>
      <c r="K391">
        <v>20000</v>
      </c>
      <c r="L391">
        <v>20420</v>
      </c>
      <c r="M391">
        <v>2000</v>
      </c>
      <c r="N391" t="s">
        <v>26</v>
      </c>
      <c r="O391" t="s">
        <v>27</v>
      </c>
      <c r="P391" s="1">
        <v>45935</v>
      </c>
      <c r="Q391" s="1">
        <v>46115</v>
      </c>
      <c r="R391" s="2">
        <v>0.41249999999999998</v>
      </c>
      <c r="S391" s="2">
        <v>0.55347222222222225</v>
      </c>
      <c r="T391" t="str" cm="1">
        <f t="array" ref="T391">_xlfn.IFS(H391&gt;=90,"A",H391&gt;=75,"B",H391&gt;=60,"C",H391&lt;60,"D")</f>
        <v>D</v>
      </c>
      <c r="U391" t="str">
        <f t="shared" si="24"/>
        <v>09:54 AM</v>
      </c>
      <c r="V391" t="str">
        <f t="shared" si="25"/>
        <v>Delayed</v>
      </c>
      <c r="W391" t="str">
        <f t="shared" si="26"/>
        <v>3 Hours 23 Minutes</v>
      </c>
      <c r="X391" t="str">
        <f t="shared" si="27"/>
        <v>Short Time Login</v>
      </c>
      <c r="AA391" s="35" t="s">
        <v>637</v>
      </c>
      <c r="AB391" s="35" t="s">
        <v>87</v>
      </c>
      <c r="AC391" s="35">
        <v>48</v>
      </c>
      <c r="AD391" s="35">
        <v>90</v>
      </c>
      <c r="AE391" s="35" t="s">
        <v>25</v>
      </c>
      <c r="AF391" s="35">
        <v>2000</v>
      </c>
      <c r="AH391" s="35" t="s">
        <v>27</v>
      </c>
    </row>
    <row r="392" spans="1:34">
      <c r="A392" t="s">
        <v>638</v>
      </c>
      <c r="B392" t="s">
        <v>639</v>
      </c>
      <c r="C392">
        <v>22</v>
      </c>
      <c r="D392" t="s">
        <v>21</v>
      </c>
      <c r="E392" t="s">
        <v>30</v>
      </c>
      <c r="F392" t="s">
        <v>23</v>
      </c>
      <c r="G392" t="s">
        <v>24</v>
      </c>
      <c r="H392">
        <v>54</v>
      </c>
      <c r="I392">
        <v>81</v>
      </c>
      <c r="J392" t="s">
        <v>25</v>
      </c>
      <c r="K392">
        <v>18000</v>
      </c>
      <c r="L392">
        <v>19470</v>
      </c>
      <c r="M392">
        <v>0</v>
      </c>
      <c r="N392" t="s">
        <v>11</v>
      </c>
      <c r="O392" t="s">
        <v>27</v>
      </c>
      <c r="P392" s="1">
        <v>45881</v>
      </c>
      <c r="Q392" s="1">
        <v>46001</v>
      </c>
      <c r="R392" s="2">
        <v>0.42708333333333331</v>
      </c>
      <c r="S392" s="2">
        <v>0.58750000000000002</v>
      </c>
      <c r="T392" t="str" cm="1">
        <f t="array" ref="T392">_xlfn.IFS(H392&gt;=90,"A",H392&gt;=75,"B",H392&gt;=60,"C",H392&lt;60,"D")</f>
        <v>D</v>
      </c>
      <c r="U392" t="str">
        <f t="shared" si="24"/>
        <v>10:15 AM</v>
      </c>
      <c r="V392" t="str">
        <f t="shared" si="25"/>
        <v>Delayed</v>
      </c>
      <c r="W392" t="str">
        <f t="shared" si="26"/>
        <v>3 Hours 51 Minutes</v>
      </c>
      <c r="X392" t="str">
        <f t="shared" si="27"/>
        <v>Long Time Login</v>
      </c>
      <c r="AA392" s="34" t="s">
        <v>638</v>
      </c>
      <c r="AB392" s="34" t="s">
        <v>639</v>
      </c>
      <c r="AC392" s="34">
        <v>54</v>
      </c>
      <c r="AD392" s="34">
        <v>81</v>
      </c>
      <c r="AE392" s="34" t="s">
        <v>25</v>
      </c>
      <c r="AF392" s="34">
        <v>0</v>
      </c>
      <c r="AH392" s="34" t="s">
        <v>27</v>
      </c>
    </row>
    <row r="393" spans="1:34">
      <c r="A393" t="s">
        <v>640</v>
      </c>
      <c r="B393" t="s">
        <v>162</v>
      </c>
      <c r="C393">
        <v>24</v>
      </c>
      <c r="D393" t="s">
        <v>21</v>
      </c>
      <c r="E393" t="s">
        <v>122</v>
      </c>
      <c r="F393" t="s">
        <v>23</v>
      </c>
      <c r="G393" t="s">
        <v>24</v>
      </c>
      <c r="H393">
        <v>68</v>
      </c>
      <c r="I393">
        <v>86</v>
      </c>
      <c r="J393" t="s">
        <v>68</v>
      </c>
      <c r="K393">
        <v>15000</v>
      </c>
      <c r="L393">
        <v>13700</v>
      </c>
      <c r="M393">
        <v>4000</v>
      </c>
      <c r="N393" t="s">
        <v>26</v>
      </c>
      <c r="O393" t="s">
        <v>27</v>
      </c>
      <c r="P393" s="1">
        <v>45851</v>
      </c>
      <c r="Q393" s="1">
        <v>46031</v>
      </c>
      <c r="R393" s="2">
        <v>0.41388888888888886</v>
      </c>
      <c r="S393" s="2">
        <v>0.4597222222222222</v>
      </c>
      <c r="T393" t="str" cm="1">
        <f t="array" ref="T393">_xlfn.IFS(H393&gt;=90,"A",H393&gt;=75,"B",H393&gt;=60,"C",H393&lt;60,"D")</f>
        <v>C</v>
      </c>
      <c r="U393" t="str">
        <f t="shared" si="24"/>
        <v>09:56 AM</v>
      </c>
      <c r="V393" t="str">
        <f t="shared" si="25"/>
        <v>Delayed</v>
      </c>
      <c r="W393" t="str">
        <f t="shared" si="26"/>
        <v>1 Hours 6 Minutes</v>
      </c>
      <c r="X393" t="str">
        <f t="shared" si="27"/>
        <v>Short Time Login</v>
      </c>
      <c r="AA393" s="35" t="s">
        <v>640</v>
      </c>
      <c r="AB393" s="35" t="s">
        <v>162</v>
      </c>
      <c r="AC393" s="35">
        <v>68</v>
      </c>
      <c r="AD393" s="35">
        <v>86</v>
      </c>
      <c r="AE393" s="35" t="s">
        <v>68</v>
      </c>
      <c r="AF393" s="35">
        <v>4000</v>
      </c>
      <c r="AH393" s="35" t="s">
        <v>27</v>
      </c>
    </row>
    <row r="394" spans="1:34">
      <c r="A394" t="s">
        <v>641</v>
      </c>
      <c r="B394" t="s">
        <v>642</v>
      </c>
      <c r="C394">
        <v>24</v>
      </c>
      <c r="D394" t="s">
        <v>35</v>
      </c>
      <c r="E394" t="s">
        <v>22</v>
      </c>
      <c r="F394" t="s">
        <v>31</v>
      </c>
      <c r="G394" t="s">
        <v>32</v>
      </c>
      <c r="H394">
        <v>37</v>
      </c>
      <c r="I394">
        <v>96</v>
      </c>
      <c r="J394" t="s">
        <v>25</v>
      </c>
      <c r="K394">
        <v>20000</v>
      </c>
      <c r="L394">
        <v>19010</v>
      </c>
      <c r="M394">
        <v>4000</v>
      </c>
      <c r="N394" t="s">
        <v>26</v>
      </c>
      <c r="O394" t="s">
        <v>27</v>
      </c>
      <c r="P394" s="1">
        <v>45692</v>
      </c>
      <c r="Q394" s="1">
        <v>45812</v>
      </c>
      <c r="R394" s="2">
        <v>0.37847222222222221</v>
      </c>
      <c r="S394" s="2">
        <v>0.47986111111111113</v>
      </c>
      <c r="T394" t="str" cm="1">
        <f t="array" ref="T394">_xlfn.IFS(H394&gt;=90,"A",H394&gt;=75,"B",H394&gt;=60,"C",H394&lt;60,"D")</f>
        <v>D</v>
      </c>
      <c r="U394" t="str">
        <f t="shared" si="24"/>
        <v>09:05 AM</v>
      </c>
      <c r="V394" t="str">
        <f t="shared" si="25"/>
        <v>Delayed</v>
      </c>
      <c r="W394" t="str">
        <f t="shared" si="26"/>
        <v>2 Hours 26 Minutes</v>
      </c>
      <c r="X394" t="str">
        <f t="shared" si="27"/>
        <v>Short Time Login</v>
      </c>
      <c r="AA394" s="34" t="s">
        <v>641</v>
      </c>
      <c r="AB394" s="34" t="s">
        <v>642</v>
      </c>
      <c r="AC394" s="34">
        <v>37</v>
      </c>
      <c r="AD394" s="34">
        <v>96</v>
      </c>
      <c r="AE394" s="34" t="s">
        <v>25</v>
      </c>
      <c r="AF394" s="34">
        <v>4000</v>
      </c>
      <c r="AH394" s="34" t="s">
        <v>27</v>
      </c>
    </row>
    <row r="395" spans="1:34">
      <c r="A395" t="s">
        <v>643</v>
      </c>
      <c r="B395" t="s">
        <v>110</v>
      </c>
      <c r="C395">
        <v>21</v>
      </c>
      <c r="D395" t="s">
        <v>21</v>
      </c>
      <c r="E395" t="s">
        <v>73</v>
      </c>
      <c r="F395" t="s">
        <v>63</v>
      </c>
      <c r="G395" t="s">
        <v>64</v>
      </c>
      <c r="H395">
        <v>63</v>
      </c>
      <c r="I395">
        <v>64</v>
      </c>
      <c r="J395" t="s">
        <v>68</v>
      </c>
      <c r="K395">
        <v>15000</v>
      </c>
      <c r="L395">
        <v>13700</v>
      </c>
      <c r="M395">
        <v>4000</v>
      </c>
      <c r="N395" t="s">
        <v>26</v>
      </c>
      <c r="O395" t="s">
        <v>127</v>
      </c>
      <c r="P395" s="1">
        <v>45884</v>
      </c>
      <c r="Q395" s="1">
        <v>46064</v>
      </c>
      <c r="R395" s="2">
        <v>0.39374999999999999</v>
      </c>
      <c r="S395" s="2">
        <v>0.46875</v>
      </c>
      <c r="T395" t="str" cm="1">
        <f t="array" ref="T395">_xlfn.IFS(H395&gt;=90,"A",H395&gt;=75,"B",H395&gt;=60,"C",H395&lt;60,"D")</f>
        <v>C</v>
      </c>
      <c r="U395" t="str">
        <f t="shared" si="24"/>
        <v>09:27 AM</v>
      </c>
      <c r="V395" t="str">
        <f t="shared" si="25"/>
        <v>Delayed</v>
      </c>
      <c r="W395" t="str">
        <f t="shared" si="26"/>
        <v>1 Hours 48 Minutes</v>
      </c>
      <c r="X395" t="str">
        <f t="shared" si="27"/>
        <v>Short Time Login</v>
      </c>
      <c r="AA395" s="35" t="s">
        <v>643</v>
      </c>
      <c r="AB395" s="35" t="s">
        <v>110</v>
      </c>
      <c r="AC395" s="35">
        <v>63</v>
      </c>
      <c r="AD395" s="35">
        <v>64</v>
      </c>
      <c r="AE395" s="35" t="s">
        <v>68</v>
      </c>
      <c r="AF395" s="35">
        <v>4000</v>
      </c>
      <c r="AH395" s="35" t="s">
        <v>127</v>
      </c>
    </row>
    <row r="396" spans="1:34">
      <c r="A396" t="s">
        <v>644</v>
      </c>
      <c r="B396" t="s">
        <v>334</v>
      </c>
      <c r="C396">
        <v>23</v>
      </c>
      <c r="D396" t="s">
        <v>35</v>
      </c>
      <c r="E396" t="s">
        <v>48</v>
      </c>
      <c r="F396" t="s">
        <v>49</v>
      </c>
      <c r="G396" t="s">
        <v>50</v>
      </c>
      <c r="H396">
        <v>83</v>
      </c>
      <c r="I396">
        <v>99</v>
      </c>
      <c r="J396" t="s">
        <v>45</v>
      </c>
      <c r="K396">
        <v>20000</v>
      </c>
      <c r="L396">
        <v>22420</v>
      </c>
      <c r="M396">
        <v>0</v>
      </c>
      <c r="N396" t="s">
        <v>11</v>
      </c>
      <c r="O396" t="s">
        <v>27</v>
      </c>
      <c r="P396" s="1">
        <v>45818</v>
      </c>
      <c r="Q396" s="1">
        <v>45998</v>
      </c>
      <c r="R396" s="2">
        <v>0.4548611111111111</v>
      </c>
      <c r="S396" s="2">
        <v>0.6333333333333333</v>
      </c>
      <c r="T396" t="str" cm="1">
        <f t="array" ref="T396">_xlfn.IFS(H396&gt;=90,"A",H396&gt;=75,"B",H396&gt;=60,"C",H396&lt;60,"D")</f>
        <v>B</v>
      </c>
      <c r="U396" t="str">
        <f t="shared" si="24"/>
        <v>10:55 AM</v>
      </c>
      <c r="V396" t="str">
        <f t="shared" si="25"/>
        <v>Delayed</v>
      </c>
      <c r="W396" t="str">
        <f t="shared" si="26"/>
        <v>4 Hours 17 Minutes</v>
      </c>
      <c r="X396" t="str">
        <f t="shared" si="27"/>
        <v>Long Time Login</v>
      </c>
      <c r="AA396" s="34" t="s">
        <v>644</v>
      </c>
      <c r="AB396" s="34" t="s">
        <v>334</v>
      </c>
      <c r="AC396" s="34">
        <v>83</v>
      </c>
      <c r="AD396" s="34">
        <v>99</v>
      </c>
      <c r="AE396" s="34" t="s">
        <v>45</v>
      </c>
      <c r="AF396" s="34">
        <v>0</v>
      </c>
      <c r="AH396" s="34" t="s">
        <v>27</v>
      </c>
    </row>
    <row r="397" spans="1:34">
      <c r="A397" t="s">
        <v>645</v>
      </c>
      <c r="B397" t="s">
        <v>270</v>
      </c>
      <c r="C397">
        <v>19</v>
      </c>
      <c r="D397" t="s">
        <v>21</v>
      </c>
      <c r="E397" t="s">
        <v>113</v>
      </c>
      <c r="F397" t="s">
        <v>23</v>
      </c>
      <c r="G397" t="s">
        <v>24</v>
      </c>
      <c r="H397">
        <v>100</v>
      </c>
      <c r="I397">
        <v>91</v>
      </c>
      <c r="J397" t="s">
        <v>59</v>
      </c>
      <c r="K397">
        <v>12000</v>
      </c>
      <c r="L397">
        <v>11570</v>
      </c>
      <c r="M397">
        <v>2000</v>
      </c>
      <c r="N397" t="s">
        <v>26</v>
      </c>
      <c r="O397" t="s">
        <v>27</v>
      </c>
      <c r="P397" s="1">
        <v>45720</v>
      </c>
      <c r="Q397" s="1">
        <v>45750</v>
      </c>
      <c r="R397" s="2">
        <v>0.4</v>
      </c>
      <c r="S397" s="2">
        <v>0.5854166666666667</v>
      </c>
      <c r="T397" t="str" cm="1">
        <f t="array" ref="T397">_xlfn.IFS(H397&gt;=90,"A",H397&gt;=75,"B",H397&gt;=60,"C",H397&lt;60,"D")</f>
        <v>A</v>
      </c>
      <c r="U397" t="str">
        <f t="shared" si="24"/>
        <v>09:36 AM</v>
      </c>
      <c r="V397" t="str">
        <f t="shared" si="25"/>
        <v>On Time</v>
      </c>
      <c r="W397" t="str">
        <f t="shared" si="26"/>
        <v>4 Hours 27 Minutes</v>
      </c>
      <c r="X397" t="str">
        <f t="shared" si="27"/>
        <v>Short Time Login</v>
      </c>
      <c r="AA397" s="35" t="s">
        <v>645</v>
      </c>
      <c r="AB397" s="35" t="s">
        <v>270</v>
      </c>
      <c r="AC397" s="35">
        <v>100</v>
      </c>
      <c r="AD397" s="35">
        <v>91</v>
      </c>
      <c r="AE397" s="35" t="s">
        <v>59</v>
      </c>
      <c r="AF397" s="35">
        <v>2000</v>
      </c>
      <c r="AH397" s="35" t="s">
        <v>27</v>
      </c>
    </row>
    <row r="398" spans="1:34">
      <c r="A398" t="s">
        <v>646</v>
      </c>
      <c r="B398" t="s">
        <v>391</v>
      </c>
      <c r="C398">
        <v>27</v>
      </c>
      <c r="D398" t="s">
        <v>35</v>
      </c>
      <c r="E398" t="s">
        <v>39</v>
      </c>
      <c r="F398" t="s">
        <v>57</v>
      </c>
      <c r="G398" t="s">
        <v>58</v>
      </c>
      <c r="H398">
        <v>100</v>
      </c>
      <c r="I398">
        <v>77</v>
      </c>
      <c r="J398" t="s">
        <v>59</v>
      </c>
      <c r="K398">
        <v>15000</v>
      </c>
      <c r="L398">
        <v>15930</v>
      </c>
      <c r="M398">
        <v>0</v>
      </c>
      <c r="N398" t="s">
        <v>11</v>
      </c>
      <c r="O398" t="s">
        <v>27</v>
      </c>
      <c r="P398" s="1">
        <v>45803</v>
      </c>
      <c r="Q398" s="1">
        <v>45983</v>
      </c>
      <c r="R398" s="2">
        <v>0.3527777777777778</v>
      </c>
      <c r="S398" s="2">
        <v>0.4513888888888889</v>
      </c>
      <c r="T398" t="str" cm="1">
        <f t="array" ref="T398">_xlfn.IFS(H398&gt;=90,"A",H398&gt;=75,"B",H398&gt;=60,"C",H398&lt;60,"D")</f>
        <v>A</v>
      </c>
      <c r="U398" t="str">
        <f t="shared" si="24"/>
        <v>08:28 AM</v>
      </c>
      <c r="V398" t="str">
        <f t="shared" si="25"/>
        <v>Delayed</v>
      </c>
      <c r="W398" t="str">
        <f t="shared" si="26"/>
        <v>2 Hours 22 Minutes</v>
      </c>
      <c r="X398" t="str">
        <f t="shared" si="27"/>
        <v>Short Time Login</v>
      </c>
      <c r="AA398" s="34" t="s">
        <v>646</v>
      </c>
      <c r="AB398" s="34" t="s">
        <v>391</v>
      </c>
      <c r="AC398" s="34">
        <v>100</v>
      </c>
      <c r="AD398" s="34">
        <v>77</v>
      </c>
      <c r="AE398" s="34" t="s">
        <v>59</v>
      </c>
      <c r="AF398" s="34">
        <v>0</v>
      </c>
      <c r="AH398" s="34" t="s">
        <v>27</v>
      </c>
    </row>
    <row r="399" spans="1:34">
      <c r="A399" t="s">
        <v>647</v>
      </c>
      <c r="B399" t="s">
        <v>250</v>
      </c>
      <c r="C399">
        <v>24</v>
      </c>
      <c r="D399" t="s">
        <v>35</v>
      </c>
      <c r="E399" t="s">
        <v>36</v>
      </c>
      <c r="F399" t="s">
        <v>53</v>
      </c>
      <c r="G399" t="s">
        <v>54</v>
      </c>
      <c r="H399">
        <v>97</v>
      </c>
      <c r="I399">
        <v>88</v>
      </c>
      <c r="J399" t="s">
        <v>59</v>
      </c>
      <c r="K399">
        <v>18000</v>
      </c>
      <c r="L399">
        <v>15470</v>
      </c>
      <c r="M399">
        <v>4000</v>
      </c>
      <c r="N399" t="s">
        <v>26</v>
      </c>
      <c r="O399" t="s">
        <v>27</v>
      </c>
      <c r="P399" s="1">
        <v>45893</v>
      </c>
      <c r="Q399" s="1">
        <v>46073</v>
      </c>
      <c r="R399" s="2">
        <v>0.33958333333333335</v>
      </c>
      <c r="S399" s="2">
        <v>0.47083333333333333</v>
      </c>
      <c r="T399" t="str" cm="1">
        <f t="array" ref="T399">_xlfn.IFS(H399&gt;=90,"A",H399&gt;=75,"B",H399&gt;=60,"C",H399&lt;60,"D")</f>
        <v>A</v>
      </c>
      <c r="U399" t="str">
        <f t="shared" si="24"/>
        <v>08:09 AM</v>
      </c>
      <c r="V399" t="str">
        <f t="shared" si="25"/>
        <v>Delayed</v>
      </c>
      <c r="W399" t="str">
        <f t="shared" si="26"/>
        <v>3 Hours 9 Minutes</v>
      </c>
      <c r="X399" t="str">
        <f t="shared" si="27"/>
        <v>Short Time Login</v>
      </c>
      <c r="AA399" s="35" t="s">
        <v>647</v>
      </c>
      <c r="AB399" s="35" t="s">
        <v>250</v>
      </c>
      <c r="AC399" s="35">
        <v>97</v>
      </c>
      <c r="AD399" s="35">
        <v>88</v>
      </c>
      <c r="AE399" s="35" t="s">
        <v>59</v>
      </c>
      <c r="AF399" s="35">
        <v>4000</v>
      </c>
      <c r="AH399" s="35" t="s">
        <v>27</v>
      </c>
    </row>
    <row r="400" spans="1:34">
      <c r="A400" t="s">
        <v>648</v>
      </c>
      <c r="B400" t="s">
        <v>215</v>
      </c>
      <c r="C400">
        <v>20</v>
      </c>
      <c r="D400" t="s">
        <v>21</v>
      </c>
      <c r="E400" t="s">
        <v>30</v>
      </c>
      <c r="F400" t="s">
        <v>23</v>
      </c>
      <c r="G400" t="s">
        <v>24</v>
      </c>
      <c r="H400">
        <v>75</v>
      </c>
      <c r="I400">
        <v>100</v>
      </c>
      <c r="J400" t="s">
        <v>45</v>
      </c>
      <c r="K400">
        <v>15000</v>
      </c>
      <c r="L400">
        <v>17110</v>
      </c>
      <c r="M400">
        <v>0</v>
      </c>
      <c r="N400" t="s">
        <v>11</v>
      </c>
      <c r="O400" t="s">
        <v>27</v>
      </c>
      <c r="P400" s="1">
        <v>46009</v>
      </c>
      <c r="Q400" s="1">
        <v>46189</v>
      </c>
      <c r="R400" s="2">
        <v>0.35972222222222222</v>
      </c>
      <c r="S400" s="2">
        <v>0.45347222222222222</v>
      </c>
      <c r="T400" t="str" cm="1">
        <f t="array" ref="T400">_xlfn.IFS(H400&gt;=90,"A",H400&gt;=75,"B",H400&gt;=60,"C",H400&lt;60,"D")</f>
        <v>B</v>
      </c>
      <c r="U400" t="str">
        <f t="shared" si="24"/>
        <v>08:38 AM</v>
      </c>
      <c r="V400" t="str">
        <f t="shared" si="25"/>
        <v>Delayed</v>
      </c>
      <c r="W400" t="str">
        <f t="shared" si="26"/>
        <v>2 Hours 15 Minutes</v>
      </c>
      <c r="X400" t="str">
        <f t="shared" si="27"/>
        <v>Short Time Login</v>
      </c>
      <c r="AA400" s="34" t="s">
        <v>648</v>
      </c>
      <c r="AB400" s="34" t="s">
        <v>215</v>
      </c>
      <c r="AC400" s="34">
        <v>75</v>
      </c>
      <c r="AD400" s="34">
        <v>100</v>
      </c>
      <c r="AE400" s="34" t="s">
        <v>45</v>
      </c>
      <c r="AF400" s="34">
        <v>0</v>
      </c>
      <c r="AH400" s="34" t="s">
        <v>27</v>
      </c>
    </row>
    <row r="401" spans="1:34">
      <c r="A401" t="s">
        <v>649</v>
      </c>
      <c r="B401" t="s">
        <v>650</v>
      </c>
      <c r="C401">
        <v>22</v>
      </c>
      <c r="D401" t="s">
        <v>35</v>
      </c>
      <c r="E401" t="s">
        <v>122</v>
      </c>
      <c r="F401" t="s">
        <v>53</v>
      </c>
      <c r="G401" t="s">
        <v>54</v>
      </c>
      <c r="H401">
        <v>87</v>
      </c>
      <c r="I401">
        <v>88</v>
      </c>
      <c r="J401" t="s">
        <v>45</v>
      </c>
      <c r="K401">
        <v>12000</v>
      </c>
      <c r="L401">
        <v>9570</v>
      </c>
      <c r="M401">
        <v>4000</v>
      </c>
      <c r="N401" t="s">
        <v>26</v>
      </c>
      <c r="O401" t="s">
        <v>27</v>
      </c>
      <c r="P401" s="1">
        <v>45832</v>
      </c>
      <c r="Q401" s="1">
        <v>46012</v>
      </c>
      <c r="R401" s="2">
        <v>0.39930555555555558</v>
      </c>
      <c r="S401" s="2">
        <v>0.49513888888888891</v>
      </c>
      <c r="T401" t="str" cm="1">
        <f t="array" ref="T401">_xlfn.IFS(H401&gt;=90,"A",H401&gt;=75,"B",H401&gt;=60,"C",H401&lt;60,"D")</f>
        <v>B</v>
      </c>
      <c r="U401" t="str">
        <f t="shared" si="24"/>
        <v>09:35 AM</v>
      </c>
      <c r="V401" t="str">
        <f t="shared" si="25"/>
        <v>Delayed</v>
      </c>
      <c r="W401" t="str">
        <f t="shared" si="26"/>
        <v>2 Hours 18 Minutes</v>
      </c>
      <c r="X401" t="str">
        <f t="shared" si="27"/>
        <v>Short Time Login</v>
      </c>
      <c r="AA401" s="35" t="s">
        <v>649</v>
      </c>
      <c r="AB401" s="35" t="s">
        <v>650</v>
      </c>
      <c r="AC401" s="35">
        <v>87</v>
      </c>
      <c r="AD401" s="35">
        <v>88</v>
      </c>
      <c r="AE401" s="35" t="s">
        <v>45</v>
      </c>
      <c r="AF401" s="35">
        <v>4000</v>
      </c>
      <c r="AH401" s="35" t="s">
        <v>27</v>
      </c>
    </row>
    <row r="402" spans="1:34">
      <c r="A402" t="s">
        <v>651</v>
      </c>
      <c r="B402" t="s">
        <v>336</v>
      </c>
      <c r="C402">
        <v>20</v>
      </c>
      <c r="D402" t="s">
        <v>21</v>
      </c>
      <c r="E402" t="s">
        <v>22</v>
      </c>
      <c r="F402" t="s">
        <v>63</v>
      </c>
      <c r="G402" t="s">
        <v>64</v>
      </c>
      <c r="H402">
        <v>46</v>
      </c>
      <c r="I402">
        <v>69</v>
      </c>
      <c r="J402" t="s">
        <v>25</v>
      </c>
      <c r="K402">
        <v>15000</v>
      </c>
      <c r="L402">
        <v>13930</v>
      </c>
      <c r="M402">
        <v>2000</v>
      </c>
      <c r="N402" t="s">
        <v>26</v>
      </c>
      <c r="O402" t="s">
        <v>27</v>
      </c>
      <c r="P402" s="1">
        <v>45860</v>
      </c>
      <c r="Q402" s="1">
        <v>45980</v>
      </c>
      <c r="R402" s="2">
        <v>0.3840277777777778</v>
      </c>
      <c r="S402" s="2">
        <v>0.50902777777777775</v>
      </c>
      <c r="T402" t="str" cm="1">
        <f t="array" ref="T402">_xlfn.IFS(H402&gt;=90,"A",H402&gt;=75,"B",H402&gt;=60,"C",H402&lt;60,"D")</f>
        <v>D</v>
      </c>
      <c r="U402" t="str">
        <f t="shared" si="24"/>
        <v>09:13 AM</v>
      </c>
      <c r="V402" t="str">
        <f t="shared" si="25"/>
        <v>Delayed</v>
      </c>
      <c r="W402" t="str">
        <f t="shared" si="26"/>
        <v>3 Hours 0 Minutes</v>
      </c>
      <c r="X402" t="str">
        <f t="shared" si="27"/>
        <v>Short Time Login</v>
      </c>
      <c r="AA402" s="34" t="s">
        <v>651</v>
      </c>
      <c r="AB402" s="34" t="s">
        <v>336</v>
      </c>
      <c r="AC402" s="34">
        <v>46</v>
      </c>
      <c r="AD402" s="34">
        <v>69</v>
      </c>
      <c r="AE402" s="34" t="s">
        <v>25</v>
      </c>
      <c r="AF402" s="34">
        <v>2000</v>
      </c>
      <c r="AH402" s="34" t="s">
        <v>27</v>
      </c>
    </row>
    <row r="403" spans="1:34">
      <c r="A403" t="s">
        <v>652</v>
      </c>
      <c r="B403" t="s">
        <v>493</v>
      </c>
      <c r="C403">
        <v>22</v>
      </c>
      <c r="D403" t="s">
        <v>35</v>
      </c>
      <c r="E403" t="s">
        <v>22</v>
      </c>
      <c r="F403" t="s">
        <v>63</v>
      </c>
      <c r="G403" t="s">
        <v>64</v>
      </c>
      <c r="H403">
        <v>36</v>
      </c>
      <c r="I403">
        <v>80</v>
      </c>
      <c r="J403" t="s">
        <v>25</v>
      </c>
      <c r="K403">
        <v>10000</v>
      </c>
      <c r="L403">
        <v>10030</v>
      </c>
      <c r="M403">
        <v>0</v>
      </c>
      <c r="N403" t="s">
        <v>11</v>
      </c>
      <c r="O403" t="s">
        <v>27</v>
      </c>
      <c r="P403" s="1">
        <v>45806</v>
      </c>
      <c r="Q403" s="1">
        <v>45926</v>
      </c>
      <c r="R403" s="2">
        <v>0.36180555555555555</v>
      </c>
      <c r="S403" s="2">
        <v>0.40416666666666667</v>
      </c>
      <c r="T403" t="str" cm="1">
        <f t="array" ref="T403">_xlfn.IFS(H403&gt;=90,"A",H403&gt;=75,"B",H403&gt;=60,"C",H403&lt;60,"D")</f>
        <v>D</v>
      </c>
      <c r="U403" t="str">
        <f t="shared" si="24"/>
        <v>08:41 AM</v>
      </c>
      <c r="V403" t="str">
        <f t="shared" si="25"/>
        <v>Delayed</v>
      </c>
      <c r="W403" t="str">
        <f t="shared" si="26"/>
        <v>1 Hours 1 Minutes</v>
      </c>
      <c r="X403" t="str">
        <f t="shared" si="27"/>
        <v>Short Time Login</v>
      </c>
      <c r="AA403" s="35" t="s">
        <v>652</v>
      </c>
      <c r="AB403" s="35" t="s">
        <v>493</v>
      </c>
      <c r="AC403" s="35">
        <v>36</v>
      </c>
      <c r="AD403" s="35">
        <v>80</v>
      </c>
      <c r="AE403" s="35" t="s">
        <v>25</v>
      </c>
      <c r="AF403" s="35">
        <v>0</v>
      </c>
      <c r="AH403" s="35" t="s">
        <v>27</v>
      </c>
    </row>
    <row r="404" spans="1:34">
      <c r="A404" t="s">
        <v>653</v>
      </c>
      <c r="B404" t="s">
        <v>291</v>
      </c>
      <c r="C404">
        <v>28</v>
      </c>
      <c r="D404" t="s">
        <v>21</v>
      </c>
      <c r="E404" t="s">
        <v>36</v>
      </c>
      <c r="F404" t="s">
        <v>53</v>
      </c>
      <c r="G404" t="s">
        <v>54</v>
      </c>
      <c r="H404">
        <v>88</v>
      </c>
      <c r="I404">
        <v>82</v>
      </c>
      <c r="J404" t="s">
        <v>45</v>
      </c>
      <c r="K404">
        <v>15000</v>
      </c>
      <c r="L404">
        <v>12520</v>
      </c>
      <c r="M404">
        <v>4000</v>
      </c>
      <c r="N404" t="s">
        <v>26</v>
      </c>
      <c r="O404" t="s">
        <v>27</v>
      </c>
      <c r="P404" s="1">
        <v>45727</v>
      </c>
      <c r="Q404" s="1">
        <v>45817</v>
      </c>
      <c r="R404" s="2">
        <v>0.34444444444444444</v>
      </c>
      <c r="S404" s="2">
        <v>0.50486111111111109</v>
      </c>
      <c r="T404" t="str" cm="1">
        <f t="array" ref="T404">_xlfn.IFS(H404&gt;=90,"A",H404&gt;=75,"B",H404&gt;=60,"C",H404&lt;60,"D")</f>
        <v>B</v>
      </c>
      <c r="U404" t="str">
        <f t="shared" si="24"/>
        <v>08:16 AM</v>
      </c>
      <c r="V404" t="str">
        <f t="shared" si="25"/>
        <v>On Time</v>
      </c>
      <c r="W404" t="str">
        <f t="shared" si="26"/>
        <v>3 Hours 51 Minutes</v>
      </c>
      <c r="X404" t="str">
        <f t="shared" si="27"/>
        <v>Short Time Login</v>
      </c>
      <c r="AA404" s="34" t="s">
        <v>653</v>
      </c>
      <c r="AB404" s="34" t="s">
        <v>291</v>
      </c>
      <c r="AC404" s="34">
        <v>88</v>
      </c>
      <c r="AD404" s="34">
        <v>82</v>
      </c>
      <c r="AE404" s="34" t="s">
        <v>45</v>
      </c>
      <c r="AF404" s="34">
        <v>4000</v>
      </c>
      <c r="AH404" s="34" t="s">
        <v>27</v>
      </c>
    </row>
    <row r="405" spans="1:34">
      <c r="A405" t="s">
        <v>654</v>
      </c>
      <c r="B405" t="s">
        <v>234</v>
      </c>
      <c r="C405">
        <v>27</v>
      </c>
      <c r="D405" t="s">
        <v>35</v>
      </c>
      <c r="E405" t="s">
        <v>67</v>
      </c>
      <c r="F405" t="s">
        <v>88</v>
      </c>
      <c r="G405" t="s">
        <v>89</v>
      </c>
      <c r="H405">
        <v>41</v>
      </c>
      <c r="I405">
        <v>68</v>
      </c>
      <c r="J405" t="s">
        <v>25</v>
      </c>
      <c r="K405">
        <v>18000</v>
      </c>
      <c r="L405">
        <v>18060</v>
      </c>
      <c r="M405">
        <v>2000</v>
      </c>
      <c r="N405" t="s">
        <v>26</v>
      </c>
      <c r="O405" t="s">
        <v>27</v>
      </c>
      <c r="P405" s="1">
        <v>45978</v>
      </c>
      <c r="Q405" s="1">
        <v>46068</v>
      </c>
      <c r="R405" s="2">
        <v>0.3888888888888889</v>
      </c>
      <c r="S405" s="2">
        <v>0.44027777777777777</v>
      </c>
      <c r="T405" t="str" cm="1">
        <f t="array" ref="T405">_xlfn.IFS(H405&gt;=90,"A",H405&gt;=75,"B",H405&gt;=60,"C",H405&lt;60,"D")</f>
        <v>D</v>
      </c>
      <c r="U405" t="str">
        <f t="shared" si="24"/>
        <v>09:20 AM</v>
      </c>
      <c r="V405" t="str">
        <f t="shared" si="25"/>
        <v>On Time</v>
      </c>
      <c r="W405" t="str">
        <f t="shared" si="26"/>
        <v>1 Hours 14 Minutes</v>
      </c>
      <c r="X405" t="str">
        <f t="shared" si="27"/>
        <v>Short Time Login</v>
      </c>
      <c r="AA405" s="35" t="s">
        <v>654</v>
      </c>
      <c r="AB405" s="35" t="s">
        <v>234</v>
      </c>
      <c r="AC405" s="35">
        <v>41</v>
      </c>
      <c r="AD405" s="35">
        <v>68</v>
      </c>
      <c r="AE405" s="35" t="s">
        <v>25</v>
      </c>
      <c r="AF405" s="35">
        <v>2000</v>
      </c>
      <c r="AH405" s="35" t="s">
        <v>27</v>
      </c>
    </row>
    <row r="406" spans="1:34">
      <c r="A406" t="s">
        <v>655</v>
      </c>
      <c r="B406" t="s">
        <v>656</v>
      </c>
      <c r="C406">
        <v>24</v>
      </c>
      <c r="D406" t="s">
        <v>35</v>
      </c>
      <c r="E406" t="s">
        <v>30</v>
      </c>
      <c r="F406" t="s">
        <v>49</v>
      </c>
      <c r="G406" t="s">
        <v>50</v>
      </c>
      <c r="H406">
        <v>86</v>
      </c>
      <c r="I406">
        <v>86</v>
      </c>
      <c r="J406" t="s">
        <v>45</v>
      </c>
      <c r="K406">
        <v>15000</v>
      </c>
      <c r="L406">
        <v>13110</v>
      </c>
      <c r="M406">
        <v>4000</v>
      </c>
      <c r="N406" t="s">
        <v>26</v>
      </c>
      <c r="O406" t="s">
        <v>27</v>
      </c>
      <c r="P406" s="1">
        <v>45713</v>
      </c>
      <c r="Q406" s="1">
        <v>45893</v>
      </c>
      <c r="R406" s="2">
        <v>0.45416666666666666</v>
      </c>
      <c r="S406" s="2">
        <v>0.63680555555555551</v>
      </c>
      <c r="T406" t="str" cm="1">
        <f t="array" ref="T406">_xlfn.IFS(H406&gt;=90,"A",H406&gt;=75,"B",H406&gt;=60,"C",H406&lt;60,"D")</f>
        <v>B</v>
      </c>
      <c r="U406" t="str">
        <f t="shared" si="24"/>
        <v>10:54 AM</v>
      </c>
      <c r="V406" t="str">
        <f t="shared" si="25"/>
        <v>Delayed</v>
      </c>
      <c r="W406" t="str">
        <f t="shared" si="26"/>
        <v>4 Hours 23 Minutes</v>
      </c>
      <c r="X406" t="str">
        <f t="shared" si="27"/>
        <v>Long Time Login</v>
      </c>
      <c r="AA406" s="34" t="s">
        <v>655</v>
      </c>
      <c r="AB406" s="34" t="s">
        <v>656</v>
      </c>
      <c r="AC406" s="34">
        <v>86</v>
      </c>
      <c r="AD406" s="34">
        <v>86</v>
      </c>
      <c r="AE406" s="34" t="s">
        <v>45</v>
      </c>
      <c r="AF406" s="34">
        <v>4000</v>
      </c>
      <c r="AH406" s="34" t="s">
        <v>27</v>
      </c>
    </row>
    <row r="407" spans="1:34">
      <c r="A407" t="s">
        <v>657</v>
      </c>
      <c r="B407" t="s">
        <v>169</v>
      </c>
      <c r="C407">
        <v>23</v>
      </c>
      <c r="D407" t="s">
        <v>35</v>
      </c>
      <c r="E407" t="s">
        <v>30</v>
      </c>
      <c r="F407" t="s">
        <v>88</v>
      </c>
      <c r="G407" t="s">
        <v>89</v>
      </c>
      <c r="H407">
        <v>67</v>
      </c>
      <c r="I407">
        <v>89</v>
      </c>
      <c r="J407" t="s">
        <v>68</v>
      </c>
      <c r="K407">
        <v>10000</v>
      </c>
      <c r="L407">
        <v>11800</v>
      </c>
      <c r="M407">
        <v>0</v>
      </c>
      <c r="N407" t="s">
        <v>11</v>
      </c>
      <c r="O407" t="s">
        <v>27</v>
      </c>
      <c r="P407" s="1">
        <v>45889</v>
      </c>
      <c r="Q407" s="1">
        <v>46069</v>
      </c>
      <c r="R407" s="2">
        <v>0.4375</v>
      </c>
      <c r="S407" s="2">
        <v>0.56319444444444444</v>
      </c>
      <c r="T407" t="str" cm="1">
        <f t="array" ref="T407">_xlfn.IFS(H407&gt;=90,"A",H407&gt;=75,"B",H407&gt;=60,"C",H407&lt;60,"D")</f>
        <v>C</v>
      </c>
      <c r="U407" t="str">
        <f t="shared" si="24"/>
        <v>10:30 AM</v>
      </c>
      <c r="V407" t="str">
        <f t="shared" si="25"/>
        <v>Delayed</v>
      </c>
      <c r="W407" t="str">
        <f t="shared" si="26"/>
        <v>3 Hours 1 Minutes</v>
      </c>
      <c r="X407" t="str">
        <f t="shared" si="27"/>
        <v>Long Time Login</v>
      </c>
      <c r="AA407" s="35" t="s">
        <v>657</v>
      </c>
      <c r="AB407" s="35" t="s">
        <v>169</v>
      </c>
      <c r="AC407" s="35">
        <v>67</v>
      </c>
      <c r="AD407" s="35">
        <v>89</v>
      </c>
      <c r="AE407" s="35" t="s">
        <v>68</v>
      </c>
      <c r="AF407" s="35">
        <v>0</v>
      </c>
      <c r="AH407" s="35" t="s">
        <v>27</v>
      </c>
    </row>
    <row r="408" spans="1:34">
      <c r="A408" t="s">
        <v>658</v>
      </c>
      <c r="B408" t="s">
        <v>546</v>
      </c>
      <c r="C408">
        <v>20</v>
      </c>
      <c r="D408" t="s">
        <v>35</v>
      </c>
      <c r="E408" t="s">
        <v>36</v>
      </c>
      <c r="F408" t="s">
        <v>23</v>
      </c>
      <c r="G408" t="s">
        <v>24</v>
      </c>
      <c r="H408">
        <v>47</v>
      </c>
      <c r="I408">
        <v>100</v>
      </c>
      <c r="J408" t="s">
        <v>25</v>
      </c>
      <c r="K408">
        <v>15000</v>
      </c>
      <c r="L408">
        <v>17110</v>
      </c>
      <c r="M408">
        <v>0</v>
      </c>
      <c r="N408" t="s">
        <v>11</v>
      </c>
      <c r="O408" t="s">
        <v>27</v>
      </c>
      <c r="P408" s="1">
        <v>45824</v>
      </c>
      <c r="Q408" s="1">
        <v>45854</v>
      </c>
      <c r="R408" s="2">
        <v>0.42916666666666664</v>
      </c>
      <c r="S408" s="2">
        <v>0.51736111111111116</v>
      </c>
      <c r="T408" t="str" cm="1">
        <f t="array" ref="T408">_xlfn.IFS(H408&gt;=90,"A",H408&gt;=75,"B",H408&gt;=60,"C",H408&lt;60,"D")</f>
        <v>D</v>
      </c>
      <c r="U408" t="str">
        <f t="shared" si="24"/>
        <v>10:18 AM</v>
      </c>
      <c r="V408" t="str">
        <f t="shared" si="25"/>
        <v>On Time</v>
      </c>
      <c r="W408" t="str">
        <f t="shared" si="26"/>
        <v>2 Hours 7 Minutes</v>
      </c>
      <c r="X408" t="str">
        <f t="shared" si="27"/>
        <v>Long Time Login</v>
      </c>
      <c r="AA408" s="34" t="s">
        <v>658</v>
      </c>
      <c r="AB408" s="34" t="s">
        <v>546</v>
      </c>
      <c r="AC408" s="34">
        <v>47</v>
      </c>
      <c r="AD408" s="34">
        <v>100</v>
      </c>
      <c r="AE408" s="34" t="s">
        <v>25</v>
      </c>
      <c r="AF408" s="34">
        <v>0</v>
      </c>
      <c r="AH408" s="34" t="s">
        <v>27</v>
      </c>
    </row>
    <row r="409" spans="1:34">
      <c r="A409" t="s">
        <v>659</v>
      </c>
      <c r="B409" t="s">
        <v>336</v>
      </c>
      <c r="C409">
        <v>21</v>
      </c>
      <c r="D409" t="s">
        <v>21</v>
      </c>
      <c r="E409" t="s">
        <v>62</v>
      </c>
      <c r="F409" t="s">
        <v>23</v>
      </c>
      <c r="G409" t="s">
        <v>24</v>
      </c>
      <c r="H409">
        <v>45</v>
      </c>
      <c r="I409">
        <v>65</v>
      </c>
      <c r="J409" t="s">
        <v>25</v>
      </c>
      <c r="K409">
        <v>12000</v>
      </c>
      <c r="L409">
        <v>12390</v>
      </c>
      <c r="M409">
        <v>0</v>
      </c>
      <c r="N409" t="s">
        <v>11</v>
      </c>
      <c r="O409" t="s">
        <v>27</v>
      </c>
      <c r="P409" s="1">
        <v>45823</v>
      </c>
      <c r="Q409" s="1">
        <v>46003</v>
      </c>
      <c r="R409" s="2">
        <v>0.35208333333333336</v>
      </c>
      <c r="S409" s="2">
        <v>0.44513888888888886</v>
      </c>
      <c r="T409" t="str" cm="1">
        <f t="array" ref="T409">_xlfn.IFS(H409&gt;=90,"A",H409&gt;=75,"B",H409&gt;=60,"C",H409&lt;60,"D")</f>
        <v>D</v>
      </c>
      <c r="U409" t="str">
        <f t="shared" si="24"/>
        <v>08:27 AM</v>
      </c>
      <c r="V409" t="str">
        <f t="shared" si="25"/>
        <v>Delayed</v>
      </c>
      <c r="W409" t="str">
        <f t="shared" si="26"/>
        <v>2 Hours 14 Minutes</v>
      </c>
      <c r="X409" t="str">
        <f t="shared" si="27"/>
        <v>Short Time Login</v>
      </c>
      <c r="AA409" s="35" t="s">
        <v>659</v>
      </c>
      <c r="AB409" s="35" t="s">
        <v>336</v>
      </c>
      <c r="AC409" s="35">
        <v>45</v>
      </c>
      <c r="AD409" s="35">
        <v>65</v>
      </c>
      <c r="AE409" s="35" t="s">
        <v>25</v>
      </c>
      <c r="AF409" s="35">
        <v>0</v>
      </c>
      <c r="AH409" s="35" t="s">
        <v>27</v>
      </c>
    </row>
    <row r="410" spans="1:34">
      <c r="A410" t="s">
        <v>660</v>
      </c>
      <c r="B410" t="s">
        <v>661</v>
      </c>
      <c r="C410">
        <v>25</v>
      </c>
      <c r="D410" t="s">
        <v>35</v>
      </c>
      <c r="E410" t="s">
        <v>48</v>
      </c>
      <c r="F410" t="s">
        <v>31</v>
      </c>
      <c r="G410" t="s">
        <v>32</v>
      </c>
      <c r="H410">
        <v>41</v>
      </c>
      <c r="I410">
        <v>65</v>
      </c>
      <c r="J410" t="s">
        <v>25</v>
      </c>
      <c r="K410">
        <v>12000</v>
      </c>
      <c r="L410">
        <v>12160</v>
      </c>
      <c r="M410">
        <v>2000</v>
      </c>
      <c r="N410" t="s">
        <v>26</v>
      </c>
      <c r="O410" t="s">
        <v>27</v>
      </c>
      <c r="P410" s="1">
        <v>45727</v>
      </c>
      <c r="Q410" s="1">
        <v>45757</v>
      </c>
      <c r="R410" s="2">
        <v>0.39930555555555558</v>
      </c>
      <c r="S410" s="2">
        <v>0.48333333333333334</v>
      </c>
      <c r="T410" t="str" cm="1">
        <f t="array" ref="T410">_xlfn.IFS(H410&gt;=90,"A",H410&gt;=75,"B",H410&gt;=60,"C",H410&lt;60,"D")</f>
        <v>D</v>
      </c>
      <c r="U410" t="str">
        <f t="shared" si="24"/>
        <v>09:35 AM</v>
      </c>
      <c r="V410" t="str">
        <f t="shared" si="25"/>
        <v>On Time</v>
      </c>
      <c r="W410" t="str">
        <f t="shared" si="26"/>
        <v>2 Hours 1 Minutes</v>
      </c>
      <c r="X410" t="str">
        <f t="shared" si="27"/>
        <v>Short Time Login</v>
      </c>
      <c r="AA410" s="34" t="s">
        <v>660</v>
      </c>
      <c r="AB410" s="34" t="s">
        <v>661</v>
      </c>
      <c r="AC410" s="34">
        <v>41</v>
      </c>
      <c r="AD410" s="34">
        <v>65</v>
      </c>
      <c r="AE410" s="34" t="s">
        <v>25</v>
      </c>
      <c r="AF410" s="34">
        <v>2000</v>
      </c>
      <c r="AH410" s="34" t="s">
        <v>27</v>
      </c>
    </row>
    <row r="411" spans="1:34">
      <c r="A411" t="s">
        <v>662</v>
      </c>
      <c r="B411" t="s">
        <v>117</v>
      </c>
      <c r="C411">
        <v>23</v>
      </c>
      <c r="D411" t="s">
        <v>35</v>
      </c>
      <c r="E411" t="s">
        <v>96</v>
      </c>
      <c r="F411" t="s">
        <v>63</v>
      </c>
      <c r="G411" t="s">
        <v>64</v>
      </c>
      <c r="H411">
        <v>93</v>
      </c>
      <c r="I411">
        <v>89</v>
      </c>
      <c r="J411" t="s">
        <v>59</v>
      </c>
      <c r="K411">
        <v>15000</v>
      </c>
      <c r="L411">
        <v>17700</v>
      </c>
      <c r="M411">
        <v>0</v>
      </c>
      <c r="N411" t="s">
        <v>11</v>
      </c>
      <c r="O411" t="s">
        <v>27</v>
      </c>
      <c r="P411" s="1">
        <v>45884</v>
      </c>
      <c r="Q411" s="1">
        <v>45944</v>
      </c>
      <c r="R411" s="2">
        <v>0.44583333333333336</v>
      </c>
      <c r="S411" s="2">
        <v>0.65416666666666667</v>
      </c>
      <c r="T411" t="str" cm="1">
        <f t="array" ref="T411">_xlfn.IFS(H411&gt;=90,"A",H411&gt;=75,"B",H411&gt;=60,"C",H411&lt;60,"D")</f>
        <v>A</v>
      </c>
      <c r="U411" t="str">
        <f t="shared" si="24"/>
        <v>10:42 AM</v>
      </c>
      <c r="V411" t="str">
        <f t="shared" si="25"/>
        <v>On Time</v>
      </c>
      <c r="W411" t="str">
        <f t="shared" si="26"/>
        <v>5 Hours 0 Minutes</v>
      </c>
      <c r="X411" t="str">
        <f t="shared" si="27"/>
        <v>Long Time Login</v>
      </c>
      <c r="AA411" s="35" t="s">
        <v>662</v>
      </c>
      <c r="AB411" s="35" t="s">
        <v>117</v>
      </c>
      <c r="AC411" s="35">
        <v>93</v>
      </c>
      <c r="AD411" s="35">
        <v>89</v>
      </c>
      <c r="AE411" s="35" t="s">
        <v>59</v>
      </c>
      <c r="AF411" s="35">
        <v>0</v>
      </c>
      <c r="AH411" s="35" t="s">
        <v>27</v>
      </c>
    </row>
    <row r="412" spans="1:34">
      <c r="A412" t="s">
        <v>663</v>
      </c>
      <c r="B412" t="s">
        <v>664</v>
      </c>
      <c r="C412">
        <v>21</v>
      </c>
      <c r="D412" t="s">
        <v>21</v>
      </c>
      <c r="E412" t="s">
        <v>48</v>
      </c>
      <c r="F412" t="s">
        <v>63</v>
      </c>
      <c r="G412" t="s">
        <v>64</v>
      </c>
      <c r="H412">
        <v>66</v>
      </c>
      <c r="I412">
        <v>84</v>
      </c>
      <c r="J412" t="s">
        <v>68</v>
      </c>
      <c r="K412">
        <v>12000</v>
      </c>
      <c r="L412">
        <v>12160</v>
      </c>
      <c r="M412">
        <v>2000</v>
      </c>
      <c r="N412" t="s">
        <v>26</v>
      </c>
      <c r="O412" t="s">
        <v>27</v>
      </c>
      <c r="P412" s="1">
        <v>46009</v>
      </c>
      <c r="Q412" s="1">
        <v>46099</v>
      </c>
      <c r="R412" s="2">
        <v>0.3527777777777778</v>
      </c>
      <c r="S412" s="2">
        <v>0.51597222222222228</v>
      </c>
      <c r="T412" t="str" cm="1">
        <f t="array" ref="T412">_xlfn.IFS(H412&gt;=90,"A",H412&gt;=75,"B",H412&gt;=60,"C",H412&lt;60,"D")</f>
        <v>C</v>
      </c>
      <c r="U412" t="str">
        <f t="shared" si="24"/>
        <v>08:28 AM</v>
      </c>
      <c r="V412" t="str">
        <f t="shared" si="25"/>
        <v>On Time</v>
      </c>
      <c r="W412" t="str">
        <f t="shared" si="26"/>
        <v>3 Hours 55 Minutes</v>
      </c>
      <c r="X412" t="str">
        <f t="shared" si="27"/>
        <v>Short Time Login</v>
      </c>
      <c r="AA412" s="34" t="s">
        <v>663</v>
      </c>
      <c r="AB412" s="34" t="s">
        <v>664</v>
      </c>
      <c r="AC412" s="34">
        <v>66</v>
      </c>
      <c r="AD412" s="34">
        <v>84</v>
      </c>
      <c r="AE412" s="34" t="s">
        <v>68</v>
      </c>
      <c r="AF412" s="34">
        <v>2000</v>
      </c>
      <c r="AH412" s="34" t="s">
        <v>27</v>
      </c>
    </row>
    <row r="413" spans="1:34">
      <c r="A413" t="s">
        <v>665</v>
      </c>
      <c r="B413" t="s">
        <v>610</v>
      </c>
      <c r="C413">
        <v>23</v>
      </c>
      <c r="D413" t="s">
        <v>21</v>
      </c>
      <c r="E413" t="s">
        <v>67</v>
      </c>
      <c r="F413" t="s">
        <v>23</v>
      </c>
      <c r="G413" t="s">
        <v>24</v>
      </c>
      <c r="H413">
        <v>97</v>
      </c>
      <c r="I413">
        <v>73</v>
      </c>
      <c r="J413" t="s">
        <v>59</v>
      </c>
      <c r="K413">
        <v>18000</v>
      </c>
      <c r="L413">
        <v>18060</v>
      </c>
      <c r="M413">
        <v>2000</v>
      </c>
      <c r="N413" t="s">
        <v>26</v>
      </c>
      <c r="O413" t="s">
        <v>27</v>
      </c>
      <c r="P413" s="1">
        <v>45871</v>
      </c>
      <c r="Q413" s="1">
        <v>45901</v>
      </c>
      <c r="R413" s="2">
        <v>0.33888888888888891</v>
      </c>
      <c r="S413" s="2">
        <v>0.4201388888888889</v>
      </c>
      <c r="T413" t="str" cm="1">
        <f t="array" ref="T413">_xlfn.IFS(H413&gt;=90,"A",H413&gt;=75,"B",H413&gt;=60,"C",H413&lt;60,"D")</f>
        <v>A</v>
      </c>
      <c r="U413" t="str">
        <f t="shared" si="24"/>
        <v>08:08 AM</v>
      </c>
      <c r="V413" t="str">
        <f t="shared" si="25"/>
        <v>On Time</v>
      </c>
      <c r="W413" t="str">
        <f t="shared" si="26"/>
        <v>1 Hours 57 Minutes</v>
      </c>
      <c r="X413" t="str">
        <f t="shared" si="27"/>
        <v>Short Time Login</v>
      </c>
      <c r="AA413" s="35" t="s">
        <v>665</v>
      </c>
      <c r="AB413" s="35" t="s">
        <v>610</v>
      </c>
      <c r="AC413" s="35">
        <v>97</v>
      </c>
      <c r="AD413" s="35">
        <v>73</v>
      </c>
      <c r="AE413" s="35" t="s">
        <v>59</v>
      </c>
      <c r="AF413" s="35">
        <v>2000</v>
      </c>
      <c r="AH413" s="35" t="s">
        <v>27</v>
      </c>
    </row>
    <row r="414" spans="1:34">
      <c r="A414" t="s">
        <v>666</v>
      </c>
      <c r="B414" t="s">
        <v>667</v>
      </c>
      <c r="C414">
        <v>22</v>
      </c>
      <c r="D414" t="s">
        <v>35</v>
      </c>
      <c r="E414" t="s">
        <v>122</v>
      </c>
      <c r="F414" t="s">
        <v>23</v>
      </c>
      <c r="G414" t="s">
        <v>24</v>
      </c>
      <c r="H414">
        <v>40</v>
      </c>
      <c r="I414">
        <v>90</v>
      </c>
      <c r="J414" t="s">
        <v>25</v>
      </c>
      <c r="K414">
        <v>20000</v>
      </c>
      <c r="L414">
        <v>23600</v>
      </c>
      <c r="M414">
        <v>0</v>
      </c>
      <c r="N414" t="s">
        <v>11</v>
      </c>
      <c r="O414" t="s">
        <v>27</v>
      </c>
      <c r="P414" s="1">
        <v>45825</v>
      </c>
      <c r="Q414" s="1">
        <v>46005</v>
      </c>
      <c r="R414" s="2">
        <v>0.34305555555555556</v>
      </c>
      <c r="S414" s="2">
        <v>0.39791666666666664</v>
      </c>
      <c r="T414" t="str" cm="1">
        <f t="array" ref="T414">_xlfn.IFS(H414&gt;=90,"A",H414&gt;=75,"B",H414&gt;=60,"C",H414&lt;60,"D")</f>
        <v>D</v>
      </c>
      <c r="U414" t="str">
        <f t="shared" si="24"/>
        <v>08:14 AM</v>
      </c>
      <c r="V414" t="str">
        <f t="shared" si="25"/>
        <v>Delayed</v>
      </c>
      <c r="W414" t="str">
        <f t="shared" si="26"/>
        <v>1 Hours 19 Minutes</v>
      </c>
      <c r="X414" t="str">
        <f t="shared" si="27"/>
        <v>Short Time Login</v>
      </c>
      <c r="AA414" s="34" t="s">
        <v>666</v>
      </c>
      <c r="AB414" s="34" t="s">
        <v>667</v>
      </c>
      <c r="AC414" s="34">
        <v>40</v>
      </c>
      <c r="AD414" s="34">
        <v>90</v>
      </c>
      <c r="AE414" s="34" t="s">
        <v>25</v>
      </c>
      <c r="AF414" s="34">
        <v>0</v>
      </c>
      <c r="AH414" s="34" t="s">
        <v>27</v>
      </c>
    </row>
    <row r="415" spans="1:34">
      <c r="A415" t="s">
        <v>668</v>
      </c>
      <c r="B415" t="s">
        <v>61</v>
      </c>
      <c r="C415">
        <v>22</v>
      </c>
      <c r="D415" t="s">
        <v>35</v>
      </c>
      <c r="E415" t="s">
        <v>44</v>
      </c>
      <c r="F415" t="s">
        <v>31</v>
      </c>
      <c r="G415" t="s">
        <v>32</v>
      </c>
      <c r="H415">
        <v>96</v>
      </c>
      <c r="I415">
        <v>78</v>
      </c>
      <c r="J415" t="s">
        <v>59</v>
      </c>
      <c r="K415">
        <v>10000</v>
      </c>
      <c r="L415">
        <v>6030</v>
      </c>
      <c r="M415">
        <v>4000</v>
      </c>
      <c r="N415" t="s">
        <v>26</v>
      </c>
      <c r="O415" t="s">
        <v>27</v>
      </c>
      <c r="P415" s="1">
        <v>45705</v>
      </c>
      <c r="Q415" s="1">
        <v>45885</v>
      </c>
      <c r="R415" s="2">
        <v>0.3527777777777778</v>
      </c>
      <c r="S415" s="2">
        <v>0.45416666666666666</v>
      </c>
      <c r="T415" t="str" cm="1">
        <f t="array" ref="T415">_xlfn.IFS(H415&gt;=90,"A",H415&gt;=75,"B",H415&gt;=60,"C",H415&lt;60,"D")</f>
        <v>A</v>
      </c>
      <c r="U415" t="str">
        <f t="shared" si="24"/>
        <v>08:28 AM</v>
      </c>
      <c r="V415" t="str">
        <f t="shared" si="25"/>
        <v>Delayed</v>
      </c>
      <c r="W415" t="str">
        <f t="shared" si="26"/>
        <v>2 Hours 26 Minutes</v>
      </c>
      <c r="X415" t="str">
        <f t="shared" si="27"/>
        <v>Short Time Login</v>
      </c>
      <c r="AA415" s="35" t="s">
        <v>668</v>
      </c>
      <c r="AB415" s="35" t="s">
        <v>61</v>
      </c>
      <c r="AC415" s="35">
        <v>96</v>
      </c>
      <c r="AD415" s="35">
        <v>78</v>
      </c>
      <c r="AE415" s="35" t="s">
        <v>59</v>
      </c>
      <c r="AF415" s="35">
        <v>4000</v>
      </c>
      <c r="AH415" s="35" t="s">
        <v>27</v>
      </c>
    </row>
    <row r="416" spans="1:34">
      <c r="A416" t="s">
        <v>669</v>
      </c>
      <c r="B416" t="s">
        <v>338</v>
      </c>
      <c r="C416">
        <v>28</v>
      </c>
      <c r="D416" t="s">
        <v>21</v>
      </c>
      <c r="E416" t="s">
        <v>30</v>
      </c>
      <c r="F416" t="s">
        <v>49</v>
      </c>
      <c r="G416" t="s">
        <v>50</v>
      </c>
      <c r="H416">
        <v>41</v>
      </c>
      <c r="I416">
        <v>80</v>
      </c>
      <c r="J416" t="s">
        <v>25</v>
      </c>
      <c r="K416">
        <v>18000</v>
      </c>
      <c r="L416">
        <v>16060</v>
      </c>
      <c r="M416">
        <v>4000</v>
      </c>
      <c r="N416" t="s">
        <v>26</v>
      </c>
      <c r="O416" t="s">
        <v>27</v>
      </c>
      <c r="P416" s="1">
        <v>45815</v>
      </c>
      <c r="Q416" s="1">
        <v>45905</v>
      </c>
      <c r="R416" s="2">
        <v>0.33680555555555558</v>
      </c>
      <c r="S416" s="2">
        <v>0.51458333333333328</v>
      </c>
      <c r="T416" t="str" cm="1">
        <f t="array" ref="T416">_xlfn.IFS(H416&gt;=90,"A",H416&gt;=75,"B",H416&gt;=60,"C",H416&lt;60,"D")</f>
        <v>D</v>
      </c>
      <c r="U416" t="str">
        <f t="shared" si="24"/>
        <v>08:05 AM</v>
      </c>
      <c r="V416" t="str">
        <f t="shared" si="25"/>
        <v>On Time</v>
      </c>
      <c r="W416" t="str">
        <f t="shared" si="26"/>
        <v>4 Hours 16 Minutes</v>
      </c>
      <c r="X416" t="str">
        <f t="shared" si="27"/>
        <v>Short Time Login</v>
      </c>
      <c r="AA416" s="34" t="s">
        <v>669</v>
      </c>
      <c r="AB416" s="34" t="s">
        <v>338</v>
      </c>
      <c r="AC416" s="34">
        <v>41</v>
      </c>
      <c r="AD416" s="34">
        <v>80</v>
      </c>
      <c r="AE416" s="34" t="s">
        <v>25</v>
      </c>
      <c r="AF416" s="34">
        <v>4000</v>
      </c>
      <c r="AH416" s="34" t="s">
        <v>27</v>
      </c>
    </row>
    <row r="417" spans="1:34">
      <c r="A417" t="s">
        <v>670</v>
      </c>
      <c r="B417" t="s">
        <v>671</v>
      </c>
      <c r="C417">
        <v>19</v>
      </c>
      <c r="D417" t="s">
        <v>21</v>
      </c>
      <c r="E417" t="s">
        <v>96</v>
      </c>
      <c r="F417" t="s">
        <v>31</v>
      </c>
      <c r="G417" t="s">
        <v>32</v>
      </c>
      <c r="H417">
        <v>76</v>
      </c>
      <c r="I417">
        <v>75</v>
      </c>
      <c r="J417" t="s">
        <v>45</v>
      </c>
      <c r="K417">
        <v>15000</v>
      </c>
      <c r="L417">
        <v>12520</v>
      </c>
      <c r="M417">
        <v>4000</v>
      </c>
      <c r="N417" t="s">
        <v>26</v>
      </c>
      <c r="O417" t="s">
        <v>27</v>
      </c>
      <c r="P417" s="1">
        <v>46000</v>
      </c>
      <c r="Q417" s="1">
        <v>46120</v>
      </c>
      <c r="R417" s="2">
        <v>0.41249999999999998</v>
      </c>
      <c r="S417" s="2">
        <v>0.58888888888888891</v>
      </c>
      <c r="T417" t="str" cm="1">
        <f t="array" ref="T417">_xlfn.IFS(H417&gt;=90,"A",H417&gt;=75,"B",H417&gt;=60,"C",H417&lt;60,"D")</f>
        <v>B</v>
      </c>
      <c r="U417" t="str">
        <f t="shared" si="24"/>
        <v>09:54 AM</v>
      </c>
      <c r="V417" t="str">
        <f t="shared" si="25"/>
        <v>Delayed</v>
      </c>
      <c r="W417" t="str">
        <f t="shared" si="26"/>
        <v>4 Hours 14 Minutes</v>
      </c>
      <c r="X417" t="str">
        <f t="shared" si="27"/>
        <v>Short Time Login</v>
      </c>
      <c r="AA417" s="35" t="s">
        <v>670</v>
      </c>
      <c r="AB417" s="35" t="s">
        <v>671</v>
      </c>
      <c r="AC417" s="35">
        <v>76</v>
      </c>
      <c r="AD417" s="35">
        <v>75</v>
      </c>
      <c r="AE417" s="35" t="s">
        <v>45</v>
      </c>
      <c r="AF417" s="35">
        <v>4000</v>
      </c>
      <c r="AH417" s="35" t="s">
        <v>27</v>
      </c>
    </row>
    <row r="418" spans="1:34">
      <c r="A418" t="s">
        <v>672</v>
      </c>
      <c r="B418" t="s">
        <v>258</v>
      </c>
      <c r="C418">
        <v>22</v>
      </c>
      <c r="D418" t="s">
        <v>35</v>
      </c>
      <c r="E418" t="s">
        <v>30</v>
      </c>
      <c r="F418" t="s">
        <v>63</v>
      </c>
      <c r="G418" t="s">
        <v>64</v>
      </c>
      <c r="H418">
        <v>100</v>
      </c>
      <c r="I418">
        <v>80</v>
      </c>
      <c r="J418" t="s">
        <v>59</v>
      </c>
      <c r="K418">
        <v>12000</v>
      </c>
      <c r="L418">
        <v>9570</v>
      </c>
      <c r="M418">
        <v>4000</v>
      </c>
      <c r="N418" t="s">
        <v>26</v>
      </c>
      <c r="O418" t="s">
        <v>27</v>
      </c>
      <c r="P418" s="1">
        <v>45970</v>
      </c>
      <c r="Q418" s="1">
        <v>46090</v>
      </c>
      <c r="R418" s="2">
        <v>0.39027777777777778</v>
      </c>
      <c r="S418" s="2">
        <v>0.43541666666666667</v>
      </c>
      <c r="T418" t="str" cm="1">
        <f t="array" ref="T418">_xlfn.IFS(H418&gt;=90,"A",H418&gt;=75,"B",H418&gt;=60,"C",H418&lt;60,"D")</f>
        <v>A</v>
      </c>
      <c r="U418" t="str">
        <f t="shared" si="24"/>
        <v>09:22 AM</v>
      </c>
      <c r="V418" t="str">
        <f t="shared" si="25"/>
        <v>Delayed</v>
      </c>
      <c r="W418" t="str">
        <f t="shared" si="26"/>
        <v>1 Hours 5 Minutes</v>
      </c>
      <c r="X418" t="str">
        <f t="shared" si="27"/>
        <v>Short Time Login</v>
      </c>
      <c r="AA418" s="34" t="s">
        <v>672</v>
      </c>
      <c r="AB418" s="34" t="s">
        <v>258</v>
      </c>
      <c r="AC418" s="34">
        <v>100</v>
      </c>
      <c r="AD418" s="34">
        <v>80</v>
      </c>
      <c r="AE418" s="34" t="s">
        <v>59</v>
      </c>
      <c r="AF418" s="34">
        <v>4000</v>
      </c>
      <c r="AH418" s="34" t="s">
        <v>27</v>
      </c>
    </row>
    <row r="419" spans="1:34">
      <c r="A419" t="s">
        <v>673</v>
      </c>
      <c r="B419" t="s">
        <v>386</v>
      </c>
      <c r="C419">
        <v>27</v>
      </c>
      <c r="D419" t="s">
        <v>35</v>
      </c>
      <c r="E419" t="s">
        <v>122</v>
      </c>
      <c r="F419" t="s">
        <v>23</v>
      </c>
      <c r="G419" t="s">
        <v>24</v>
      </c>
      <c r="H419">
        <v>77</v>
      </c>
      <c r="I419">
        <v>98</v>
      </c>
      <c r="J419" t="s">
        <v>45</v>
      </c>
      <c r="K419">
        <v>18000</v>
      </c>
      <c r="L419">
        <v>17240</v>
      </c>
      <c r="M419">
        <v>4000</v>
      </c>
      <c r="N419" t="s">
        <v>26</v>
      </c>
      <c r="O419" t="s">
        <v>27</v>
      </c>
      <c r="P419" s="1">
        <v>45885</v>
      </c>
      <c r="Q419" s="1">
        <v>46005</v>
      </c>
      <c r="R419" s="2">
        <v>0.34652777777777777</v>
      </c>
      <c r="S419" s="2">
        <v>0.53819444444444442</v>
      </c>
      <c r="T419" t="str" cm="1">
        <f t="array" ref="T419">_xlfn.IFS(H419&gt;=90,"A",H419&gt;=75,"B",H419&gt;=60,"C",H419&lt;60,"D")</f>
        <v>B</v>
      </c>
      <c r="U419" t="str">
        <f t="shared" si="24"/>
        <v>08:19 AM</v>
      </c>
      <c r="V419" t="str">
        <f t="shared" si="25"/>
        <v>Delayed</v>
      </c>
      <c r="W419" t="str">
        <f t="shared" si="26"/>
        <v>4 Hours 36 Minutes</v>
      </c>
      <c r="X419" t="str">
        <f t="shared" si="27"/>
        <v>Short Time Login</v>
      </c>
      <c r="AA419" s="35" t="s">
        <v>673</v>
      </c>
      <c r="AB419" s="35" t="s">
        <v>386</v>
      </c>
      <c r="AC419" s="35">
        <v>77</v>
      </c>
      <c r="AD419" s="35">
        <v>98</v>
      </c>
      <c r="AE419" s="35" t="s">
        <v>45</v>
      </c>
      <c r="AF419" s="35">
        <v>4000</v>
      </c>
      <c r="AH419" s="35" t="s">
        <v>27</v>
      </c>
    </row>
    <row r="420" spans="1:34">
      <c r="A420" t="s">
        <v>674</v>
      </c>
      <c r="B420" t="s">
        <v>675</v>
      </c>
      <c r="C420">
        <v>20</v>
      </c>
      <c r="D420" t="s">
        <v>35</v>
      </c>
      <c r="E420" t="s">
        <v>62</v>
      </c>
      <c r="F420" t="s">
        <v>88</v>
      </c>
      <c r="G420" t="s">
        <v>89</v>
      </c>
      <c r="H420">
        <v>98</v>
      </c>
      <c r="I420">
        <v>96</v>
      </c>
      <c r="J420" t="s">
        <v>59</v>
      </c>
      <c r="K420">
        <v>18000</v>
      </c>
      <c r="L420">
        <v>16650</v>
      </c>
      <c r="M420">
        <v>4000</v>
      </c>
      <c r="N420" t="s">
        <v>26</v>
      </c>
      <c r="O420" t="s">
        <v>27</v>
      </c>
      <c r="P420" s="1">
        <v>45777</v>
      </c>
      <c r="Q420" s="1">
        <v>45837</v>
      </c>
      <c r="R420" s="2">
        <v>0.45277777777777778</v>
      </c>
      <c r="S420" s="2">
        <v>0.53055555555555556</v>
      </c>
      <c r="T420" t="str" cm="1">
        <f t="array" ref="T420">_xlfn.IFS(H420&gt;=90,"A",H420&gt;=75,"B",H420&gt;=60,"C",H420&lt;60,"D")</f>
        <v>A</v>
      </c>
      <c r="U420" t="str">
        <f t="shared" si="24"/>
        <v>10:52 AM</v>
      </c>
      <c r="V420" t="str">
        <f t="shared" si="25"/>
        <v>On Time</v>
      </c>
      <c r="W420" t="str">
        <f t="shared" si="26"/>
        <v>1 Hours 52 Minutes</v>
      </c>
      <c r="X420" t="str">
        <f t="shared" si="27"/>
        <v>Long Time Login</v>
      </c>
      <c r="AA420" s="34" t="s">
        <v>674</v>
      </c>
      <c r="AB420" s="34" t="s">
        <v>675</v>
      </c>
      <c r="AC420" s="34">
        <v>98</v>
      </c>
      <c r="AD420" s="34">
        <v>96</v>
      </c>
      <c r="AE420" s="34" t="s">
        <v>59</v>
      </c>
      <c r="AF420" s="34">
        <v>4000</v>
      </c>
      <c r="AH420" s="34" t="s">
        <v>27</v>
      </c>
    </row>
    <row r="421" spans="1:34">
      <c r="A421" t="s">
        <v>676</v>
      </c>
      <c r="B421" t="s">
        <v>211</v>
      </c>
      <c r="C421">
        <v>21</v>
      </c>
      <c r="D421" t="s">
        <v>35</v>
      </c>
      <c r="E421" t="s">
        <v>67</v>
      </c>
      <c r="F421" t="s">
        <v>57</v>
      </c>
      <c r="G421" t="s">
        <v>58</v>
      </c>
      <c r="H421">
        <v>54</v>
      </c>
      <c r="I421">
        <v>66</v>
      </c>
      <c r="J421" t="s">
        <v>25</v>
      </c>
      <c r="K421">
        <v>20000</v>
      </c>
      <c r="L421">
        <v>19600</v>
      </c>
      <c r="M421">
        <v>4000</v>
      </c>
      <c r="N421" t="s">
        <v>26</v>
      </c>
      <c r="O421" t="s">
        <v>27</v>
      </c>
      <c r="P421" s="1">
        <v>45989</v>
      </c>
      <c r="Q421" s="1">
        <v>46169</v>
      </c>
      <c r="R421" s="2">
        <v>0.44791666666666669</v>
      </c>
      <c r="S421" s="2">
        <v>0.64930555555555558</v>
      </c>
      <c r="T421" t="str" cm="1">
        <f t="array" ref="T421">_xlfn.IFS(H421&gt;=90,"A",H421&gt;=75,"B",H421&gt;=60,"C",H421&lt;60,"D")</f>
        <v>D</v>
      </c>
      <c r="U421" t="str">
        <f t="shared" si="24"/>
        <v>10:45 AM</v>
      </c>
      <c r="V421" t="str">
        <f t="shared" si="25"/>
        <v>Delayed</v>
      </c>
      <c r="W421" t="str">
        <f t="shared" si="26"/>
        <v>4 Hours 50 Minutes</v>
      </c>
      <c r="X421" t="str">
        <f t="shared" si="27"/>
        <v>Long Time Login</v>
      </c>
      <c r="AA421" s="35" t="s">
        <v>676</v>
      </c>
      <c r="AB421" s="35" t="s">
        <v>211</v>
      </c>
      <c r="AC421" s="35">
        <v>54</v>
      </c>
      <c r="AD421" s="35">
        <v>66</v>
      </c>
      <c r="AE421" s="35" t="s">
        <v>25</v>
      </c>
      <c r="AF421" s="35">
        <v>4000</v>
      </c>
      <c r="AH421" s="35" t="s">
        <v>27</v>
      </c>
    </row>
    <row r="422" spans="1:34">
      <c r="A422" t="s">
        <v>677</v>
      </c>
      <c r="B422" t="s">
        <v>678</v>
      </c>
      <c r="C422">
        <v>27</v>
      </c>
      <c r="D422" t="s">
        <v>35</v>
      </c>
      <c r="E422" t="s">
        <v>48</v>
      </c>
      <c r="F422" t="s">
        <v>49</v>
      </c>
      <c r="G422" t="s">
        <v>50</v>
      </c>
      <c r="H422">
        <v>77</v>
      </c>
      <c r="I422">
        <v>69</v>
      </c>
      <c r="J422" t="s">
        <v>45</v>
      </c>
      <c r="K422">
        <v>18000</v>
      </c>
      <c r="L422">
        <v>15470</v>
      </c>
      <c r="M422">
        <v>4000</v>
      </c>
      <c r="N422" t="s">
        <v>26</v>
      </c>
      <c r="O422" t="s">
        <v>27</v>
      </c>
      <c r="P422" s="1">
        <v>45843</v>
      </c>
      <c r="Q422" s="1">
        <v>45903</v>
      </c>
      <c r="R422" s="2">
        <v>0.44027777777777777</v>
      </c>
      <c r="S422" s="2">
        <v>0.50208333333333333</v>
      </c>
      <c r="T422" t="str" cm="1">
        <f t="array" ref="T422">_xlfn.IFS(H422&gt;=90,"A",H422&gt;=75,"B",H422&gt;=60,"C",H422&lt;60,"D")</f>
        <v>B</v>
      </c>
      <c r="U422" t="str">
        <f t="shared" si="24"/>
        <v>10:34 AM</v>
      </c>
      <c r="V422" t="str">
        <f t="shared" si="25"/>
        <v>On Time</v>
      </c>
      <c r="W422" t="str">
        <f t="shared" si="26"/>
        <v>1 Hours 29 Minutes</v>
      </c>
      <c r="X422" t="str">
        <f t="shared" si="27"/>
        <v>Long Time Login</v>
      </c>
      <c r="AA422" s="34" t="s">
        <v>677</v>
      </c>
      <c r="AB422" s="34" t="s">
        <v>678</v>
      </c>
      <c r="AC422" s="34">
        <v>77</v>
      </c>
      <c r="AD422" s="34">
        <v>69</v>
      </c>
      <c r="AE422" s="34" t="s">
        <v>45</v>
      </c>
      <c r="AF422" s="34">
        <v>4000</v>
      </c>
      <c r="AH422" s="34" t="s">
        <v>27</v>
      </c>
    </row>
    <row r="423" spans="1:34">
      <c r="A423" t="s">
        <v>679</v>
      </c>
      <c r="B423" t="s">
        <v>85</v>
      </c>
      <c r="C423">
        <v>23</v>
      </c>
      <c r="D423" t="s">
        <v>35</v>
      </c>
      <c r="E423" t="s">
        <v>22</v>
      </c>
      <c r="F423" t="s">
        <v>53</v>
      </c>
      <c r="G423" t="s">
        <v>54</v>
      </c>
      <c r="H423">
        <v>84</v>
      </c>
      <c r="I423">
        <v>97</v>
      </c>
      <c r="J423" t="s">
        <v>45</v>
      </c>
      <c r="K423">
        <v>10000</v>
      </c>
      <c r="L423">
        <v>7210</v>
      </c>
      <c r="M423">
        <v>4000</v>
      </c>
      <c r="N423" t="s">
        <v>26</v>
      </c>
      <c r="O423" t="s">
        <v>27</v>
      </c>
      <c r="P423" s="1">
        <v>45666</v>
      </c>
      <c r="Q423" s="1">
        <v>45786</v>
      </c>
      <c r="R423" s="2">
        <v>0.4284722222222222</v>
      </c>
      <c r="S423" s="2">
        <v>0.59722222222222221</v>
      </c>
      <c r="T423" t="str" cm="1">
        <f t="array" ref="T423">_xlfn.IFS(H423&gt;=90,"A",H423&gt;=75,"B",H423&gt;=60,"C",H423&lt;60,"D")</f>
        <v>B</v>
      </c>
      <c r="U423" t="str">
        <f t="shared" si="24"/>
        <v>10:17 AM</v>
      </c>
      <c r="V423" t="str">
        <f t="shared" si="25"/>
        <v>Delayed</v>
      </c>
      <c r="W423" t="str">
        <f t="shared" si="26"/>
        <v>4 Hours 3 Minutes</v>
      </c>
      <c r="X423" t="str">
        <f t="shared" si="27"/>
        <v>Long Time Login</v>
      </c>
      <c r="AA423" s="35" t="s">
        <v>679</v>
      </c>
      <c r="AB423" s="35" t="s">
        <v>85</v>
      </c>
      <c r="AC423" s="35">
        <v>84</v>
      </c>
      <c r="AD423" s="35">
        <v>97</v>
      </c>
      <c r="AE423" s="35" t="s">
        <v>45</v>
      </c>
      <c r="AF423" s="35">
        <v>4000</v>
      </c>
      <c r="AH423" s="35" t="s">
        <v>27</v>
      </c>
    </row>
    <row r="424" spans="1:34">
      <c r="A424" t="s">
        <v>680</v>
      </c>
      <c r="B424" t="s">
        <v>681</v>
      </c>
      <c r="C424">
        <v>28</v>
      </c>
      <c r="D424" t="s">
        <v>35</v>
      </c>
      <c r="E424" t="s">
        <v>48</v>
      </c>
      <c r="F424" t="s">
        <v>63</v>
      </c>
      <c r="G424" t="s">
        <v>64</v>
      </c>
      <c r="H424">
        <v>53</v>
      </c>
      <c r="I424">
        <v>61</v>
      </c>
      <c r="J424" t="s">
        <v>25</v>
      </c>
      <c r="K424">
        <v>20000</v>
      </c>
      <c r="L424">
        <v>18420</v>
      </c>
      <c r="M424">
        <v>4000</v>
      </c>
      <c r="N424" t="s">
        <v>26</v>
      </c>
      <c r="O424" t="s">
        <v>27</v>
      </c>
      <c r="P424" s="1">
        <v>45796</v>
      </c>
      <c r="Q424" s="1">
        <v>45916</v>
      </c>
      <c r="R424" s="2">
        <v>0.35833333333333334</v>
      </c>
      <c r="S424" s="2">
        <v>0.51944444444444449</v>
      </c>
      <c r="T424" t="str" cm="1">
        <f t="array" ref="T424">_xlfn.IFS(H424&gt;=90,"A",H424&gt;=75,"B",H424&gt;=60,"C",H424&lt;60,"D")</f>
        <v>D</v>
      </c>
      <c r="U424" t="str">
        <f t="shared" si="24"/>
        <v>08:36 AM</v>
      </c>
      <c r="V424" t="str">
        <f t="shared" si="25"/>
        <v>Delayed</v>
      </c>
      <c r="W424" t="str">
        <f t="shared" si="26"/>
        <v>3 Hours 52 Minutes</v>
      </c>
      <c r="X424" t="str">
        <f t="shared" si="27"/>
        <v>Short Time Login</v>
      </c>
      <c r="AA424" s="34" t="s">
        <v>680</v>
      </c>
      <c r="AB424" s="34" t="s">
        <v>681</v>
      </c>
      <c r="AC424" s="34">
        <v>53</v>
      </c>
      <c r="AD424" s="34">
        <v>61</v>
      </c>
      <c r="AE424" s="34" t="s">
        <v>25</v>
      </c>
      <c r="AF424" s="34">
        <v>4000</v>
      </c>
      <c r="AH424" s="34" t="s">
        <v>27</v>
      </c>
    </row>
    <row r="425" spans="1:34">
      <c r="A425" t="s">
        <v>682</v>
      </c>
      <c r="B425" t="s">
        <v>683</v>
      </c>
      <c r="C425">
        <v>20</v>
      </c>
      <c r="D425" t="s">
        <v>21</v>
      </c>
      <c r="E425" t="s">
        <v>62</v>
      </c>
      <c r="F425" t="s">
        <v>40</v>
      </c>
      <c r="G425" t="s">
        <v>41</v>
      </c>
      <c r="H425">
        <v>65</v>
      </c>
      <c r="I425">
        <v>65</v>
      </c>
      <c r="J425" t="s">
        <v>68</v>
      </c>
      <c r="K425">
        <v>15000</v>
      </c>
      <c r="L425">
        <v>15930</v>
      </c>
      <c r="M425">
        <v>0</v>
      </c>
      <c r="N425" t="s">
        <v>11</v>
      </c>
      <c r="O425" t="s">
        <v>27</v>
      </c>
      <c r="P425" s="1">
        <v>45872</v>
      </c>
      <c r="Q425" s="1">
        <v>46052</v>
      </c>
      <c r="R425" s="2">
        <v>0.37569444444444444</v>
      </c>
      <c r="S425" s="2">
        <v>0.53541666666666665</v>
      </c>
      <c r="T425" t="str" cm="1">
        <f t="array" ref="T425">_xlfn.IFS(H425&gt;=90,"A",H425&gt;=75,"B",H425&gt;=60,"C",H425&lt;60,"D")</f>
        <v>C</v>
      </c>
      <c r="U425" t="str">
        <f t="shared" si="24"/>
        <v>09:01 AM</v>
      </c>
      <c r="V425" t="str">
        <f t="shared" si="25"/>
        <v>Delayed</v>
      </c>
      <c r="W425" t="str">
        <f t="shared" si="26"/>
        <v>3 Hours 50 Minutes</v>
      </c>
      <c r="X425" t="str">
        <f t="shared" si="27"/>
        <v>Short Time Login</v>
      </c>
      <c r="AA425" s="35" t="s">
        <v>682</v>
      </c>
      <c r="AB425" s="35" t="s">
        <v>683</v>
      </c>
      <c r="AC425" s="35">
        <v>65</v>
      </c>
      <c r="AD425" s="35">
        <v>65</v>
      </c>
      <c r="AE425" s="35" t="s">
        <v>68</v>
      </c>
      <c r="AF425" s="35">
        <v>0</v>
      </c>
      <c r="AH425" s="35" t="s">
        <v>27</v>
      </c>
    </row>
    <row r="426" spans="1:34">
      <c r="A426" t="s">
        <v>684</v>
      </c>
      <c r="B426" t="s">
        <v>467</v>
      </c>
      <c r="C426">
        <v>24</v>
      </c>
      <c r="D426" t="s">
        <v>35</v>
      </c>
      <c r="E426" t="s">
        <v>22</v>
      </c>
      <c r="F426" t="s">
        <v>53</v>
      </c>
      <c r="G426" t="s">
        <v>54</v>
      </c>
      <c r="H426">
        <v>41</v>
      </c>
      <c r="I426">
        <v>97</v>
      </c>
      <c r="J426" t="s">
        <v>25</v>
      </c>
      <c r="K426">
        <v>18000</v>
      </c>
      <c r="L426">
        <v>19240</v>
      </c>
      <c r="M426">
        <v>2000</v>
      </c>
      <c r="N426" t="s">
        <v>26</v>
      </c>
      <c r="O426" t="s">
        <v>27</v>
      </c>
      <c r="P426" s="1">
        <v>45766</v>
      </c>
      <c r="Q426" s="1">
        <v>45886</v>
      </c>
      <c r="R426" s="2">
        <v>0.40416666666666667</v>
      </c>
      <c r="S426" s="2">
        <v>0.60277777777777775</v>
      </c>
      <c r="T426" t="str" cm="1">
        <f t="array" ref="T426">_xlfn.IFS(H426&gt;=90,"A",H426&gt;=75,"B",H426&gt;=60,"C",H426&lt;60,"D")</f>
        <v>D</v>
      </c>
      <c r="U426" t="str">
        <f t="shared" si="24"/>
        <v>09:42 AM</v>
      </c>
      <c r="V426" t="str">
        <f t="shared" si="25"/>
        <v>Delayed</v>
      </c>
      <c r="W426" t="str">
        <f t="shared" si="26"/>
        <v>4 Hours 46 Minutes</v>
      </c>
      <c r="X426" t="str">
        <f t="shared" si="27"/>
        <v>Short Time Login</v>
      </c>
      <c r="AA426" s="34" t="s">
        <v>684</v>
      </c>
      <c r="AB426" s="34" t="s">
        <v>467</v>
      </c>
      <c r="AC426" s="34">
        <v>41</v>
      </c>
      <c r="AD426" s="34">
        <v>97</v>
      </c>
      <c r="AE426" s="34" t="s">
        <v>25</v>
      </c>
      <c r="AF426" s="34">
        <v>2000</v>
      </c>
      <c r="AH426" s="34" t="s">
        <v>27</v>
      </c>
    </row>
    <row r="427" spans="1:34">
      <c r="A427" t="s">
        <v>685</v>
      </c>
      <c r="B427" t="s">
        <v>215</v>
      </c>
      <c r="C427">
        <v>22</v>
      </c>
      <c r="D427" t="s">
        <v>35</v>
      </c>
      <c r="E427" t="s">
        <v>67</v>
      </c>
      <c r="F427" t="s">
        <v>23</v>
      </c>
      <c r="G427" t="s">
        <v>24</v>
      </c>
      <c r="H427">
        <v>56</v>
      </c>
      <c r="I427">
        <v>65</v>
      </c>
      <c r="J427" t="s">
        <v>25</v>
      </c>
      <c r="K427">
        <v>20000</v>
      </c>
      <c r="L427">
        <v>19830</v>
      </c>
      <c r="M427">
        <v>2000</v>
      </c>
      <c r="N427" t="s">
        <v>26</v>
      </c>
      <c r="O427" t="s">
        <v>27</v>
      </c>
      <c r="P427" s="1">
        <v>45770</v>
      </c>
      <c r="Q427" s="1">
        <v>45800</v>
      </c>
      <c r="R427" s="2">
        <v>0.35208333333333336</v>
      </c>
      <c r="S427" s="2">
        <v>0.49305555555555558</v>
      </c>
      <c r="T427" t="str" cm="1">
        <f t="array" ref="T427">_xlfn.IFS(H427&gt;=90,"A",H427&gt;=75,"B",H427&gt;=60,"C",H427&lt;60,"D")</f>
        <v>D</v>
      </c>
      <c r="U427" t="str">
        <f t="shared" si="24"/>
        <v>08:27 AM</v>
      </c>
      <c r="V427" t="str">
        <f t="shared" si="25"/>
        <v>On Time</v>
      </c>
      <c r="W427" t="str">
        <f t="shared" si="26"/>
        <v>3 Hours 23 Minutes</v>
      </c>
      <c r="X427" t="str">
        <f t="shared" si="27"/>
        <v>Short Time Login</v>
      </c>
      <c r="AA427" s="35" t="s">
        <v>685</v>
      </c>
      <c r="AB427" s="35" t="s">
        <v>215</v>
      </c>
      <c r="AC427" s="35">
        <v>56</v>
      </c>
      <c r="AD427" s="35">
        <v>65</v>
      </c>
      <c r="AE427" s="35" t="s">
        <v>25</v>
      </c>
      <c r="AF427" s="35">
        <v>2000</v>
      </c>
      <c r="AH427" s="35" t="s">
        <v>27</v>
      </c>
    </row>
    <row r="428" spans="1:34">
      <c r="A428" t="s">
        <v>686</v>
      </c>
      <c r="B428" t="s">
        <v>183</v>
      </c>
      <c r="C428">
        <v>25</v>
      </c>
      <c r="D428" t="s">
        <v>35</v>
      </c>
      <c r="E428" t="s">
        <v>30</v>
      </c>
      <c r="F428" t="s">
        <v>88</v>
      </c>
      <c r="G428" t="s">
        <v>89</v>
      </c>
      <c r="H428">
        <v>75</v>
      </c>
      <c r="I428">
        <v>64</v>
      </c>
      <c r="J428" t="s">
        <v>45</v>
      </c>
      <c r="K428">
        <v>10000</v>
      </c>
      <c r="L428">
        <v>6030</v>
      </c>
      <c r="M428">
        <v>4000</v>
      </c>
      <c r="N428" t="s">
        <v>26</v>
      </c>
      <c r="O428" t="s">
        <v>27</v>
      </c>
      <c r="P428" s="1">
        <v>45780</v>
      </c>
      <c r="Q428" s="1">
        <v>45840</v>
      </c>
      <c r="R428" s="2">
        <v>0.33402777777777776</v>
      </c>
      <c r="S428" s="2">
        <v>0.53888888888888886</v>
      </c>
      <c r="T428" t="str" cm="1">
        <f t="array" ref="T428">_xlfn.IFS(H428&gt;=90,"A",H428&gt;=75,"B",H428&gt;=60,"C",H428&lt;60,"D")</f>
        <v>B</v>
      </c>
      <c r="U428" t="str">
        <f t="shared" si="24"/>
        <v>08:01 AM</v>
      </c>
      <c r="V428" t="str">
        <f t="shared" si="25"/>
        <v>On Time</v>
      </c>
      <c r="W428" t="str">
        <f t="shared" si="26"/>
        <v>4 Hours 55 Minutes</v>
      </c>
      <c r="X428" t="str">
        <f t="shared" si="27"/>
        <v>Short Time Login</v>
      </c>
      <c r="AA428" s="34" t="s">
        <v>686</v>
      </c>
      <c r="AB428" s="34" t="s">
        <v>183</v>
      </c>
      <c r="AC428" s="34">
        <v>75</v>
      </c>
      <c r="AD428" s="34">
        <v>64</v>
      </c>
      <c r="AE428" s="34" t="s">
        <v>45</v>
      </c>
      <c r="AF428" s="34">
        <v>4000</v>
      </c>
      <c r="AH428" s="34" t="s">
        <v>27</v>
      </c>
    </row>
    <row r="429" spans="1:34">
      <c r="A429" t="s">
        <v>687</v>
      </c>
      <c r="B429" t="s">
        <v>246</v>
      </c>
      <c r="C429">
        <v>25</v>
      </c>
      <c r="D429" t="s">
        <v>21</v>
      </c>
      <c r="E429" t="s">
        <v>22</v>
      </c>
      <c r="F429" t="s">
        <v>31</v>
      </c>
      <c r="G429" t="s">
        <v>32</v>
      </c>
      <c r="H429">
        <v>92</v>
      </c>
      <c r="I429">
        <v>96</v>
      </c>
      <c r="J429" t="s">
        <v>59</v>
      </c>
      <c r="K429">
        <v>12000</v>
      </c>
      <c r="L429">
        <v>8980</v>
      </c>
      <c r="M429">
        <v>4000</v>
      </c>
      <c r="N429" t="s">
        <v>26</v>
      </c>
      <c r="O429" t="s">
        <v>27</v>
      </c>
      <c r="P429" s="1">
        <v>45670</v>
      </c>
      <c r="Q429" s="1">
        <v>45790</v>
      </c>
      <c r="R429" s="2">
        <v>0.44444444444444442</v>
      </c>
      <c r="S429" s="2">
        <v>0.50694444444444442</v>
      </c>
      <c r="T429" t="str" cm="1">
        <f t="array" ref="T429">_xlfn.IFS(H429&gt;=90,"A",H429&gt;=75,"B",H429&gt;=60,"C",H429&lt;60,"D")</f>
        <v>A</v>
      </c>
      <c r="U429" t="str">
        <f t="shared" si="24"/>
        <v>10:40 AM</v>
      </c>
      <c r="V429" t="str">
        <f t="shared" si="25"/>
        <v>Delayed</v>
      </c>
      <c r="W429" t="str">
        <f t="shared" si="26"/>
        <v>1 Hours 30 Minutes</v>
      </c>
      <c r="X429" t="str">
        <f t="shared" si="27"/>
        <v>Long Time Login</v>
      </c>
      <c r="AA429" s="35" t="s">
        <v>687</v>
      </c>
      <c r="AB429" s="35" t="s">
        <v>246</v>
      </c>
      <c r="AC429" s="35">
        <v>92</v>
      </c>
      <c r="AD429" s="35">
        <v>96</v>
      </c>
      <c r="AE429" s="35" t="s">
        <v>59</v>
      </c>
      <c r="AF429" s="35">
        <v>4000</v>
      </c>
      <c r="AH429" s="35" t="s">
        <v>27</v>
      </c>
    </row>
    <row r="430" spans="1:34">
      <c r="A430" t="s">
        <v>688</v>
      </c>
      <c r="B430" t="s">
        <v>689</v>
      </c>
      <c r="C430">
        <v>22</v>
      </c>
      <c r="D430" t="s">
        <v>21</v>
      </c>
      <c r="E430" t="s">
        <v>96</v>
      </c>
      <c r="F430" t="s">
        <v>40</v>
      </c>
      <c r="G430" t="s">
        <v>41</v>
      </c>
      <c r="H430">
        <v>81</v>
      </c>
      <c r="I430">
        <v>81</v>
      </c>
      <c r="J430" t="s">
        <v>45</v>
      </c>
      <c r="K430">
        <v>12000</v>
      </c>
      <c r="L430">
        <v>9570</v>
      </c>
      <c r="M430">
        <v>4000</v>
      </c>
      <c r="N430" t="s">
        <v>26</v>
      </c>
      <c r="O430" t="s">
        <v>27</v>
      </c>
      <c r="P430" s="1">
        <v>46022</v>
      </c>
      <c r="Q430" s="1">
        <v>46142</v>
      </c>
      <c r="R430" s="2">
        <v>0.33750000000000002</v>
      </c>
      <c r="S430" s="2">
        <v>0.52430555555555558</v>
      </c>
      <c r="T430" t="str" cm="1">
        <f t="array" ref="T430">_xlfn.IFS(H430&gt;=90,"A",H430&gt;=75,"B",H430&gt;=60,"C",H430&lt;60,"D")</f>
        <v>B</v>
      </c>
      <c r="U430" t="str">
        <f t="shared" si="24"/>
        <v>08:06 AM</v>
      </c>
      <c r="V430" t="str">
        <f t="shared" si="25"/>
        <v>Delayed</v>
      </c>
      <c r="W430" t="str">
        <f t="shared" si="26"/>
        <v>4 Hours 29 Minutes</v>
      </c>
      <c r="X430" t="str">
        <f t="shared" si="27"/>
        <v>Short Time Login</v>
      </c>
      <c r="AA430" s="34" t="s">
        <v>688</v>
      </c>
      <c r="AB430" s="34" t="s">
        <v>689</v>
      </c>
      <c r="AC430" s="34">
        <v>81</v>
      </c>
      <c r="AD430" s="34">
        <v>81</v>
      </c>
      <c r="AE430" s="34" t="s">
        <v>45</v>
      </c>
      <c r="AF430" s="34">
        <v>4000</v>
      </c>
      <c r="AH430" s="34" t="s">
        <v>27</v>
      </c>
    </row>
    <row r="431" spans="1:34">
      <c r="A431" t="s">
        <v>690</v>
      </c>
      <c r="B431" t="s">
        <v>691</v>
      </c>
      <c r="C431">
        <v>27</v>
      </c>
      <c r="D431" t="s">
        <v>35</v>
      </c>
      <c r="E431" t="s">
        <v>122</v>
      </c>
      <c r="F431" t="s">
        <v>53</v>
      </c>
      <c r="G431" t="s">
        <v>54</v>
      </c>
      <c r="H431">
        <v>63</v>
      </c>
      <c r="I431">
        <v>100</v>
      </c>
      <c r="J431" t="s">
        <v>68</v>
      </c>
      <c r="K431">
        <v>20000</v>
      </c>
      <c r="L431">
        <v>19830</v>
      </c>
      <c r="M431">
        <v>2000</v>
      </c>
      <c r="N431" t="s">
        <v>26</v>
      </c>
      <c r="O431" t="s">
        <v>27</v>
      </c>
      <c r="P431" s="1">
        <v>45895</v>
      </c>
      <c r="Q431" s="1">
        <v>45985</v>
      </c>
      <c r="R431" s="2">
        <v>0.41388888888888886</v>
      </c>
      <c r="S431" s="2">
        <v>0.47708333333333336</v>
      </c>
      <c r="T431" t="str" cm="1">
        <f t="array" ref="T431">_xlfn.IFS(H431&gt;=90,"A",H431&gt;=75,"B",H431&gt;=60,"C",H431&lt;60,"D")</f>
        <v>C</v>
      </c>
      <c r="U431" t="str">
        <f t="shared" si="24"/>
        <v>09:56 AM</v>
      </c>
      <c r="V431" t="str">
        <f t="shared" si="25"/>
        <v>On Time</v>
      </c>
      <c r="W431" t="str">
        <f t="shared" si="26"/>
        <v>1 Hours 31 Minutes</v>
      </c>
      <c r="X431" t="str">
        <f t="shared" si="27"/>
        <v>Short Time Login</v>
      </c>
      <c r="AA431" s="35" t="s">
        <v>690</v>
      </c>
      <c r="AB431" s="35" t="s">
        <v>691</v>
      </c>
      <c r="AC431" s="35">
        <v>63</v>
      </c>
      <c r="AD431" s="35">
        <v>100</v>
      </c>
      <c r="AE431" s="35" t="s">
        <v>68</v>
      </c>
      <c r="AF431" s="35">
        <v>2000</v>
      </c>
      <c r="AH431" s="35" t="s">
        <v>27</v>
      </c>
    </row>
    <row r="432" spans="1:34">
      <c r="A432" t="s">
        <v>692</v>
      </c>
      <c r="B432" t="s">
        <v>693</v>
      </c>
      <c r="C432">
        <v>25</v>
      </c>
      <c r="D432" t="s">
        <v>35</v>
      </c>
      <c r="E432" t="s">
        <v>36</v>
      </c>
      <c r="F432" t="s">
        <v>40</v>
      </c>
      <c r="G432" t="s">
        <v>41</v>
      </c>
      <c r="H432">
        <v>46</v>
      </c>
      <c r="I432">
        <v>86</v>
      </c>
      <c r="J432" t="s">
        <v>25</v>
      </c>
      <c r="K432">
        <v>20000</v>
      </c>
      <c r="L432">
        <v>17830</v>
      </c>
      <c r="M432">
        <v>4000</v>
      </c>
      <c r="N432" t="s">
        <v>26</v>
      </c>
      <c r="O432" t="s">
        <v>27</v>
      </c>
      <c r="P432" s="1">
        <v>45763</v>
      </c>
      <c r="Q432" s="1">
        <v>45793</v>
      </c>
      <c r="R432" s="2">
        <v>0.40486111111111112</v>
      </c>
      <c r="S432" s="2">
        <v>0.50138888888888888</v>
      </c>
      <c r="T432" t="str" cm="1">
        <f t="array" ref="T432">_xlfn.IFS(H432&gt;=90,"A",H432&gt;=75,"B",H432&gt;=60,"C",H432&lt;60,"D")</f>
        <v>D</v>
      </c>
      <c r="U432" t="str">
        <f t="shared" si="24"/>
        <v>09:43 AM</v>
      </c>
      <c r="V432" t="str">
        <f t="shared" si="25"/>
        <v>On Time</v>
      </c>
      <c r="W432" t="str">
        <f t="shared" si="26"/>
        <v>2 Hours 19 Minutes</v>
      </c>
      <c r="X432" t="str">
        <f t="shared" si="27"/>
        <v>Short Time Login</v>
      </c>
      <c r="AA432" s="34" t="s">
        <v>692</v>
      </c>
      <c r="AB432" s="34" t="s">
        <v>693</v>
      </c>
      <c r="AC432" s="34">
        <v>46</v>
      </c>
      <c r="AD432" s="34">
        <v>86</v>
      </c>
      <c r="AE432" s="34" t="s">
        <v>25</v>
      </c>
      <c r="AF432" s="34">
        <v>4000</v>
      </c>
      <c r="AH432" s="34" t="s">
        <v>27</v>
      </c>
    </row>
    <row r="433" spans="1:34">
      <c r="A433" t="s">
        <v>694</v>
      </c>
      <c r="B433" t="s">
        <v>87</v>
      </c>
      <c r="C433">
        <v>24</v>
      </c>
      <c r="D433" t="s">
        <v>21</v>
      </c>
      <c r="E433" t="s">
        <v>36</v>
      </c>
      <c r="F433" t="s">
        <v>63</v>
      </c>
      <c r="G433" t="s">
        <v>64</v>
      </c>
      <c r="H433">
        <v>83</v>
      </c>
      <c r="I433">
        <v>75</v>
      </c>
      <c r="J433" t="s">
        <v>45</v>
      </c>
      <c r="K433">
        <v>18000</v>
      </c>
      <c r="L433">
        <v>18650</v>
      </c>
      <c r="M433">
        <v>2000</v>
      </c>
      <c r="N433" t="s">
        <v>26</v>
      </c>
      <c r="O433" t="s">
        <v>27</v>
      </c>
      <c r="P433" s="1">
        <v>46019</v>
      </c>
      <c r="Q433" s="1">
        <v>46139</v>
      </c>
      <c r="R433" s="2">
        <v>0.45416666666666666</v>
      </c>
      <c r="S433" s="2">
        <v>0.65277777777777779</v>
      </c>
      <c r="T433" t="str" cm="1">
        <f t="array" ref="T433">_xlfn.IFS(H433&gt;=90,"A",H433&gt;=75,"B",H433&gt;=60,"C",H433&lt;60,"D")</f>
        <v>B</v>
      </c>
      <c r="U433" t="str">
        <f t="shared" si="24"/>
        <v>10:54 AM</v>
      </c>
      <c r="V433" t="str">
        <f t="shared" si="25"/>
        <v>Delayed</v>
      </c>
      <c r="W433" t="str">
        <f t="shared" si="26"/>
        <v>4 Hours 46 Minutes</v>
      </c>
      <c r="X433" t="str">
        <f t="shared" si="27"/>
        <v>Long Time Login</v>
      </c>
      <c r="AA433" s="35" t="s">
        <v>694</v>
      </c>
      <c r="AB433" s="35" t="s">
        <v>87</v>
      </c>
      <c r="AC433" s="35">
        <v>83</v>
      </c>
      <c r="AD433" s="35">
        <v>75</v>
      </c>
      <c r="AE433" s="35" t="s">
        <v>45</v>
      </c>
      <c r="AF433" s="35">
        <v>2000</v>
      </c>
      <c r="AH433" s="35" t="s">
        <v>27</v>
      </c>
    </row>
    <row r="434" spans="1:34">
      <c r="A434" t="s">
        <v>695</v>
      </c>
      <c r="B434" t="s">
        <v>696</v>
      </c>
      <c r="C434">
        <v>21</v>
      </c>
      <c r="D434" t="s">
        <v>35</v>
      </c>
      <c r="E434" t="s">
        <v>73</v>
      </c>
      <c r="F434" t="s">
        <v>53</v>
      </c>
      <c r="G434" t="s">
        <v>54</v>
      </c>
      <c r="H434">
        <v>97</v>
      </c>
      <c r="I434">
        <v>99</v>
      </c>
      <c r="J434" t="s">
        <v>59</v>
      </c>
      <c r="K434">
        <v>10000</v>
      </c>
      <c r="L434">
        <v>11800</v>
      </c>
      <c r="M434">
        <v>0</v>
      </c>
      <c r="N434" t="s">
        <v>11</v>
      </c>
      <c r="O434" t="s">
        <v>27</v>
      </c>
      <c r="P434" s="1">
        <v>45701</v>
      </c>
      <c r="Q434" s="1">
        <v>45791</v>
      </c>
      <c r="R434" s="2">
        <v>0.3659722222222222</v>
      </c>
      <c r="S434" s="2">
        <v>0.51180555555555551</v>
      </c>
      <c r="T434" t="str" cm="1">
        <f t="array" ref="T434">_xlfn.IFS(H434&gt;=90,"A",H434&gt;=75,"B",H434&gt;=60,"C",H434&lt;60,"D")</f>
        <v>A</v>
      </c>
      <c r="U434" t="str">
        <f t="shared" si="24"/>
        <v>08:47 AM</v>
      </c>
      <c r="V434" t="str">
        <f t="shared" si="25"/>
        <v>On Time</v>
      </c>
      <c r="W434" t="str">
        <f t="shared" si="26"/>
        <v>3 Hours 30 Minutes</v>
      </c>
      <c r="X434" t="str">
        <f t="shared" si="27"/>
        <v>Short Time Login</v>
      </c>
      <c r="AA434" s="34" t="s">
        <v>695</v>
      </c>
      <c r="AB434" s="34" t="s">
        <v>696</v>
      </c>
      <c r="AC434" s="34">
        <v>97</v>
      </c>
      <c r="AD434" s="34">
        <v>99</v>
      </c>
      <c r="AE434" s="34" t="s">
        <v>59</v>
      </c>
      <c r="AF434" s="34">
        <v>0</v>
      </c>
      <c r="AH434" s="34" t="s">
        <v>27</v>
      </c>
    </row>
    <row r="435" spans="1:34">
      <c r="A435" t="s">
        <v>697</v>
      </c>
      <c r="B435" t="s">
        <v>575</v>
      </c>
      <c r="C435">
        <v>28</v>
      </c>
      <c r="D435" t="s">
        <v>35</v>
      </c>
      <c r="E435" t="s">
        <v>22</v>
      </c>
      <c r="F435" t="s">
        <v>53</v>
      </c>
      <c r="G435" t="s">
        <v>54</v>
      </c>
      <c r="H435">
        <v>54</v>
      </c>
      <c r="I435">
        <v>71</v>
      </c>
      <c r="J435" t="s">
        <v>25</v>
      </c>
      <c r="K435">
        <v>10000</v>
      </c>
      <c r="L435">
        <v>8030</v>
      </c>
      <c r="M435">
        <v>2000</v>
      </c>
      <c r="N435" t="s">
        <v>26</v>
      </c>
      <c r="O435" t="s">
        <v>27</v>
      </c>
      <c r="P435" s="1">
        <v>45716</v>
      </c>
      <c r="Q435" s="1">
        <v>45806</v>
      </c>
      <c r="R435" s="2">
        <v>0.33541666666666664</v>
      </c>
      <c r="S435" s="2">
        <v>0.43263888888888891</v>
      </c>
      <c r="T435" t="str" cm="1">
        <f t="array" ref="T435">_xlfn.IFS(H435&gt;=90,"A",H435&gt;=75,"B",H435&gt;=60,"C",H435&lt;60,"D")</f>
        <v>D</v>
      </c>
      <c r="U435" t="str">
        <f t="shared" si="24"/>
        <v>08:03 AM</v>
      </c>
      <c r="V435" t="str">
        <f t="shared" si="25"/>
        <v>On Time</v>
      </c>
      <c r="W435" t="str">
        <f t="shared" si="26"/>
        <v>2 Hours 20 Minutes</v>
      </c>
      <c r="X435" t="str">
        <f t="shared" si="27"/>
        <v>Short Time Login</v>
      </c>
      <c r="AA435" s="35" t="s">
        <v>697</v>
      </c>
      <c r="AB435" s="35" t="s">
        <v>575</v>
      </c>
      <c r="AC435" s="35">
        <v>54</v>
      </c>
      <c r="AD435" s="35">
        <v>71</v>
      </c>
      <c r="AE435" s="35" t="s">
        <v>25</v>
      </c>
      <c r="AF435" s="35">
        <v>2000</v>
      </c>
      <c r="AH435" s="35" t="s">
        <v>27</v>
      </c>
    </row>
    <row r="436" spans="1:34">
      <c r="A436" t="s">
        <v>698</v>
      </c>
      <c r="B436" t="s">
        <v>252</v>
      </c>
      <c r="C436">
        <v>18</v>
      </c>
      <c r="D436" t="s">
        <v>21</v>
      </c>
      <c r="E436" t="s">
        <v>48</v>
      </c>
      <c r="F436" t="s">
        <v>57</v>
      </c>
      <c r="G436" t="s">
        <v>58</v>
      </c>
      <c r="H436">
        <v>50</v>
      </c>
      <c r="I436">
        <v>94</v>
      </c>
      <c r="J436" t="s">
        <v>25</v>
      </c>
      <c r="K436">
        <v>15000</v>
      </c>
      <c r="L436">
        <v>14520</v>
      </c>
      <c r="M436">
        <v>2000</v>
      </c>
      <c r="N436" t="s">
        <v>26</v>
      </c>
      <c r="O436" t="s">
        <v>27</v>
      </c>
      <c r="P436" s="1">
        <v>45987</v>
      </c>
      <c r="Q436" s="1">
        <v>46107</v>
      </c>
      <c r="R436" s="2">
        <v>0.36527777777777776</v>
      </c>
      <c r="S436" s="2">
        <v>0.52152777777777781</v>
      </c>
      <c r="T436" t="str" cm="1">
        <f t="array" ref="T436">_xlfn.IFS(H436&gt;=90,"A",H436&gt;=75,"B",H436&gt;=60,"C",H436&lt;60,"D")</f>
        <v>D</v>
      </c>
      <c r="U436" t="str">
        <f t="shared" si="24"/>
        <v>08:46 AM</v>
      </c>
      <c r="V436" t="str">
        <f t="shared" si="25"/>
        <v>Delayed</v>
      </c>
      <c r="W436" t="str">
        <f t="shared" si="26"/>
        <v>3 Hours 45 Minutes</v>
      </c>
      <c r="X436" t="str">
        <f t="shared" si="27"/>
        <v>Short Time Login</v>
      </c>
      <c r="AA436" s="34" t="s">
        <v>698</v>
      </c>
      <c r="AB436" s="34" t="s">
        <v>252</v>
      </c>
      <c r="AC436" s="34">
        <v>50</v>
      </c>
      <c r="AD436" s="34">
        <v>94</v>
      </c>
      <c r="AE436" s="34" t="s">
        <v>25</v>
      </c>
      <c r="AF436" s="34">
        <v>2000</v>
      </c>
      <c r="AH436" s="34" t="s">
        <v>27</v>
      </c>
    </row>
    <row r="437" spans="1:34">
      <c r="A437" t="s">
        <v>699</v>
      </c>
      <c r="B437" t="s">
        <v>108</v>
      </c>
      <c r="C437">
        <v>26</v>
      </c>
      <c r="D437" t="s">
        <v>21</v>
      </c>
      <c r="E437" t="s">
        <v>44</v>
      </c>
      <c r="F437" t="s">
        <v>53</v>
      </c>
      <c r="G437" t="s">
        <v>54</v>
      </c>
      <c r="H437">
        <v>61</v>
      </c>
      <c r="I437">
        <v>60</v>
      </c>
      <c r="J437" t="s">
        <v>68</v>
      </c>
      <c r="K437">
        <v>20000</v>
      </c>
      <c r="L437">
        <v>23010</v>
      </c>
      <c r="M437">
        <v>0</v>
      </c>
      <c r="N437" t="s">
        <v>11</v>
      </c>
      <c r="O437" t="s">
        <v>27</v>
      </c>
      <c r="P437" s="1">
        <v>45694</v>
      </c>
      <c r="Q437" s="1">
        <v>45814</v>
      </c>
      <c r="R437" s="2">
        <v>0.38333333333333336</v>
      </c>
      <c r="S437" s="2">
        <v>0.53263888888888888</v>
      </c>
      <c r="T437" t="str" cm="1">
        <f t="array" ref="T437">_xlfn.IFS(H437&gt;=90,"A",H437&gt;=75,"B",H437&gt;=60,"C",H437&lt;60,"D")</f>
        <v>C</v>
      </c>
      <c r="U437" t="str">
        <f t="shared" si="24"/>
        <v>09:12 AM</v>
      </c>
      <c r="V437" t="str">
        <f t="shared" si="25"/>
        <v>Delayed</v>
      </c>
      <c r="W437" t="str">
        <f t="shared" si="26"/>
        <v>3 Hours 35 Minutes</v>
      </c>
      <c r="X437" t="str">
        <f t="shared" si="27"/>
        <v>Short Time Login</v>
      </c>
      <c r="AA437" s="35" t="s">
        <v>699</v>
      </c>
      <c r="AB437" s="35" t="s">
        <v>108</v>
      </c>
      <c r="AC437" s="35">
        <v>61</v>
      </c>
      <c r="AD437" s="35">
        <v>60</v>
      </c>
      <c r="AE437" s="35" t="s">
        <v>68</v>
      </c>
      <c r="AF437" s="35">
        <v>0</v>
      </c>
      <c r="AH437" s="35" t="s">
        <v>27</v>
      </c>
    </row>
    <row r="438" spans="1:34">
      <c r="A438" t="s">
        <v>700</v>
      </c>
      <c r="B438" t="s">
        <v>353</v>
      </c>
      <c r="C438">
        <v>19</v>
      </c>
      <c r="D438" t="s">
        <v>35</v>
      </c>
      <c r="E438" t="s">
        <v>36</v>
      </c>
      <c r="F438" t="s">
        <v>63</v>
      </c>
      <c r="G438" t="s">
        <v>64</v>
      </c>
      <c r="H438">
        <v>59</v>
      </c>
      <c r="I438">
        <v>90</v>
      </c>
      <c r="J438" t="s">
        <v>25</v>
      </c>
      <c r="K438">
        <v>15000</v>
      </c>
      <c r="L438">
        <v>17700</v>
      </c>
      <c r="M438">
        <v>0</v>
      </c>
      <c r="N438" t="s">
        <v>11</v>
      </c>
      <c r="O438" t="s">
        <v>27</v>
      </c>
      <c r="P438" s="1">
        <v>45713</v>
      </c>
      <c r="Q438" s="1">
        <v>45743</v>
      </c>
      <c r="R438" s="2">
        <v>0.43888888888888888</v>
      </c>
      <c r="S438" s="2">
        <v>0.58125000000000004</v>
      </c>
      <c r="T438" t="str" cm="1">
        <f t="array" ref="T438">_xlfn.IFS(H438&gt;=90,"A",H438&gt;=75,"B",H438&gt;=60,"C",H438&lt;60,"D")</f>
        <v>D</v>
      </c>
      <c r="U438" t="str">
        <f t="shared" si="24"/>
        <v>10:32 AM</v>
      </c>
      <c r="V438" t="str">
        <f t="shared" si="25"/>
        <v>On Time</v>
      </c>
      <c r="W438" t="str">
        <f t="shared" si="26"/>
        <v>3 Hours 25 Minutes</v>
      </c>
      <c r="X438" t="str">
        <f t="shared" si="27"/>
        <v>Long Time Login</v>
      </c>
      <c r="AA438" s="34" t="s">
        <v>700</v>
      </c>
      <c r="AB438" s="34" t="s">
        <v>353</v>
      </c>
      <c r="AC438" s="34">
        <v>59</v>
      </c>
      <c r="AD438" s="34">
        <v>90</v>
      </c>
      <c r="AE438" s="34" t="s">
        <v>25</v>
      </c>
      <c r="AF438" s="34">
        <v>0</v>
      </c>
      <c r="AH438" s="34" t="s">
        <v>27</v>
      </c>
    </row>
    <row r="439" spans="1:34">
      <c r="A439" t="s">
        <v>701</v>
      </c>
      <c r="B439" t="s">
        <v>503</v>
      </c>
      <c r="C439">
        <v>20</v>
      </c>
      <c r="D439" t="s">
        <v>21</v>
      </c>
      <c r="E439" t="s">
        <v>36</v>
      </c>
      <c r="F439" t="s">
        <v>31</v>
      </c>
      <c r="G439" t="s">
        <v>32</v>
      </c>
      <c r="H439">
        <v>66</v>
      </c>
      <c r="I439">
        <v>95</v>
      </c>
      <c r="J439" t="s">
        <v>68</v>
      </c>
      <c r="K439">
        <v>12000</v>
      </c>
      <c r="L439">
        <v>10390</v>
      </c>
      <c r="M439">
        <v>2000</v>
      </c>
      <c r="N439" t="s">
        <v>26</v>
      </c>
      <c r="O439" t="s">
        <v>27</v>
      </c>
      <c r="P439" s="1">
        <v>45780</v>
      </c>
      <c r="Q439" s="1">
        <v>45960</v>
      </c>
      <c r="R439" s="2">
        <v>0.36944444444444446</v>
      </c>
      <c r="S439" s="2">
        <v>0.50763888888888886</v>
      </c>
      <c r="T439" t="str" cm="1">
        <f t="array" ref="T439">_xlfn.IFS(H439&gt;=90,"A",H439&gt;=75,"B",H439&gt;=60,"C",H439&lt;60,"D")</f>
        <v>C</v>
      </c>
      <c r="U439" t="str">
        <f t="shared" si="24"/>
        <v>08:52 AM</v>
      </c>
      <c r="V439" t="str">
        <f t="shared" si="25"/>
        <v>Delayed</v>
      </c>
      <c r="W439" t="str">
        <f t="shared" si="26"/>
        <v>3 Hours 19 Minutes</v>
      </c>
      <c r="X439" t="str">
        <f t="shared" si="27"/>
        <v>Short Time Login</v>
      </c>
      <c r="AA439" s="35" t="s">
        <v>701</v>
      </c>
      <c r="AB439" s="35" t="s">
        <v>503</v>
      </c>
      <c r="AC439" s="35">
        <v>66</v>
      </c>
      <c r="AD439" s="35">
        <v>95</v>
      </c>
      <c r="AE439" s="35" t="s">
        <v>68</v>
      </c>
      <c r="AF439" s="35">
        <v>2000</v>
      </c>
      <c r="AH439" s="35" t="s">
        <v>27</v>
      </c>
    </row>
    <row r="440" spans="1:34">
      <c r="A440" t="s">
        <v>702</v>
      </c>
      <c r="B440" t="s">
        <v>295</v>
      </c>
      <c r="C440">
        <v>21</v>
      </c>
      <c r="D440" t="s">
        <v>21</v>
      </c>
      <c r="E440" t="s">
        <v>122</v>
      </c>
      <c r="F440" t="s">
        <v>40</v>
      </c>
      <c r="G440" t="s">
        <v>41</v>
      </c>
      <c r="H440">
        <v>81</v>
      </c>
      <c r="I440">
        <v>63</v>
      </c>
      <c r="J440" t="s">
        <v>45</v>
      </c>
      <c r="K440">
        <v>20000</v>
      </c>
      <c r="L440">
        <v>23600</v>
      </c>
      <c r="M440">
        <v>0</v>
      </c>
      <c r="N440" t="s">
        <v>11</v>
      </c>
      <c r="O440" t="s">
        <v>127</v>
      </c>
      <c r="P440" s="1">
        <v>45753</v>
      </c>
      <c r="Q440" s="1">
        <v>45873</v>
      </c>
      <c r="R440" s="2">
        <v>0.40833333333333333</v>
      </c>
      <c r="S440" s="2">
        <v>0.58888888888888891</v>
      </c>
      <c r="T440" t="str" cm="1">
        <f t="array" ref="T440">_xlfn.IFS(H440&gt;=90,"A",H440&gt;=75,"B",H440&gt;=60,"C",H440&lt;60,"D")</f>
        <v>B</v>
      </c>
      <c r="U440" t="str">
        <f t="shared" si="24"/>
        <v>09:48 AM</v>
      </c>
      <c r="V440" t="str">
        <f t="shared" si="25"/>
        <v>Delayed</v>
      </c>
      <c r="W440" t="str">
        <f t="shared" si="26"/>
        <v>4 Hours 20 Minutes</v>
      </c>
      <c r="X440" t="str">
        <f t="shared" si="27"/>
        <v>Short Time Login</v>
      </c>
      <c r="AA440" s="34" t="s">
        <v>702</v>
      </c>
      <c r="AB440" s="34" t="s">
        <v>295</v>
      </c>
      <c r="AC440" s="34">
        <v>81</v>
      </c>
      <c r="AD440" s="34">
        <v>63</v>
      </c>
      <c r="AE440" s="34" t="s">
        <v>45</v>
      </c>
      <c r="AF440" s="34">
        <v>0</v>
      </c>
      <c r="AH440" s="34" t="s">
        <v>127</v>
      </c>
    </row>
    <row r="441" spans="1:34">
      <c r="A441" t="s">
        <v>703</v>
      </c>
      <c r="B441" t="s">
        <v>132</v>
      </c>
      <c r="C441">
        <v>18</v>
      </c>
      <c r="D441" t="s">
        <v>21</v>
      </c>
      <c r="E441" t="s">
        <v>39</v>
      </c>
      <c r="F441" t="s">
        <v>53</v>
      </c>
      <c r="G441" t="s">
        <v>54</v>
      </c>
      <c r="H441">
        <v>100</v>
      </c>
      <c r="I441">
        <v>75</v>
      </c>
      <c r="J441" t="s">
        <v>59</v>
      </c>
      <c r="K441">
        <v>12000</v>
      </c>
      <c r="L441">
        <v>10980</v>
      </c>
      <c r="M441">
        <v>2000</v>
      </c>
      <c r="N441" t="s">
        <v>26</v>
      </c>
      <c r="O441" t="s">
        <v>27</v>
      </c>
      <c r="P441" s="1">
        <v>45818</v>
      </c>
      <c r="Q441" s="1">
        <v>45938</v>
      </c>
      <c r="R441" s="2">
        <v>0.35</v>
      </c>
      <c r="S441" s="2">
        <v>0.46180555555555558</v>
      </c>
      <c r="T441" t="str" cm="1">
        <f t="array" ref="T441">_xlfn.IFS(H441&gt;=90,"A",H441&gt;=75,"B",H441&gt;=60,"C",H441&lt;60,"D")</f>
        <v>A</v>
      </c>
      <c r="U441" t="str">
        <f t="shared" si="24"/>
        <v>08:24 AM</v>
      </c>
      <c r="V441" t="str">
        <f t="shared" si="25"/>
        <v>Delayed</v>
      </c>
      <c r="W441" t="str">
        <f t="shared" si="26"/>
        <v>2 Hours 41 Minutes</v>
      </c>
      <c r="X441" t="str">
        <f t="shared" si="27"/>
        <v>Short Time Login</v>
      </c>
      <c r="AA441" s="35" t="s">
        <v>703</v>
      </c>
      <c r="AB441" s="35" t="s">
        <v>132</v>
      </c>
      <c r="AC441" s="35">
        <v>100</v>
      </c>
      <c r="AD441" s="35">
        <v>75</v>
      </c>
      <c r="AE441" s="35" t="s">
        <v>59</v>
      </c>
      <c r="AF441" s="35">
        <v>2000</v>
      </c>
      <c r="AH441" s="35" t="s">
        <v>27</v>
      </c>
    </row>
    <row r="442" spans="1:34">
      <c r="A442" t="s">
        <v>704</v>
      </c>
      <c r="B442" t="s">
        <v>238</v>
      </c>
      <c r="C442">
        <v>26</v>
      </c>
      <c r="D442" t="s">
        <v>21</v>
      </c>
      <c r="E442" t="s">
        <v>44</v>
      </c>
      <c r="F442" t="s">
        <v>88</v>
      </c>
      <c r="G442" t="s">
        <v>89</v>
      </c>
      <c r="H442">
        <v>54</v>
      </c>
      <c r="I442">
        <v>99</v>
      </c>
      <c r="J442" t="s">
        <v>25</v>
      </c>
      <c r="K442">
        <v>20000</v>
      </c>
      <c r="L442">
        <v>23600</v>
      </c>
      <c r="M442">
        <v>0</v>
      </c>
      <c r="N442" t="s">
        <v>11</v>
      </c>
      <c r="O442" t="s">
        <v>27</v>
      </c>
      <c r="P442" s="1">
        <v>45929</v>
      </c>
      <c r="Q442" s="1">
        <v>45959</v>
      </c>
      <c r="R442" s="2">
        <v>0.38680555555555557</v>
      </c>
      <c r="S442" s="2">
        <v>0.49861111111111112</v>
      </c>
      <c r="T442" t="str" cm="1">
        <f t="array" ref="T442">_xlfn.IFS(H442&gt;=90,"A",H442&gt;=75,"B",H442&gt;=60,"C",H442&lt;60,"D")</f>
        <v>D</v>
      </c>
      <c r="U442" t="str">
        <f t="shared" si="24"/>
        <v>09:17 AM</v>
      </c>
      <c r="V442" t="str">
        <f t="shared" si="25"/>
        <v>On Time</v>
      </c>
      <c r="W442" t="str">
        <f t="shared" si="26"/>
        <v>2 Hours 41 Minutes</v>
      </c>
      <c r="X442" t="str">
        <f t="shared" si="27"/>
        <v>Short Time Login</v>
      </c>
      <c r="AA442" s="34" t="s">
        <v>704</v>
      </c>
      <c r="AB442" s="34" t="s">
        <v>238</v>
      </c>
      <c r="AC442" s="34">
        <v>54</v>
      </c>
      <c r="AD442" s="34">
        <v>99</v>
      </c>
      <c r="AE442" s="34" t="s">
        <v>25</v>
      </c>
      <c r="AF442" s="34">
        <v>0</v>
      </c>
      <c r="AH442" s="34" t="s">
        <v>27</v>
      </c>
    </row>
    <row r="443" spans="1:34">
      <c r="A443" t="s">
        <v>705</v>
      </c>
      <c r="B443" t="s">
        <v>278</v>
      </c>
      <c r="C443">
        <v>23</v>
      </c>
      <c r="D443" t="s">
        <v>21</v>
      </c>
      <c r="E443" t="s">
        <v>22</v>
      </c>
      <c r="F443" t="s">
        <v>57</v>
      </c>
      <c r="G443" t="s">
        <v>58</v>
      </c>
      <c r="H443">
        <v>43</v>
      </c>
      <c r="I443">
        <v>98</v>
      </c>
      <c r="J443" t="s">
        <v>25</v>
      </c>
      <c r="K443">
        <v>12000</v>
      </c>
      <c r="L443">
        <v>12390</v>
      </c>
      <c r="M443">
        <v>0</v>
      </c>
      <c r="N443" t="s">
        <v>11</v>
      </c>
      <c r="O443" t="s">
        <v>27</v>
      </c>
      <c r="P443" s="1">
        <v>45986</v>
      </c>
      <c r="Q443" s="1">
        <v>46106</v>
      </c>
      <c r="R443" s="2">
        <v>0.36319444444444443</v>
      </c>
      <c r="S443" s="2">
        <v>0.54722222222222228</v>
      </c>
      <c r="T443" t="str" cm="1">
        <f t="array" ref="T443">_xlfn.IFS(H443&gt;=90,"A",H443&gt;=75,"B",H443&gt;=60,"C",H443&lt;60,"D")</f>
        <v>D</v>
      </c>
      <c r="U443" t="str">
        <f t="shared" si="24"/>
        <v>08:43 AM</v>
      </c>
      <c r="V443" t="str">
        <f t="shared" si="25"/>
        <v>Delayed</v>
      </c>
      <c r="W443" t="str">
        <f t="shared" si="26"/>
        <v>4 Hours 25 Minutes</v>
      </c>
      <c r="X443" t="str">
        <f t="shared" si="27"/>
        <v>Short Time Login</v>
      </c>
      <c r="AA443" s="35" t="s">
        <v>705</v>
      </c>
      <c r="AB443" s="35" t="s">
        <v>278</v>
      </c>
      <c r="AC443" s="35">
        <v>43</v>
      </c>
      <c r="AD443" s="35">
        <v>98</v>
      </c>
      <c r="AE443" s="35" t="s">
        <v>25</v>
      </c>
      <c r="AF443" s="35">
        <v>0</v>
      </c>
      <c r="AH443" s="35" t="s">
        <v>27</v>
      </c>
    </row>
    <row r="444" spans="1:34">
      <c r="A444" t="s">
        <v>706</v>
      </c>
      <c r="B444" t="s">
        <v>222</v>
      </c>
      <c r="C444">
        <v>22</v>
      </c>
      <c r="D444" t="s">
        <v>35</v>
      </c>
      <c r="E444" t="s">
        <v>44</v>
      </c>
      <c r="F444" t="s">
        <v>53</v>
      </c>
      <c r="G444" t="s">
        <v>54</v>
      </c>
      <c r="H444">
        <v>56</v>
      </c>
      <c r="I444">
        <v>91</v>
      </c>
      <c r="J444" t="s">
        <v>25</v>
      </c>
      <c r="K444">
        <v>12000</v>
      </c>
      <c r="L444">
        <v>12980</v>
      </c>
      <c r="M444">
        <v>0</v>
      </c>
      <c r="N444" t="s">
        <v>11</v>
      </c>
      <c r="O444" t="s">
        <v>27</v>
      </c>
      <c r="P444" s="1">
        <v>45991</v>
      </c>
      <c r="Q444" s="1">
        <v>46111</v>
      </c>
      <c r="R444" s="2">
        <v>0.35138888888888886</v>
      </c>
      <c r="S444" s="2">
        <v>0.53749999999999998</v>
      </c>
      <c r="T444" t="str" cm="1">
        <f t="array" ref="T444">_xlfn.IFS(H444&gt;=90,"A",H444&gt;=75,"B",H444&gt;=60,"C",H444&lt;60,"D")</f>
        <v>D</v>
      </c>
      <c r="U444" t="str">
        <f t="shared" si="24"/>
        <v>08:26 AM</v>
      </c>
      <c r="V444" t="str">
        <f t="shared" si="25"/>
        <v>Delayed</v>
      </c>
      <c r="W444" t="str">
        <f t="shared" si="26"/>
        <v>4 Hours 28 Minutes</v>
      </c>
      <c r="X444" t="str">
        <f t="shared" si="27"/>
        <v>Short Time Login</v>
      </c>
      <c r="AA444" s="34" t="s">
        <v>706</v>
      </c>
      <c r="AB444" s="34" t="s">
        <v>222</v>
      </c>
      <c r="AC444" s="34">
        <v>56</v>
      </c>
      <c r="AD444" s="34">
        <v>91</v>
      </c>
      <c r="AE444" s="34" t="s">
        <v>25</v>
      </c>
      <c r="AF444" s="34">
        <v>0</v>
      </c>
      <c r="AH444" s="34" t="s">
        <v>27</v>
      </c>
    </row>
    <row r="445" spans="1:34">
      <c r="A445" t="s">
        <v>707</v>
      </c>
      <c r="B445" t="s">
        <v>124</v>
      </c>
      <c r="C445">
        <v>25</v>
      </c>
      <c r="D445" t="s">
        <v>21</v>
      </c>
      <c r="E445" t="s">
        <v>48</v>
      </c>
      <c r="F445" t="s">
        <v>31</v>
      </c>
      <c r="G445" t="s">
        <v>32</v>
      </c>
      <c r="H445">
        <v>42</v>
      </c>
      <c r="I445">
        <v>63</v>
      </c>
      <c r="J445" t="s">
        <v>25</v>
      </c>
      <c r="K445">
        <v>10000</v>
      </c>
      <c r="L445">
        <v>9800</v>
      </c>
      <c r="M445">
        <v>2000</v>
      </c>
      <c r="N445" t="s">
        <v>26</v>
      </c>
      <c r="O445" t="s">
        <v>27</v>
      </c>
      <c r="P445" s="1">
        <v>45767</v>
      </c>
      <c r="Q445" s="1">
        <v>45827</v>
      </c>
      <c r="R445" s="2">
        <v>0.35069444444444442</v>
      </c>
      <c r="S445" s="2">
        <v>0.43472222222222223</v>
      </c>
      <c r="T445" t="str" cm="1">
        <f t="array" ref="T445">_xlfn.IFS(H445&gt;=90,"A",H445&gt;=75,"B",H445&gt;=60,"C",H445&lt;60,"D")</f>
        <v>D</v>
      </c>
      <c r="U445" t="str">
        <f t="shared" si="24"/>
        <v>08:25 AM</v>
      </c>
      <c r="V445" t="str">
        <f t="shared" si="25"/>
        <v>On Time</v>
      </c>
      <c r="W445" t="str">
        <f t="shared" si="26"/>
        <v>2 Hours 1 Minutes</v>
      </c>
      <c r="X445" t="str">
        <f t="shared" si="27"/>
        <v>Short Time Login</v>
      </c>
      <c r="AA445" s="35" t="s">
        <v>707</v>
      </c>
      <c r="AB445" s="35" t="s">
        <v>124</v>
      </c>
      <c r="AC445" s="35">
        <v>42</v>
      </c>
      <c r="AD445" s="35">
        <v>63</v>
      </c>
      <c r="AE445" s="35" t="s">
        <v>25</v>
      </c>
      <c r="AF445" s="35">
        <v>2000</v>
      </c>
      <c r="AH445" s="35" t="s">
        <v>27</v>
      </c>
    </row>
    <row r="446" spans="1:34">
      <c r="A446" t="s">
        <v>708</v>
      </c>
      <c r="B446" t="s">
        <v>376</v>
      </c>
      <c r="C446">
        <v>21</v>
      </c>
      <c r="D446" t="s">
        <v>21</v>
      </c>
      <c r="E446" t="s">
        <v>122</v>
      </c>
      <c r="F446" t="s">
        <v>53</v>
      </c>
      <c r="G446" t="s">
        <v>54</v>
      </c>
      <c r="H446">
        <v>100</v>
      </c>
      <c r="I446">
        <v>99</v>
      </c>
      <c r="J446" t="s">
        <v>59</v>
      </c>
      <c r="K446">
        <v>10000</v>
      </c>
      <c r="L446">
        <v>11800</v>
      </c>
      <c r="M446">
        <v>0</v>
      </c>
      <c r="N446" t="s">
        <v>11</v>
      </c>
      <c r="O446" t="s">
        <v>27</v>
      </c>
      <c r="P446" s="1">
        <v>45736</v>
      </c>
      <c r="Q446" s="1">
        <v>45766</v>
      </c>
      <c r="R446" s="2">
        <v>0.37986111111111109</v>
      </c>
      <c r="S446" s="2">
        <v>0.47430555555555554</v>
      </c>
      <c r="T446" t="str" cm="1">
        <f t="array" ref="T446">_xlfn.IFS(H446&gt;=90,"A",H446&gt;=75,"B",H446&gt;=60,"C",H446&lt;60,"D")</f>
        <v>A</v>
      </c>
      <c r="U446" t="str">
        <f t="shared" si="24"/>
        <v>09:07 AM</v>
      </c>
      <c r="V446" t="str">
        <f t="shared" si="25"/>
        <v>On Time</v>
      </c>
      <c r="W446" t="str">
        <f t="shared" si="26"/>
        <v>2 Hours 16 Minutes</v>
      </c>
      <c r="X446" t="str">
        <f t="shared" si="27"/>
        <v>Short Time Login</v>
      </c>
      <c r="AA446" s="34" t="s">
        <v>708</v>
      </c>
      <c r="AB446" s="34" t="s">
        <v>376</v>
      </c>
      <c r="AC446" s="34">
        <v>100</v>
      </c>
      <c r="AD446" s="34">
        <v>99</v>
      </c>
      <c r="AE446" s="34" t="s">
        <v>59</v>
      </c>
      <c r="AF446" s="34">
        <v>0</v>
      </c>
      <c r="AH446" s="34" t="s">
        <v>27</v>
      </c>
    </row>
    <row r="447" spans="1:34">
      <c r="A447" t="s">
        <v>709</v>
      </c>
      <c r="B447" t="s">
        <v>228</v>
      </c>
      <c r="C447">
        <v>28</v>
      </c>
      <c r="D447" t="s">
        <v>35</v>
      </c>
      <c r="E447" t="s">
        <v>44</v>
      </c>
      <c r="F447" t="s">
        <v>31</v>
      </c>
      <c r="G447" t="s">
        <v>32</v>
      </c>
      <c r="H447">
        <v>71</v>
      </c>
      <c r="I447">
        <v>60</v>
      </c>
      <c r="J447" t="s">
        <v>68</v>
      </c>
      <c r="K447">
        <v>15000</v>
      </c>
      <c r="L447">
        <v>13930</v>
      </c>
      <c r="M447">
        <v>2000</v>
      </c>
      <c r="N447" t="s">
        <v>26</v>
      </c>
      <c r="O447" t="s">
        <v>127</v>
      </c>
      <c r="P447" s="1">
        <v>45787</v>
      </c>
      <c r="Q447" s="1">
        <v>45907</v>
      </c>
      <c r="R447" s="2">
        <v>0.3923611111111111</v>
      </c>
      <c r="S447" s="2">
        <v>0.5083333333333333</v>
      </c>
      <c r="T447" t="str" cm="1">
        <f t="array" ref="T447">_xlfn.IFS(H447&gt;=90,"A",H447&gt;=75,"B",H447&gt;=60,"C",H447&lt;60,"D")</f>
        <v>C</v>
      </c>
      <c r="U447" t="str">
        <f t="shared" si="24"/>
        <v>09:25 AM</v>
      </c>
      <c r="V447" t="str">
        <f t="shared" si="25"/>
        <v>Delayed</v>
      </c>
      <c r="W447" t="str">
        <f t="shared" si="26"/>
        <v>2 Hours 47 Minutes</v>
      </c>
      <c r="X447" t="str">
        <f t="shared" si="27"/>
        <v>Short Time Login</v>
      </c>
      <c r="AA447" s="35" t="s">
        <v>709</v>
      </c>
      <c r="AB447" s="35" t="s">
        <v>228</v>
      </c>
      <c r="AC447" s="35">
        <v>71</v>
      </c>
      <c r="AD447" s="35">
        <v>60</v>
      </c>
      <c r="AE447" s="35" t="s">
        <v>68</v>
      </c>
      <c r="AF447" s="35">
        <v>2000</v>
      </c>
      <c r="AH447" s="35" t="s">
        <v>127</v>
      </c>
    </row>
    <row r="448" spans="1:34">
      <c r="A448" t="s">
        <v>710</v>
      </c>
      <c r="B448" t="s">
        <v>586</v>
      </c>
      <c r="C448">
        <v>26</v>
      </c>
      <c r="D448" t="s">
        <v>21</v>
      </c>
      <c r="E448" t="s">
        <v>96</v>
      </c>
      <c r="F448" t="s">
        <v>49</v>
      </c>
      <c r="G448" t="s">
        <v>50</v>
      </c>
      <c r="H448">
        <v>85</v>
      </c>
      <c r="I448">
        <v>85</v>
      </c>
      <c r="J448" t="s">
        <v>45</v>
      </c>
      <c r="K448">
        <v>20000</v>
      </c>
      <c r="L448">
        <v>20420</v>
      </c>
      <c r="M448">
        <v>2000</v>
      </c>
      <c r="N448" t="s">
        <v>26</v>
      </c>
      <c r="O448" t="s">
        <v>27</v>
      </c>
      <c r="P448" s="1">
        <v>45769</v>
      </c>
      <c r="Q448" s="1">
        <v>45859</v>
      </c>
      <c r="R448" s="2">
        <v>0.44166666666666665</v>
      </c>
      <c r="S448" s="2">
        <v>0.64444444444444449</v>
      </c>
      <c r="T448" t="str" cm="1">
        <f t="array" ref="T448">_xlfn.IFS(H448&gt;=90,"A",H448&gt;=75,"B",H448&gt;=60,"C",H448&lt;60,"D")</f>
        <v>B</v>
      </c>
      <c r="U448" t="str">
        <f t="shared" si="24"/>
        <v>10:36 AM</v>
      </c>
      <c r="V448" t="str">
        <f t="shared" si="25"/>
        <v>On Time</v>
      </c>
      <c r="W448" t="str">
        <f t="shared" si="26"/>
        <v>4 Hours 52 Minutes</v>
      </c>
      <c r="X448" t="str">
        <f t="shared" si="27"/>
        <v>Long Time Login</v>
      </c>
      <c r="AA448" s="34" t="s">
        <v>710</v>
      </c>
      <c r="AB448" s="34" t="s">
        <v>586</v>
      </c>
      <c r="AC448" s="34">
        <v>85</v>
      </c>
      <c r="AD448" s="34">
        <v>85</v>
      </c>
      <c r="AE448" s="34" t="s">
        <v>45</v>
      </c>
      <c r="AF448" s="34">
        <v>2000</v>
      </c>
      <c r="AH448" s="34" t="s">
        <v>27</v>
      </c>
    </row>
    <row r="449" spans="1:34">
      <c r="A449" t="s">
        <v>711</v>
      </c>
      <c r="B449" t="s">
        <v>162</v>
      </c>
      <c r="C449">
        <v>28</v>
      </c>
      <c r="D449" t="s">
        <v>35</v>
      </c>
      <c r="E449" t="s">
        <v>62</v>
      </c>
      <c r="F449" t="s">
        <v>57</v>
      </c>
      <c r="G449" t="s">
        <v>58</v>
      </c>
      <c r="H449">
        <v>82</v>
      </c>
      <c r="I449">
        <v>85</v>
      </c>
      <c r="J449" t="s">
        <v>45</v>
      </c>
      <c r="K449">
        <v>18000</v>
      </c>
      <c r="L449">
        <v>21240</v>
      </c>
      <c r="M449">
        <v>0</v>
      </c>
      <c r="N449" t="s">
        <v>11</v>
      </c>
      <c r="O449" t="s">
        <v>27</v>
      </c>
      <c r="P449" s="1">
        <v>45777</v>
      </c>
      <c r="Q449" s="1">
        <v>45837</v>
      </c>
      <c r="R449" s="2">
        <v>0.35416666666666669</v>
      </c>
      <c r="S449" s="2">
        <v>0.39861111111111114</v>
      </c>
      <c r="T449" t="str" cm="1">
        <f t="array" ref="T449">_xlfn.IFS(H449&gt;=90,"A",H449&gt;=75,"B",H449&gt;=60,"C",H449&lt;60,"D")</f>
        <v>B</v>
      </c>
      <c r="U449" t="str">
        <f t="shared" si="24"/>
        <v>08:30 AM</v>
      </c>
      <c r="V449" t="str">
        <f t="shared" si="25"/>
        <v>On Time</v>
      </c>
      <c r="W449" t="str">
        <f t="shared" si="26"/>
        <v>1 Hours 4 Minutes</v>
      </c>
      <c r="X449" t="str">
        <f t="shared" si="27"/>
        <v>Short Time Login</v>
      </c>
      <c r="AA449" s="35" t="s">
        <v>711</v>
      </c>
      <c r="AB449" s="35" t="s">
        <v>162</v>
      </c>
      <c r="AC449" s="35">
        <v>82</v>
      </c>
      <c r="AD449" s="35">
        <v>85</v>
      </c>
      <c r="AE449" s="35" t="s">
        <v>45</v>
      </c>
      <c r="AF449" s="35">
        <v>0</v>
      </c>
      <c r="AH449" s="35" t="s">
        <v>27</v>
      </c>
    </row>
    <row r="450" spans="1:34">
      <c r="A450" t="s">
        <v>712</v>
      </c>
      <c r="B450" t="s">
        <v>675</v>
      </c>
      <c r="C450">
        <v>25</v>
      </c>
      <c r="D450" t="s">
        <v>21</v>
      </c>
      <c r="E450" t="s">
        <v>30</v>
      </c>
      <c r="F450" t="s">
        <v>57</v>
      </c>
      <c r="G450" t="s">
        <v>58</v>
      </c>
      <c r="H450">
        <v>77</v>
      </c>
      <c r="I450">
        <v>67</v>
      </c>
      <c r="J450" t="s">
        <v>45</v>
      </c>
      <c r="K450">
        <v>18000</v>
      </c>
      <c r="L450">
        <v>17470</v>
      </c>
      <c r="M450">
        <v>2000</v>
      </c>
      <c r="N450" t="s">
        <v>26</v>
      </c>
      <c r="O450" t="s">
        <v>27</v>
      </c>
      <c r="P450" s="1">
        <v>45666</v>
      </c>
      <c r="Q450" s="1">
        <v>45726</v>
      </c>
      <c r="R450" s="2">
        <v>0.4236111111111111</v>
      </c>
      <c r="S450" s="2">
        <v>0.53611111111111109</v>
      </c>
      <c r="T450" t="str" cm="1">
        <f t="array" ref="T450">_xlfn.IFS(H450&gt;=90,"A",H450&gt;=75,"B",H450&gt;=60,"C",H450&lt;60,"D")</f>
        <v>B</v>
      </c>
      <c r="U450" t="str">
        <f t="shared" ref="U450:U513" si="28">TEXT(R450,"hh:mm AM/PM")</f>
        <v>10:10 AM</v>
      </c>
      <c r="V450" t="str">
        <f t="shared" ref="V450:V513" si="29">IF(_xlfn.DAYS(Q450,P450)&lt;=90,"On Time","Delayed")</f>
        <v>On Time</v>
      </c>
      <c r="W450" t="str">
        <f t="shared" ref="W450:W513" si="30">HOUR(S450-R450)&amp;" Hours "&amp;MINUTE(S450-R450)&amp;" Minutes"</f>
        <v>2 Hours 42 Minutes</v>
      </c>
      <c r="X450" t="str">
        <f t="shared" ref="X450:X513" si="31">IF(R450&gt;TIME(10,0,0),"Long Time Login","Short Time Login")</f>
        <v>Long Time Login</v>
      </c>
      <c r="AA450" s="34" t="s">
        <v>712</v>
      </c>
      <c r="AB450" s="34" t="s">
        <v>675</v>
      </c>
      <c r="AC450" s="34">
        <v>77</v>
      </c>
      <c r="AD450" s="34">
        <v>67</v>
      </c>
      <c r="AE450" s="34" t="s">
        <v>45</v>
      </c>
      <c r="AF450" s="34">
        <v>2000</v>
      </c>
      <c r="AH450" s="34" t="s">
        <v>27</v>
      </c>
    </row>
    <row r="451" spans="1:34">
      <c r="A451" t="s">
        <v>713</v>
      </c>
      <c r="B451" t="s">
        <v>87</v>
      </c>
      <c r="C451">
        <v>19</v>
      </c>
      <c r="D451" t="s">
        <v>21</v>
      </c>
      <c r="E451" t="s">
        <v>62</v>
      </c>
      <c r="F451" t="s">
        <v>40</v>
      </c>
      <c r="G451" t="s">
        <v>41</v>
      </c>
      <c r="H451">
        <v>68</v>
      </c>
      <c r="I451">
        <v>61</v>
      </c>
      <c r="J451" t="s">
        <v>68</v>
      </c>
      <c r="K451">
        <v>20000</v>
      </c>
      <c r="L451">
        <v>19600</v>
      </c>
      <c r="M451">
        <v>4000</v>
      </c>
      <c r="N451" t="s">
        <v>26</v>
      </c>
      <c r="O451" t="s">
        <v>27</v>
      </c>
      <c r="P451" s="1">
        <v>45833</v>
      </c>
      <c r="Q451" s="1">
        <v>46013</v>
      </c>
      <c r="R451" s="2">
        <v>0.38750000000000001</v>
      </c>
      <c r="S451" s="2">
        <v>0.43402777777777779</v>
      </c>
      <c r="T451" t="str" cm="1">
        <f t="array" ref="T451">_xlfn.IFS(H451&gt;=90,"A",H451&gt;=75,"B",H451&gt;=60,"C",H451&lt;60,"D")</f>
        <v>C</v>
      </c>
      <c r="U451" t="str">
        <f t="shared" si="28"/>
        <v>09:18 AM</v>
      </c>
      <c r="V451" t="str">
        <f t="shared" si="29"/>
        <v>Delayed</v>
      </c>
      <c r="W451" t="str">
        <f t="shared" si="30"/>
        <v>1 Hours 7 Minutes</v>
      </c>
      <c r="X451" t="str">
        <f t="shared" si="31"/>
        <v>Short Time Login</v>
      </c>
      <c r="AA451" s="35" t="s">
        <v>713</v>
      </c>
      <c r="AB451" s="35" t="s">
        <v>87</v>
      </c>
      <c r="AC451" s="35">
        <v>68</v>
      </c>
      <c r="AD451" s="35">
        <v>61</v>
      </c>
      <c r="AE451" s="35" t="s">
        <v>68</v>
      </c>
      <c r="AF451" s="35">
        <v>4000</v>
      </c>
      <c r="AH451" s="35" t="s">
        <v>27</v>
      </c>
    </row>
    <row r="452" spans="1:34">
      <c r="A452" t="s">
        <v>714</v>
      </c>
      <c r="B452" t="s">
        <v>307</v>
      </c>
      <c r="C452">
        <v>21</v>
      </c>
      <c r="D452" t="s">
        <v>21</v>
      </c>
      <c r="E452" t="s">
        <v>113</v>
      </c>
      <c r="F452" t="s">
        <v>57</v>
      </c>
      <c r="G452" t="s">
        <v>58</v>
      </c>
      <c r="H452">
        <v>46</v>
      </c>
      <c r="I452">
        <v>93</v>
      </c>
      <c r="J452" t="s">
        <v>25</v>
      </c>
      <c r="K452">
        <v>10000</v>
      </c>
      <c r="L452">
        <v>8030</v>
      </c>
      <c r="M452">
        <v>2000</v>
      </c>
      <c r="N452" t="s">
        <v>26</v>
      </c>
      <c r="O452" t="s">
        <v>27</v>
      </c>
      <c r="P452" s="1">
        <v>45679</v>
      </c>
      <c r="Q452" s="1">
        <v>45859</v>
      </c>
      <c r="R452" s="2">
        <v>0.34722222222222221</v>
      </c>
      <c r="S452" s="2">
        <v>0.43125000000000002</v>
      </c>
      <c r="T452" t="str" cm="1">
        <f t="array" ref="T452">_xlfn.IFS(H452&gt;=90,"A",H452&gt;=75,"B",H452&gt;=60,"C",H452&lt;60,"D")</f>
        <v>D</v>
      </c>
      <c r="U452" t="str">
        <f t="shared" si="28"/>
        <v>08:20 AM</v>
      </c>
      <c r="V452" t="str">
        <f t="shared" si="29"/>
        <v>Delayed</v>
      </c>
      <c r="W452" t="str">
        <f t="shared" si="30"/>
        <v>2 Hours 1 Minutes</v>
      </c>
      <c r="X452" t="str">
        <f t="shared" si="31"/>
        <v>Short Time Login</v>
      </c>
      <c r="AA452" s="34" t="s">
        <v>714</v>
      </c>
      <c r="AB452" s="34" t="s">
        <v>307</v>
      </c>
      <c r="AC452" s="34">
        <v>46</v>
      </c>
      <c r="AD452" s="34">
        <v>93</v>
      </c>
      <c r="AE452" s="34" t="s">
        <v>25</v>
      </c>
      <c r="AF452" s="34">
        <v>2000</v>
      </c>
      <c r="AH452" s="34" t="s">
        <v>27</v>
      </c>
    </row>
    <row r="453" spans="1:34">
      <c r="A453" t="s">
        <v>715</v>
      </c>
      <c r="B453" t="s">
        <v>716</v>
      </c>
      <c r="C453">
        <v>19</v>
      </c>
      <c r="D453" t="s">
        <v>35</v>
      </c>
      <c r="E453" t="s">
        <v>30</v>
      </c>
      <c r="F453" t="s">
        <v>23</v>
      </c>
      <c r="G453" t="s">
        <v>24</v>
      </c>
      <c r="H453">
        <v>68</v>
      </c>
      <c r="I453">
        <v>75</v>
      </c>
      <c r="J453" t="s">
        <v>68</v>
      </c>
      <c r="K453">
        <v>20000</v>
      </c>
      <c r="L453">
        <v>19010</v>
      </c>
      <c r="M453">
        <v>4000</v>
      </c>
      <c r="N453" t="s">
        <v>26</v>
      </c>
      <c r="O453" t="s">
        <v>27</v>
      </c>
      <c r="P453" s="1">
        <v>45735</v>
      </c>
      <c r="Q453" s="1">
        <v>45795</v>
      </c>
      <c r="R453" s="2">
        <v>0.38333333333333336</v>
      </c>
      <c r="S453" s="2">
        <v>0.43263888888888891</v>
      </c>
      <c r="T453" t="str" cm="1">
        <f t="array" ref="T453">_xlfn.IFS(H453&gt;=90,"A",H453&gt;=75,"B",H453&gt;=60,"C",H453&lt;60,"D")</f>
        <v>C</v>
      </c>
      <c r="U453" t="str">
        <f t="shared" si="28"/>
        <v>09:12 AM</v>
      </c>
      <c r="V453" t="str">
        <f t="shared" si="29"/>
        <v>On Time</v>
      </c>
      <c r="W453" t="str">
        <f t="shared" si="30"/>
        <v>1 Hours 11 Minutes</v>
      </c>
      <c r="X453" t="str">
        <f t="shared" si="31"/>
        <v>Short Time Login</v>
      </c>
      <c r="AA453" s="35" t="s">
        <v>715</v>
      </c>
      <c r="AB453" s="35" t="s">
        <v>716</v>
      </c>
      <c r="AC453" s="35">
        <v>68</v>
      </c>
      <c r="AD453" s="35">
        <v>75</v>
      </c>
      <c r="AE453" s="35" t="s">
        <v>68</v>
      </c>
      <c r="AF453" s="35">
        <v>4000</v>
      </c>
      <c r="AH453" s="35" t="s">
        <v>27</v>
      </c>
    </row>
    <row r="454" spans="1:34">
      <c r="A454" t="s">
        <v>717</v>
      </c>
      <c r="B454" t="s">
        <v>256</v>
      </c>
      <c r="C454">
        <v>18</v>
      </c>
      <c r="D454" t="s">
        <v>21</v>
      </c>
      <c r="E454" t="s">
        <v>96</v>
      </c>
      <c r="F454" t="s">
        <v>31</v>
      </c>
      <c r="G454" t="s">
        <v>32</v>
      </c>
      <c r="H454">
        <v>47</v>
      </c>
      <c r="I454">
        <v>95</v>
      </c>
      <c r="J454" t="s">
        <v>25</v>
      </c>
      <c r="K454">
        <v>12000</v>
      </c>
      <c r="L454">
        <v>8980</v>
      </c>
      <c r="M454">
        <v>4000</v>
      </c>
      <c r="N454" t="s">
        <v>26</v>
      </c>
      <c r="O454" t="s">
        <v>27</v>
      </c>
      <c r="P454" s="1">
        <v>45845</v>
      </c>
      <c r="Q454" s="1">
        <v>45875</v>
      </c>
      <c r="R454" s="2">
        <v>0.4513888888888889</v>
      </c>
      <c r="S454" s="2">
        <v>0.52083333333333337</v>
      </c>
      <c r="T454" t="str" cm="1">
        <f t="array" ref="T454">_xlfn.IFS(H454&gt;=90,"A",H454&gt;=75,"B",H454&gt;=60,"C",H454&lt;60,"D")</f>
        <v>D</v>
      </c>
      <c r="U454" t="str">
        <f t="shared" si="28"/>
        <v>10:50 AM</v>
      </c>
      <c r="V454" t="str">
        <f t="shared" si="29"/>
        <v>On Time</v>
      </c>
      <c r="W454" t="str">
        <f t="shared" si="30"/>
        <v>1 Hours 40 Minutes</v>
      </c>
      <c r="X454" t="str">
        <f t="shared" si="31"/>
        <v>Long Time Login</v>
      </c>
      <c r="AA454" s="34" t="s">
        <v>717</v>
      </c>
      <c r="AB454" s="34" t="s">
        <v>256</v>
      </c>
      <c r="AC454" s="34">
        <v>47</v>
      </c>
      <c r="AD454" s="34">
        <v>95</v>
      </c>
      <c r="AE454" s="34" t="s">
        <v>25</v>
      </c>
      <c r="AF454" s="34">
        <v>4000</v>
      </c>
      <c r="AH454" s="34" t="s">
        <v>27</v>
      </c>
    </row>
    <row r="455" spans="1:34">
      <c r="A455" t="s">
        <v>718</v>
      </c>
      <c r="B455" t="s">
        <v>158</v>
      </c>
      <c r="C455">
        <v>23</v>
      </c>
      <c r="D455" t="s">
        <v>21</v>
      </c>
      <c r="E455" t="s">
        <v>96</v>
      </c>
      <c r="F455" t="s">
        <v>23</v>
      </c>
      <c r="G455" t="s">
        <v>24</v>
      </c>
      <c r="H455">
        <v>91</v>
      </c>
      <c r="I455">
        <v>63</v>
      </c>
      <c r="J455" t="s">
        <v>59</v>
      </c>
      <c r="K455">
        <v>10000</v>
      </c>
      <c r="L455">
        <v>9800</v>
      </c>
      <c r="M455">
        <v>2000</v>
      </c>
      <c r="N455" t="s">
        <v>26</v>
      </c>
      <c r="O455" t="s">
        <v>27</v>
      </c>
      <c r="P455" s="1">
        <v>45998</v>
      </c>
      <c r="Q455" s="1">
        <v>46088</v>
      </c>
      <c r="R455" s="2">
        <v>0.35694444444444445</v>
      </c>
      <c r="S455" s="2">
        <v>0.47569444444444442</v>
      </c>
      <c r="T455" t="str" cm="1">
        <f t="array" ref="T455">_xlfn.IFS(H455&gt;=90,"A",H455&gt;=75,"B",H455&gt;=60,"C",H455&lt;60,"D")</f>
        <v>A</v>
      </c>
      <c r="U455" t="str">
        <f t="shared" si="28"/>
        <v>08:34 AM</v>
      </c>
      <c r="V455" t="str">
        <f t="shared" si="29"/>
        <v>On Time</v>
      </c>
      <c r="W455" t="str">
        <f t="shared" si="30"/>
        <v>2 Hours 51 Minutes</v>
      </c>
      <c r="X455" t="str">
        <f t="shared" si="31"/>
        <v>Short Time Login</v>
      </c>
      <c r="AA455" s="35" t="s">
        <v>718</v>
      </c>
      <c r="AB455" s="35" t="s">
        <v>158</v>
      </c>
      <c r="AC455" s="35">
        <v>91</v>
      </c>
      <c r="AD455" s="35">
        <v>63</v>
      </c>
      <c r="AE455" s="35" t="s">
        <v>59</v>
      </c>
      <c r="AF455" s="35">
        <v>2000</v>
      </c>
      <c r="AH455" s="35" t="s">
        <v>27</v>
      </c>
    </row>
    <row r="456" spans="1:34">
      <c r="A456" t="s">
        <v>719</v>
      </c>
      <c r="B456" t="s">
        <v>720</v>
      </c>
      <c r="C456">
        <v>27</v>
      </c>
      <c r="D456" t="s">
        <v>21</v>
      </c>
      <c r="E456" t="s">
        <v>122</v>
      </c>
      <c r="F456" t="s">
        <v>31</v>
      </c>
      <c r="G456" t="s">
        <v>32</v>
      </c>
      <c r="H456">
        <v>65</v>
      </c>
      <c r="I456">
        <v>72</v>
      </c>
      <c r="J456" t="s">
        <v>68</v>
      </c>
      <c r="K456">
        <v>18000</v>
      </c>
      <c r="L456">
        <v>19240</v>
      </c>
      <c r="M456">
        <v>2000</v>
      </c>
      <c r="N456" t="s">
        <v>26</v>
      </c>
      <c r="O456" t="s">
        <v>27</v>
      </c>
      <c r="P456" s="1">
        <v>45678</v>
      </c>
      <c r="Q456" s="1">
        <v>45858</v>
      </c>
      <c r="R456" s="2">
        <v>0.44930555555555557</v>
      </c>
      <c r="S456" s="2">
        <v>0.59722222222222221</v>
      </c>
      <c r="T456" t="str" cm="1">
        <f t="array" ref="T456">_xlfn.IFS(H456&gt;=90,"A",H456&gt;=75,"B",H456&gt;=60,"C",H456&lt;60,"D")</f>
        <v>C</v>
      </c>
      <c r="U456" t="str">
        <f t="shared" si="28"/>
        <v>10:47 AM</v>
      </c>
      <c r="V456" t="str">
        <f t="shared" si="29"/>
        <v>Delayed</v>
      </c>
      <c r="W456" t="str">
        <f t="shared" si="30"/>
        <v>3 Hours 33 Minutes</v>
      </c>
      <c r="X456" t="str">
        <f t="shared" si="31"/>
        <v>Long Time Login</v>
      </c>
      <c r="AA456" s="34" t="s">
        <v>719</v>
      </c>
      <c r="AB456" s="34" t="s">
        <v>720</v>
      </c>
      <c r="AC456" s="34">
        <v>65</v>
      </c>
      <c r="AD456" s="34">
        <v>72</v>
      </c>
      <c r="AE456" s="34" t="s">
        <v>68</v>
      </c>
      <c r="AF456" s="34">
        <v>2000</v>
      </c>
      <c r="AH456" s="34" t="s">
        <v>27</v>
      </c>
    </row>
    <row r="457" spans="1:34">
      <c r="A457" t="s">
        <v>721</v>
      </c>
      <c r="B457" t="s">
        <v>266</v>
      </c>
      <c r="C457">
        <v>18</v>
      </c>
      <c r="D457" t="s">
        <v>35</v>
      </c>
      <c r="E457" t="s">
        <v>96</v>
      </c>
      <c r="F457" t="s">
        <v>23</v>
      </c>
      <c r="G457" t="s">
        <v>24</v>
      </c>
      <c r="H457">
        <v>100</v>
      </c>
      <c r="I457">
        <v>97</v>
      </c>
      <c r="J457" t="s">
        <v>59</v>
      </c>
      <c r="K457">
        <v>10000</v>
      </c>
      <c r="L457">
        <v>6620</v>
      </c>
      <c r="M457">
        <v>4000</v>
      </c>
      <c r="N457" t="s">
        <v>26</v>
      </c>
      <c r="O457" t="s">
        <v>27</v>
      </c>
      <c r="P457" s="1">
        <v>45729</v>
      </c>
      <c r="Q457" s="1">
        <v>45759</v>
      </c>
      <c r="R457" s="2">
        <v>0.40694444444444444</v>
      </c>
      <c r="S457" s="2">
        <v>0.61111111111111116</v>
      </c>
      <c r="T457" t="str" cm="1">
        <f t="array" ref="T457">_xlfn.IFS(H457&gt;=90,"A",H457&gt;=75,"B",H457&gt;=60,"C",H457&lt;60,"D")</f>
        <v>A</v>
      </c>
      <c r="U457" t="str">
        <f t="shared" si="28"/>
        <v>09:46 AM</v>
      </c>
      <c r="V457" t="str">
        <f t="shared" si="29"/>
        <v>On Time</v>
      </c>
      <c r="W457" t="str">
        <f t="shared" si="30"/>
        <v>4 Hours 54 Minutes</v>
      </c>
      <c r="X457" t="str">
        <f t="shared" si="31"/>
        <v>Short Time Login</v>
      </c>
      <c r="AA457" s="35" t="s">
        <v>721</v>
      </c>
      <c r="AB457" s="35" t="s">
        <v>266</v>
      </c>
      <c r="AC457" s="35">
        <v>100</v>
      </c>
      <c r="AD457" s="35">
        <v>97</v>
      </c>
      <c r="AE457" s="35" t="s">
        <v>59</v>
      </c>
      <c r="AF457" s="35">
        <v>4000</v>
      </c>
      <c r="AH457" s="35" t="s">
        <v>27</v>
      </c>
    </row>
    <row r="458" spans="1:34">
      <c r="A458" t="s">
        <v>722</v>
      </c>
      <c r="B458" t="s">
        <v>481</v>
      </c>
      <c r="C458">
        <v>24</v>
      </c>
      <c r="D458" t="s">
        <v>35</v>
      </c>
      <c r="E458" t="s">
        <v>113</v>
      </c>
      <c r="F458" t="s">
        <v>23</v>
      </c>
      <c r="G458" t="s">
        <v>24</v>
      </c>
      <c r="H458">
        <v>38</v>
      </c>
      <c r="I458">
        <v>94</v>
      </c>
      <c r="J458" t="s">
        <v>25</v>
      </c>
      <c r="K458">
        <v>12000</v>
      </c>
      <c r="L458">
        <v>12160</v>
      </c>
      <c r="M458">
        <v>2000</v>
      </c>
      <c r="N458" t="s">
        <v>26</v>
      </c>
      <c r="O458" t="s">
        <v>27</v>
      </c>
      <c r="P458" s="1">
        <v>45815</v>
      </c>
      <c r="Q458" s="1">
        <v>45935</v>
      </c>
      <c r="R458" s="2">
        <v>0.43680555555555556</v>
      </c>
      <c r="S458" s="2">
        <v>0.50555555555555554</v>
      </c>
      <c r="T458" t="str" cm="1">
        <f t="array" ref="T458">_xlfn.IFS(H458&gt;=90,"A",H458&gt;=75,"B",H458&gt;=60,"C",H458&lt;60,"D")</f>
        <v>D</v>
      </c>
      <c r="U458" t="str">
        <f t="shared" si="28"/>
        <v>10:29 AM</v>
      </c>
      <c r="V458" t="str">
        <f t="shared" si="29"/>
        <v>Delayed</v>
      </c>
      <c r="W458" t="str">
        <f t="shared" si="30"/>
        <v>1 Hours 39 Minutes</v>
      </c>
      <c r="X458" t="str">
        <f t="shared" si="31"/>
        <v>Long Time Login</v>
      </c>
      <c r="AA458" s="34" t="s">
        <v>722</v>
      </c>
      <c r="AB458" s="34" t="s">
        <v>481</v>
      </c>
      <c r="AC458" s="34">
        <v>38</v>
      </c>
      <c r="AD458" s="34">
        <v>94</v>
      </c>
      <c r="AE458" s="34" t="s">
        <v>25</v>
      </c>
      <c r="AF458" s="34">
        <v>2000</v>
      </c>
      <c r="AH458" s="34" t="s">
        <v>27</v>
      </c>
    </row>
    <row r="459" spans="1:34">
      <c r="A459" t="s">
        <v>723</v>
      </c>
      <c r="B459" t="s">
        <v>518</v>
      </c>
      <c r="C459">
        <v>26</v>
      </c>
      <c r="D459" t="s">
        <v>21</v>
      </c>
      <c r="E459" t="s">
        <v>22</v>
      </c>
      <c r="F459" t="s">
        <v>40</v>
      </c>
      <c r="G459" t="s">
        <v>41</v>
      </c>
      <c r="H459">
        <v>64</v>
      </c>
      <c r="I459">
        <v>74</v>
      </c>
      <c r="J459" t="s">
        <v>68</v>
      </c>
      <c r="K459">
        <v>18000</v>
      </c>
      <c r="L459">
        <v>19240</v>
      </c>
      <c r="M459">
        <v>2000</v>
      </c>
      <c r="N459" t="s">
        <v>26</v>
      </c>
      <c r="O459" t="s">
        <v>27</v>
      </c>
      <c r="P459" s="1">
        <v>45876</v>
      </c>
      <c r="Q459" s="1">
        <v>45936</v>
      </c>
      <c r="R459" s="2">
        <v>0.41111111111111109</v>
      </c>
      <c r="S459" s="2">
        <v>0.48680555555555555</v>
      </c>
      <c r="T459" t="str" cm="1">
        <f t="array" ref="T459">_xlfn.IFS(H459&gt;=90,"A",H459&gt;=75,"B",H459&gt;=60,"C",H459&lt;60,"D")</f>
        <v>C</v>
      </c>
      <c r="U459" t="str">
        <f t="shared" si="28"/>
        <v>09:52 AM</v>
      </c>
      <c r="V459" t="str">
        <f t="shared" si="29"/>
        <v>On Time</v>
      </c>
      <c r="W459" t="str">
        <f t="shared" si="30"/>
        <v>1 Hours 49 Minutes</v>
      </c>
      <c r="X459" t="str">
        <f t="shared" si="31"/>
        <v>Short Time Login</v>
      </c>
      <c r="AA459" s="35" t="s">
        <v>723</v>
      </c>
      <c r="AB459" s="35" t="s">
        <v>518</v>
      </c>
      <c r="AC459" s="35">
        <v>64</v>
      </c>
      <c r="AD459" s="35">
        <v>74</v>
      </c>
      <c r="AE459" s="35" t="s">
        <v>68</v>
      </c>
      <c r="AF459" s="35">
        <v>2000</v>
      </c>
      <c r="AH459" s="35" t="s">
        <v>27</v>
      </c>
    </row>
    <row r="460" spans="1:34">
      <c r="A460" t="s">
        <v>724</v>
      </c>
      <c r="B460" t="s">
        <v>119</v>
      </c>
      <c r="C460">
        <v>25</v>
      </c>
      <c r="D460" t="s">
        <v>21</v>
      </c>
      <c r="E460" t="s">
        <v>62</v>
      </c>
      <c r="F460" t="s">
        <v>57</v>
      </c>
      <c r="G460" t="s">
        <v>58</v>
      </c>
      <c r="H460">
        <v>47</v>
      </c>
      <c r="I460">
        <v>79</v>
      </c>
      <c r="J460" t="s">
        <v>25</v>
      </c>
      <c r="K460">
        <v>15000</v>
      </c>
      <c r="L460">
        <v>16520</v>
      </c>
      <c r="M460">
        <v>0</v>
      </c>
      <c r="N460" t="s">
        <v>11</v>
      </c>
      <c r="O460" t="s">
        <v>27</v>
      </c>
      <c r="P460" s="1">
        <v>45827</v>
      </c>
      <c r="Q460" s="1">
        <v>45947</v>
      </c>
      <c r="R460" s="2">
        <v>0.40763888888888888</v>
      </c>
      <c r="S460" s="2">
        <v>0.56180555555555556</v>
      </c>
      <c r="T460" t="str" cm="1">
        <f t="array" ref="T460">_xlfn.IFS(H460&gt;=90,"A",H460&gt;=75,"B",H460&gt;=60,"C",H460&lt;60,"D")</f>
        <v>D</v>
      </c>
      <c r="U460" t="str">
        <f t="shared" si="28"/>
        <v>09:47 AM</v>
      </c>
      <c r="V460" t="str">
        <f t="shared" si="29"/>
        <v>Delayed</v>
      </c>
      <c r="W460" t="str">
        <f t="shared" si="30"/>
        <v>3 Hours 42 Minutes</v>
      </c>
      <c r="X460" t="str">
        <f t="shared" si="31"/>
        <v>Short Time Login</v>
      </c>
      <c r="AA460" s="34" t="s">
        <v>724</v>
      </c>
      <c r="AB460" s="34" t="s">
        <v>119</v>
      </c>
      <c r="AC460" s="34">
        <v>47</v>
      </c>
      <c r="AD460" s="34">
        <v>79</v>
      </c>
      <c r="AE460" s="34" t="s">
        <v>25</v>
      </c>
      <c r="AF460" s="34">
        <v>0</v>
      </c>
      <c r="AH460" s="34" t="s">
        <v>27</v>
      </c>
    </row>
    <row r="461" spans="1:34">
      <c r="A461" t="s">
        <v>725</v>
      </c>
      <c r="B461" t="s">
        <v>234</v>
      </c>
      <c r="C461">
        <v>23</v>
      </c>
      <c r="D461" t="s">
        <v>35</v>
      </c>
      <c r="E461" t="s">
        <v>67</v>
      </c>
      <c r="F461" t="s">
        <v>23</v>
      </c>
      <c r="G461" t="s">
        <v>24</v>
      </c>
      <c r="H461">
        <v>36</v>
      </c>
      <c r="I461">
        <v>78</v>
      </c>
      <c r="J461" t="s">
        <v>25</v>
      </c>
      <c r="K461">
        <v>10000</v>
      </c>
      <c r="L461">
        <v>9800</v>
      </c>
      <c r="M461">
        <v>2000</v>
      </c>
      <c r="N461" t="s">
        <v>26</v>
      </c>
      <c r="O461" t="s">
        <v>27</v>
      </c>
      <c r="P461" s="1">
        <v>45894</v>
      </c>
      <c r="Q461" s="1">
        <v>45984</v>
      </c>
      <c r="R461" s="2">
        <v>0.3888888888888889</v>
      </c>
      <c r="S461" s="2">
        <v>0.51180555555555551</v>
      </c>
      <c r="T461" t="str" cm="1">
        <f t="array" ref="T461">_xlfn.IFS(H461&gt;=90,"A",H461&gt;=75,"B",H461&gt;=60,"C",H461&lt;60,"D")</f>
        <v>D</v>
      </c>
      <c r="U461" t="str">
        <f t="shared" si="28"/>
        <v>09:20 AM</v>
      </c>
      <c r="V461" t="str">
        <f t="shared" si="29"/>
        <v>On Time</v>
      </c>
      <c r="W461" t="str">
        <f t="shared" si="30"/>
        <v>2 Hours 57 Minutes</v>
      </c>
      <c r="X461" t="str">
        <f t="shared" si="31"/>
        <v>Short Time Login</v>
      </c>
      <c r="AA461" s="35" t="s">
        <v>725</v>
      </c>
      <c r="AB461" s="35" t="s">
        <v>234</v>
      </c>
      <c r="AC461" s="35">
        <v>36</v>
      </c>
      <c r="AD461" s="35">
        <v>78</v>
      </c>
      <c r="AE461" s="35" t="s">
        <v>25</v>
      </c>
      <c r="AF461" s="35">
        <v>2000</v>
      </c>
      <c r="AH461" s="35" t="s">
        <v>27</v>
      </c>
    </row>
    <row r="462" spans="1:34">
      <c r="A462" t="s">
        <v>726</v>
      </c>
      <c r="B462" t="s">
        <v>203</v>
      </c>
      <c r="C462">
        <v>24</v>
      </c>
      <c r="D462" t="s">
        <v>21</v>
      </c>
      <c r="E462" t="s">
        <v>48</v>
      </c>
      <c r="F462" t="s">
        <v>88</v>
      </c>
      <c r="G462" t="s">
        <v>89</v>
      </c>
      <c r="H462">
        <v>35</v>
      </c>
      <c r="I462">
        <v>72</v>
      </c>
      <c r="J462" t="s">
        <v>25</v>
      </c>
      <c r="K462">
        <v>12000</v>
      </c>
      <c r="L462">
        <v>12980</v>
      </c>
      <c r="M462">
        <v>0</v>
      </c>
      <c r="N462" t="s">
        <v>11</v>
      </c>
      <c r="O462" t="s">
        <v>127</v>
      </c>
      <c r="P462" s="1">
        <v>45899</v>
      </c>
      <c r="Q462" s="1">
        <v>45989</v>
      </c>
      <c r="R462" s="2">
        <v>0.34791666666666665</v>
      </c>
      <c r="S462" s="2">
        <v>0.47569444444444442</v>
      </c>
      <c r="T462" t="str" cm="1">
        <f t="array" ref="T462">_xlfn.IFS(H462&gt;=90,"A",H462&gt;=75,"B",H462&gt;=60,"C",H462&lt;60,"D")</f>
        <v>D</v>
      </c>
      <c r="U462" t="str">
        <f t="shared" si="28"/>
        <v>08:21 AM</v>
      </c>
      <c r="V462" t="str">
        <f t="shared" si="29"/>
        <v>On Time</v>
      </c>
      <c r="W462" t="str">
        <f t="shared" si="30"/>
        <v>3 Hours 4 Minutes</v>
      </c>
      <c r="X462" t="str">
        <f t="shared" si="31"/>
        <v>Short Time Login</v>
      </c>
      <c r="AA462" s="34" t="s">
        <v>726</v>
      </c>
      <c r="AB462" s="34" t="s">
        <v>203</v>
      </c>
      <c r="AC462" s="34">
        <v>35</v>
      </c>
      <c r="AD462" s="34">
        <v>72</v>
      </c>
      <c r="AE462" s="34" t="s">
        <v>25</v>
      </c>
      <c r="AF462" s="34">
        <v>0</v>
      </c>
      <c r="AH462" s="34" t="s">
        <v>127</v>
      </c>
    </row>
    <row r="463" spans="1:34">
      <c r="A463" t="s">
        <v>727</v>
      </c>
      <c r="B463" t="s">
        <v>77</v>
      </c>
      <c r="C463">
        <v>28</v>
      </c>
      <c r="D463" t="s">
        <v>21</v>
      </c>
      <c r="E463" t="s">
        <v>48</v>
      </c>
      <c r="F463" t="s">
        <v>49</v>
      </c>
      <c r="G463" t="s">
        <v>50</v>
      </c>
      <c r="H463">
        <v>71</v>
      </c>
      <c r="I463">
        <v>89</v>
      </c>
      <c r="J463" t="s">
        <v>68</v>
      </c>
      <c r="K463">
        <v>10000</v>
      </c>
      <c r="L463">
        <v>7210</v>
      </c>
      <c r="M463">
        <v>4000</v>
      </c>
      <c r="N463" t="s">
        <v>26</v>
      </c>
      <c r="O463" t="s">
        <v>27</v>
      </c>
      <c r="P463" s="1">
        <v>45818</v>
      </c>
      <c r="Q463" s="1">
        <v>45908</v>
      </c>
      <c r="R463" s="2">
        <v>0.44861111111111113</v>
      </c>
      <c r="S463" s="2">
        <v>0.58888888888888891</v>
      </c>
      <c r="T463" t="str" cm="1">
        <f t="array" ref="T463">_xlfn.IFS(H463&gt;=90,"A",H463&gt;=75,"B",H463&gt;=60,"C",H463&lt;60,"D")</f>
        <v>C</v>
      </c>
      <c r="U463" t="str">
        <f t="shared" si="28"/>
        <v>10:46 AM</v>
      </c>
      <c r="V463" t="str">
        <f t="shared" si="29"/>
        <v>On Time</v>
      </c>
      <c r="W463" t="str">
        <f t="shared" si="30"/>
        <v>3 Hours 22 Minutes</v>
      </c>
      <c r="X463" t="str">
        <f t="shared" si="31"/>
        <v>Long Time Login</v>
      </c>
      <c r="AA463" s="35" t="s">
        <v>727</v>
      </c>
      <c r="AB463" s="35" t="s">
        <v>77</v>
      </c>
      <c r="AC463" s="35">
        <v>71</v>
      </c>
      <c r="AD463" s="35">
        <v>89</v>
      </c>
      <c r="AE463" s="35" t="s">
        <v>68</v>
      </c>
      <c r="AF463" s="35">
        <v>4000</v>
      </c>
      <c r="AH463" s="35" t="s">
        <v>27</v>
      </c>
    </row>
    <row r="464" spans="1:34">
      <c r="A464" t="s">
        <v>728</v>
      </c>
      <c r="B464" t="s">
        <v>316</v>
      </c>
      <c r="C464">
        <v>21</v>
      </c>
      <c r="D464" t="s">
        <v>35</v>
      </c>
      <c r="E464" t="s">
        <v>36</v>
      </c>
      <c r="F464" t="s">
        <v>88</v>
      </c>
      <c r="G464" t="s">
        <v>89</v>
      </c>
      <c r="H464">
        <v>46</v>
      </c>
      <c r="I464">
        <v>83</v>
      </c>
      <c r="J464" t="s">
        <v>25</v>
      </c>
      <c r="K464">
        <v>18000</v>
      </c>
      <c r="L464">
        <v>19240</v>
      </c>
      <c r="M464">
        <v>2000</v>
      </c>
      <c r="N464" t="s">
        <v>26</v>
      </c>
      <c r="O464" t="s">
        <v>27</v>
      </c>
      <c r="P464" s="1">
        <v>45886</v>
      </c>
      <c r="Q464" s="1">
        <v>45976</v>
      </c>
      <c r="R464" s="2">
        <v>0.35069444444444442</v>
      </c>
      <c r="S464" s="2">
        <v>0.5180555555555556</v>
      </c>
      <c r="T464" t="str" cm="1">
        <f t="array" ref="T464">_xlfn.IFS(H464&gt;=90,"A",H464&gt;=75,"B",H464&gt;=60,"C",H464&lt;60,"D")</f>
        <v>D</v>
      </c>
      <c r="U464" t="str">
        <f t="shared" si="28"/>
        <v>08:25 AM</v>
      </c>
      <c r="V464" t="str">
        <f t="shared" si="29"/>
        <v>On Time</v>
      </c>
      <c r="W464" t="str">
        <f t="shared" si="30"/>
        <v>4 Hours 1 Minutes</v>
      </c>
      <c r="X464" t="str">
        <f t="shared" si="31"/>
        <v>Short Time Login</v>
      </c>
      <c r="AA464" s="34" t="s">
        <v>728</v>
      </c>
      <c r="AB464" s="34" t="s">
        <v>316</v>
      </c>
      <c r="AC464" s="34">
        <v>46</v>
      </c>
      <c r="AD464" s="34">
        <v>83</v>
      </c>
      <c r="AE464" s="34" t="s">
        <v>25</v>
      </c>
      <c r="AF464" s="34">
        <v>2000</v>
      </c>
      <c r="AH464" s="34" t="s">
        <v>27</v>
      </c>
    </row>
    <row r="465" spans="1:34">
      <c r="A465" t="s">
        <v>729</v>
      </c>
      <c r="B465" t="s">
        <v>20</v>
      </c>
      <c r="C465">
        <v>22</v>
      </c>
      <c r="D465" t="s">
        <v>35</v>
      </c>
      <c r="E465" t="s">
        <v>122</v>
      </c>
      <c r="F465" t="s">
        <v>31</v>
      </c>
      <c r="G465" t="s">
        <v>32</v>
      </c>
      <c r="H465">
        <v>93</v>
      </c>
      <c r="I465">
        <v>98</v>
      </c>
      <c r="J465" t="s">
        <v>59</v>
      </c>
      <c r="K465">
        <v>10000</v>
      </c>
      <c r="L465">
        <v>11210</v>
      </c>
      <c r="M465">
        <v>0</v>
      </c>
      <c r="N465" t="s">
        <v>11</v>
      </c>
      <c r="O465" t="s">
        <v>27</v>
      </c>
      <c r="P465" s="1">
        <v>45887</v>
      </c>
      <c r="Q465" s="1">
        <v>46007</v>
      </c>
      <c r="R465" s="2">
        <v>0.3659722222222222</v>
      </c>
      <c r="S465" s="2">
        <v>0.55138888888888893</v>
      </c>
      <c r="T465" t="str" cm="1">
        <f t="array" ref="T465">_xlfn.IFS(H465&gt;=90,"A",H465&gt;=75,"B",H465&gt;=60,"C",H465&lt;60,"D")</f>
        <v>A</v>
      </c>
      <c r="U465" t="str">
        <f t="shared" si="28"/>
        <v>08:47 AM</v>
      </c>
      <c r="V465" t="str">
        <f t="shared" si="29"/>
        <v>Delayed</v>
      </c>
      <c r="W465" t="str">
        <f t="shared" si="30"/>
        <v>4 Hours 27 Minutes</v>
      </c>
      <c r="X465" t="str">
        <f t="shared" si="31"/>
        <v>Short Time Login</v>
      </c>
      <c r="AA465" s="35" t="s">
        <v>729</v>
      </c>
      <c r="AB465" s="35" t="s">
        <v>20</v>
      </c>
      <c r="AC465" s="35">
        <v>93</v>
      </c>
      <c r="AD465" s="35">
        <v>98</v>
      </c>
      <c r="AE465" s="35" t="s">
        <v>59</v>
      </c>
      <c r="AF465" s="35">
        <v>0</v>
      </c>
      <c r="AH465" s="35" t="s">
        <v>27</v>
      </c>
    </row>
    <row r="466" spans="1:34">
      <c r="A466" t="s">
        <v>730</v>
      </c>
      <c r="B466" t="s">
        <v>661</v>
      </c>
      <c r="C466">
        <v>21</v>
      </c>
      <c r="D466" t="s">
        <v>35</v>
      </c>
      <c r="E466" t="s">
        <v>67</v>
      </c>
      <c r="F466" t="s">
        <v>57</v>
      </c>
      <c r="G466" t="s">
        <v>58</v>
      </c>
      <c r="H466">
        <v>52</v>
      </c>
      <c r="I466">
        <v>98</v>
      </c>
      <c r="J466" t="s">
        <v>25</v>
      </c>
      <c r="K466">
        <v>18000</v>
      </c>
      <c r="L466">
        <v>19470</v>
      </c>
      <c r="M466">
        <v>0</v>
      </c>
      <c r="N466" t="s">
        <v>11</v>
      </c>
      <c r="O466" t="s">
        <v>27</v>
      </c>
      <c r="P466" s="1">
        <v>45893</v>
      </c>
      <c r="Q466" s="1">
        <v>46073</v>
      </c>
      <c r="R466" s="2">
        <v>0.41111111111111109</v>
      </c>
      <c r="S466" s="2">
        <v>0.47708333333333336</v>
      </c>
      <c r="T466" t="str" cm="1">
        <f t="array" ref="T466">_xlfn.IFS(H466&gt;=90,"A",H466&gt;=75,"B",H466&gt;=60,"C",H466&lt;60,"D")</f>
        <v>D</v>
      </c>
      <c r="U466" t="str">
        <f t="shared" si="28"/>
        <v>09:52 AM</v>
      </c>
      <c r="V466" t="str">
        <f t="shared" si="29"/>
        <v>Delayed</v>
      </c>
      <c r="W466" t="str">
        <f t="shared" si="30"/>
        <v>1 Hours 35 Minutes</v>
      </c>
      <c r="X466" t="str">
        <f t="shared" si="31"/>
        <v>Short Time Login</v>
      </c>
      <c r="AA466" s="34" t="s">
        <v>730</v>
      </c>
      <c r="AB466" s="34" t="s">
        <v>661</v>
      </c>
      <c r="AC466" s="34">
        <v>52</v>
      </c>
      <c r="AD466" s="34">
        <v>98</v>
      </c>
      <c r="AE466" s="34" t="s">
        <v>25</v>
      </c>
      <c r="AF466" s="34">
        <v>0</v>
      </c>
      <c r="AH466" s="34" t="s">
        <v>27</v>
      </c>
    </row>
    <row r="467" spans="1:34">
      <c r="A467" t="s">
        <v>731</v>
      </c>
      <c r="B467" t="s">
        <v>571</v>
      </c>
      <c r="C467">
        <v>27</v>
      </c>
      <c r="D467" t="s">
        <v>35</v>
      </c>
      <c r="E467" t="s">
        <v>62</v>
      </c>
      <c r="F467" t="s">
        <v>88</v>
      </c>
      <c r="G467" t="s">
        <v>89</v>
      </c>
      <c r="H467">
        <v>82</v>
      </c>
      <c r="I467">
        <v>83</v>
      </c>
      <c r="J467" t="s">
        <v>45</v>
      </c>
      <c r="K467">
        <v>10000</v>
      </c>
      <c r="L467">
        <v>8030</v>
      </c>
      <c r="M467">
        <v>2000</v>
      </c>
      <c r="N467" t="s">
        <v>26</v>
      </c>
      <c r="O467" t="s">
        <v>27</v>
      </c>
      <c r="P467" s="1">
        <v>45916</v>
      </c>
      <c r="Q467" s="1">
        <v>45976</v>
      </c>
      <c r="R467" s="2">
        <v>0.43541666666666667</v>
      </c>
      <c r="S467" s="2">
        <v>0.5229166666666667</v>
      </c>
      <c r="T467" t="str" cm="1">
        <f t="array" ref="T467">_xlfn.IFS(H467&gt;=90,"A",H467&gt;=75,"B",H467&gt;=60,"C",H467&lt;60,"D")</f>
        <v>B</v>
      </c>
      <c r="U467" t="str">
        <f t="shared" si="28"/>
        <v>10:27 AM</v>
      </c>
      <c r="V467" t="str">
        <f t="shared" si="29"/>
        <v>On Time</v>
      </c>
      <c r="W467" t="str">
        <f t="shared" si="30"/>
        <v>2 Hours 6 Minutes</v>
      </c>
      <c r="X467" t="str">
        <f t="shared" si="31"/>
        <v>Long Time Login</v>
      </c>
      <c r="AA467" s="35" t="s">
        <v>731</v>
      </c>
      <c r="AB467" s="35" t="s">
        <v>571</v>
      </c>
      <c r="AC467" s="35">
        <v>82</v>
      </c>
      <c r="AD467" s="35">
        <v>83</v>
      </c>
      <c r="AE467" s="35" t="s">
        <v>45</v>
      </c>
      <c r="AF467" s="35">
        <v>2000</v>
      </c>
      <c r="AH467" s="35" t="s">
        <v>27</v>
      </c>
    </row>
    <row r="468" spans="1:34">
      <c r="A468" t="s">
        <v>732</v>
      </c>
      <c r="B468" t="s">
        <v>382</v>
      </c>
      <c r="C468">
        <v>22</v>
      </c>
      <c r="D468" t="s">
        <v>35</v>
      </c>
      <c r="E468" t="s">
        <v>122</v>
      </c>
      <c r="F468" t="s">
        <v>31</v>
      </c>
      <c r="G468" t="s">
        <v>32</v>
      </c>
      <c r="H468">
        <v>53</v>
      </c>
      <c r="I468">
        <v>77</v>
      </c>
      <c r="J468" t="s">
        <v>25</v>
      </c>
      <c r="K468">
        <v>12000</v>
      </c>
      <c r="L468">
        <v>10160</v>
      </c>
      <c r="M468">
        <v>4000</v>
      </c>
      <c r="N468" t="s">
        <v>26</v>
      </c>
      <c r="O468" t="s">
        <v>27</v>
      </c>
      <c r="P468" s="1">
        <v>45775</v>
      </c>
      <c r="Q468" s="1">
        <v>45805</v>
      </c>
      <c r="R468" s="2">
        <v>0.37986111111111109</v>
      </c>
      <c r="S468" s="2">
        <v>0.55625000000000002</v>
      </c>
      <c r="T468" t="str" cm="1">
        <f t="array" ref="T468">_xlfn.IFS(H468&gt;=90,"A",H468&gt;=75,"B",H468&gt;=60,"C",H468&lt;60,"D")</f>
        <v>D</v>
      </c>
      <c r="U468" t="str">
        <f t="shared" si="28"/>
        <v>09:07 AM</v>
      </c>
      <c r="V468" t="str">
        <f t="shared" si="29"/>
        <v>On Time</v>
      </c>
      <c r="W468" t="str">
        <f t="shared" si="30"/>
        <v>4 Hours 14 Minutes</v>
      </c>
      <c r="X468" t="str">
        <f t="shared" si="31"/>
        <v>Short Time Login</v>
      </c>
      <c r="AA468" s="34" t="s">
        <v>732</v>
      </c>
      <c r="AB468" s="34" t="s">
        <v>382</v>
      </c>
      <c r="AC468" s="34">
        <v>53</v>
      </c>
      <c r="AD468" s="34">
        <v>77</v>
      </c>
      <c r="AE468" s="34" t="s">
        <v>25</v>
      </c>
      <c r="AF468" s="34">
        <v>4000</v>
      </c>
      <c r="AH468" s="34" t="s">
        <v>27</v>
      </c>
    </row>
    <row r="469" spans="1:34">
      <c r="A469" t="s">
        <v>733</v>
      </c>
      <c r="B469" t="s">
        <v>599</v>
      </c>
      <c r="C469">
        <v>27</v>
      </c>
      <c r="D469" t="s">
        <v>35</v>
      </c>
      <c r="E469" t="s">
        <v>30</v>
      </c>
      <c r="F469" t="s">
        <v>40</v>
      </c>
      <c r="G469" t="s">
        <v>41</v>
      </c>
      <c r="H469">
        <v>49</v>
      </c>
      <c r="I469">
        <v>95</v>
      </c>
      <c r="J469" t="s">
        <v>25</v>
      </c>
      <c r="K469">
        <v>20000</v>
      </c>
      <c r="L469">
        <v>17830</v>
      </c>
      <c r="M469">
        <v>4000</v>
      </c>
      <c r="N469" t="s">
        <v>26</v>
      </c>
      <c r="O469" t="s">
        <v>27</v>
      </c>
      <c r="P469" s="1">
        <v>45746</v>
      </c>
      <c r="Q469" s="1">
        <v>45776</v>
      </c>
      <c r="R469" s="2">
        <v>0.35625000000000001</v>
      </c>
      <c r="S469" s="2">
        <v>0.56388888888888888</v>
      </c>
      <c r="T469" t="str" cm="1">
        <f t="array" ref="T469">_xlfn.IFS(H469&gt;=90,"A",H469&gt;=75,"B",H469&gt;=60,"C",H469&lt;60,"D")</f>
        <v>D</v>
      </c>
      <c r="U469" t="str">
        <f t="shared" si="28"/>
        <v>08:33 AM</v>
      </c>
      <c r="V469" t="str">
        <f t="shared" si="29"/>
        <v>On Time</v>
      </c>
      <c r="W469" t="str">
        <f t="shared" si="30"/>
        <v>4 Hours 59 Minutes</v>
      </c>
      <c r="X469" t="str">
        <f t="shared" si="31"/>
        <v>Short Time Login</v>
      </c>
      <c r="AA469" s="35" t="s">
        <v>733</v>
      </c>
      <c r="AB469" s="35" t="s">
        <v>599</v>
      </c>
      <c r="AC469" s="35">
        <v>49</v>
      </c>
      <c r="AD469" s="35">
        <v>95</v>
      </c>
      <c r="AE469" s="35" t="s">
        <v>25</v>
      </c>
      <c r="AF469" s="35">
        <v>4000</v>
      </c>
      <c r="AH469" s="35" t="s">
        <v>27</v>
      </c>
    </row>
    <row r="470" spans="1:34">
      <c r="A470" t="s">
        <v>734</v>
      </c>
      <c r="B470" t="s">
        <v>635</v>
      </c>
      <c r="C470">
        <v>24</v>
      </c>
      <c r="D470" t="s">
        <v>35</v>
      </c>
      <c r="E470" t="s">
        <v>62</v>
      </c>
      <c r="F470" t="s">
        <v>49</v>
      </c>
      <c r="G470" t="s">
        <v>50</v>
      </c>
      <c r="H470">
        <v>90</v>
      </c>
      <c r="I470">
        <v>79</v>
      </c>
      <c r="J470" t="s">
        <v>59</v>
      </c>
      <c r="K470">
        <v>20000</v>
      </c>
      <c r="L470">
        <v>17830</v>
      </c>
      <c r="M470">
        <v>4000</v>
      </c>
      <c r="N470" t="s">
        <v>26</v>
      </c>
      <c r="O470" t="s">
        <v>27</v>
      </c>
      <c r="P470" s="1">
        <v>45757</v>
      </c>
      <c r="Q470" s="1">
        <v>45877</v>
      </c>
      <c r="R470" s="2">
        <v>0.43055555555555558</v>
      </c>
      <c r="S470" s="2">
        <v>0.57430555555555551</v>
      </c>
      <c r="T470" t="str" cm="1">
        <f t="array" ref="T470">_xlfn.IFS(H470&gt;=90,"A",H470&gt;=75,"B",H470&gt;=60,"C",H470&lt;60,"D")</f>
        <v>A</v>
      </c>
      <c r="U470" t="str">
        <f t="shared" si="28"/>
        <v>10:20 AM</v>
      </c>
      <c r="V470" t="str">
        <f t="shared" si="29"/>
        <v>Delayed</v>
      </c>
      <c r="W470" t="str">
        <f t="shared" si="30"/>
        <v>3 Hours 27 Minutes</v>
      </c>
      <c r="X470" t="str">
        <f t="shared" si="31"/>
        <v>Long Time Login</v>
      </c>
      <c r="AA470" s="34" t="s">
        <v>734</v>
      </c>
      <c r="AB470" s="34" t="s">
        <v>635</v>
      </c>
      <c r="AC470" s="34">
        <v>90</v>
      </c>
      <c r="AD470" s="34">
        <v>79</v>
      </c>
      <c r="AE470" s="34" t="s">
        <v>59</v>
      </c>
      <c r="AF470" s="34">
        <v>4000</v>
      </c>
      <c r="AH470" s="34" t="s">
        <v>27</v>
      </c>
    </row>
    <row r="471" spans="1:34">
      <c r="A471" t="s">
        <v>735</v>
      </c>
      <c r="B471" t="s">
        <v>396</v>
      </c>
      <c r="C471">
        <v>18</v>
      </c>
      <c r="D471" t="s">
        <v>21</v>
      </c>
      <c r="E471" t="s">
        <v>44</v>
      </c>
      <c r="F471" t="s">
        <v>57</v>
      </c>
      <c r="G471" t="s">
        <v>58</v>
      </c>
      <c r="H471">
        <v>35</v>
      </c>
      <c r="I471">
        <v>78</v>
      </c>
      <c r="J471" t="s">
        <v>25</v>
      </c>
      <c r="K471">
        <v>12000</v>
      </c>
      <c r="L471">
        <v>12390</v>
      </c>
      <c r="M471">
        <v>0</v>
      </c>
      <c r="N471" t="s">
        <v>11</v>
      </c>
      <c r="O471" t="s">
        <v>27</v>
      </c>
      <c r="P471" s="1">
        <v>45666</v>
      </c>
      <c r="Q471" s="1">
        <v>45756</v>
      </c>
      <c r="R471" s="2">
        <v>0.42569444444444443</v>
      </c>
      <c r="S471" s="2">
        <v>0.48333333333333334</v>
      </c>
      <c r="T471" t="str" cm="1">
        <f t="array" ref="T471">_xlfn.IFS(H471&gt;=90,"A",H471&gt;=75,"B",H471&gt;=60,"C",H471&lt;60,"D")</f>
        <v>D</v>
      </c>
      <c r="U471" t="str">
        <f t="shared" si="28"/>
        <v>10:13 AM</v>
      </c>
      <c r="V471" t="str">
        <f t="shared" si="29"/>
        <v>On Time</v>
      </c>
      <c r="W471" t="str">
        <f t="shared" si="30"/>
        <v>1 Hours 23 Minutes</v>
      </c>
      <c r="X471" t="str">
        <f t="shared" si="31"/>
        <v>Long Time Login</v>
      </c>
      <c r="AA471" s="35" t="s">
        <v>735</v>
      </c>
      <c r="AB471" s="35" t="s">
        <v>396</v>
      </c>
      <c r="AC471" s="35">
        <v>35</v>
      </c>
      <c r="AD471" s="35">
        <v>78</v>
      </c>
      <c r="AE471" s="35" t="s">
        <v>25</v>
      </c>
      <c r="AF471" s="35">
        <v>0</v>
      </c>
      <c r="AH471" s="35" t="s">
        <v>27</v>
      </c>
    </row>
    <row r="472" spans="1:34">
      <c r="A472" t="s">
        <v>736</v>
      </c>
      <c r="B472" t="s">
        <v>402</v>
      </c>
      <c r="C472">
        <v>26</v>
      </c>
      <c r="D472" t="s">
        <v>21</v>
      </c>
      <c r="E472" t="s">
        <v>30</v>
      </c>
      <c r="F472" t="s">
        <v>53</v>
      </c>
      <c r="G472" t="s">
        <v>54</v>
      </c>
      <c r="H472">
        <v>95</v>
      </c>
      <c r="I472">
        <v>63</v>
      </c>
      <c r="J472" t="s">
        <v>59</v>
      </c>
      <c r="K472">
        <v>10000</v>
      </c>
      <c r="L472">
        <v>7210</v>
      </c>
      <c r="M472">
        <v>4000</v>
      </c>
      <c r="N472" t="s">
        <v>26</v>
      </c>
      <c r="O472" t="s">
        <v>27</v>
      </c>
      <c r="P472" s="1">
        <v>45902</v>
      </c>
      <c r="Q472" s="1">
        <v>46022</v>
      </c>
      <c r="R472" s="2">
        <v>0.37569444444444444</v>
      </c>
      <c r="S472" s="2">
        <v>0.58263888888888893</v>
      </c>
      <c r="T472" t="str" cm="1">
        <f t="array" ref="T472">_xlfn.IFS(H472&gt;=90,"A",H472&gt;=75,"B",H472&gt;=60,"C",H472&lt;60,"D")</f>
        <v>A</v>
      </c>
      <c r="U472" t="str">
        <f t="shared" si="28"/>
        <v>09:01 AM</v>
      </c>
      <c r="V472" t="str">
        <f t="shared" si="29"/>
        <v>Delayed</v>
      </c>
      <c r="W472" t="str">
        <f t="shared" si="30"/>
        <v>4 Hours 58 Minutes</v>
      </c>
      <c r="X472" t="str">
        <f t="shared" si="31"/>
        <v>Short Time Login</v>
      </c>
      <c r="AA472" s="34" t="s">
        <v>736</v>
      </c>
      <c r="AB472" s="34" t="s">
        <v>402</v>
      </c>
      <c r="AC472" s="34">
        <v>95</v>
      </c>
      <c r="AD472" s="34">
        <v>63</v>
      </c>
      <c r="AE472" s="34" t="s">
        <v>59</v>
      </c>
      <c r="AF472" s="34">
        <v>4000</v>
      </c>
      <c r="AH472" s="34" t="s">
        <v>27</v>
      </c>
    </row>
    <row r="473" spans="1:34">
      <c r="A473" t="s">
        <v>737</v>
      </c>
      <c r="B473" t="s">
        <v>738</v>
      </c>
      <c r="C473">
        <v>26</v>
      </c>
      <c r="D473" t="s">
        <v>21</v>
      </c>
      <c r="E473" t="s">
        <v>96</v>
      </c>
      <c r="F473" t="s">
        <v>63</v>
      </c>
      <c r="G473" t="s">
        <v>64</v>
      </c>
      <c r="H473">
        <v>59</v>
      </c>
      <c r="I473">
        <v>73</v>
      </c>
      <c r="J473" t="s">
        <v>25</v>
      </c>
      <c r="K473">
        <v>15000</v>
      </c>
      <c r="L473">
        <v>17110</v>
      </c>
      <c r="M473">
        <v>0</v>
      </c>
      <c r="N473" t="s">
        <v>11</v>
      </c>
      <c r="O473" t="s">
        <v>27</v>
      </c>
      <c r="P473" s="1">
        <v>45857</v>
      </c>
      <c r="Q473" s="1">
        <v>45947</v>
      </c>
      <c r="R473" s="2">
        <v>0.39444444444444443</v>
      </c>
      <c r="S473" s="2">
        <v>0.51944444444444449</v>
      </c>
      <c r="T473" t="str" cm="1">
        <f t="array" ref="T473">_xlfn.IFS(H473&gt;=90,"A",H473&gt;=75,"B",H473&gt;=60,"C",H473&lt;60,"D")</f>
        <v>D</v>
      </c>
      <c r="U473" t="str">
        <f t="shared" si="28"/>
        <v>09:28 AM</v>
      </c>
      <c r="V473" t="str">
        <f t="shared" si="29"/>
        <v>On Time</v>
      </c>
      <c r="W473" t="str">
        <f t="shared" si="30"/>
        <v>3 Hours 0 Minutes</v>
      </c>
      <c r="X473" t="str">
        <f t="shared" si="31"/>
        <v>Short Time Login</v>
      </c>
      <c r="AA473" s="35" t="s">
        <v>737</v>
      </c>
      <c r="AB473" s="35" t="s">
        <v>738</v>
      </c>
      <c r="AC473" s="35">
        <v>59</v>
      </c>
      <c r="AD473" s="35">
        <v>73</v>
      </c>
      <c r="AE473" s="35" t="s">
        <v>25</v>
      </c>
      <c r="AF473" s="35">
        <v>0</v>
      </c>
      <c r="AH473" s="35" t="s">
        <v>27</v>
      </c>
    </row>
    <row r="474" spans="1:34">
      <c r="A474" t="s">
        <v>739</v>
      </c>
      <c r="B474" t="s">
        <v>132</v>
      </c>
      <c r="C474">
        <v>26</v>
      </c>
      <c r="D474" t="s">
        <v>21</v>
      </c>
      <c r="E474" t="s">
        <v>113</v>
      </c>
      <c r="F474" t="s">
        <v>88</v>
      </c>
      <c r="G474" t="s">
        <v>89</v>
      </c>
      <c r="H474">
        <v>73</v>
      </c>
      <c r="I474">
        <v>71</v>
      </c>
      <c r="J474" t="s">
        <v>68</v>
      </c>
      <c r="K474">
        <v>10000</v>
      </c>
      <c r="L474">
        <v>10620</v>
      </c>
      <c r="M474">
        <v>0</v>
      </c>
      <c r="N474" t="s">
        <v>11</v>
      </c>
      <c r="O474" t="s">
        <v>27</v>
      </c>
      <c r="P474" s="1">
        <v>45947</v>
      </c>
      <c r="Q474" s="1">
        <v>45977</v>
      </c>
      <c r="R474" s="2">
        <v>0.34791666666666665</v>
      </c>
      <c r="S474" s="2">
        <v>0.55486111111111114</v>
      </c>
      <c r="T474" t="str" cm="1">
        <f t="array" ref="T474">_xlfn.IFS(H474&gt;=90,"A",H474&gt;=75,"B",H474&gt;=60,"C",H474&lt;60,"D")</f>
        <v>C</v>
      </c>
      <c r="U474" t="str">
        <f t="shared" si="28"/>
        <v>08:21 AM</v>
      </c>
      <c r="V474" t="str">
        <f t="shared" si="29"/>
        <v>On Time</v>
      </c>
      <c r="W474" t="str">
        <f t="shared" si="30"/>
        <v>4 Hours 58 Minutes</v>
      </c>
      <c r="X474" t="str">
        <f t="shared" si="31"/>
        <v>Short Time Login</v>
      </c>
      <c r="AA474" s="34" t="s">
        <v>739</v>
      </c>
      <c r="AB474" s="34" t="s">
        <v>132</v>
      </c>
      <c r="AC474" s="34">
        <v>73</v>
      </c>
      <c r="AD474" s="34">
        <v>71</v>
      </c>
      <c r="AE474" s="34" t="s">
        <v>68</v>
      </c>
      <c r="AF474" s="34">
        <v>0</v>
      </c>
      <c r="AH474" s="34" t="s">
        <v>27</v>
      </c>
    </row>
    <row r="475" spans="1:34">
      <c r="A475" t="s">
        <v>740</v>
      </c>
      <c r="B475" t="s">
        <v>364</v>
      </c>
      <c r="C475">
        <v>24</v>
      </c>
      <c r="D475" t="s">
        <v>21</v>
      </c>
      <c r="E475" t="s">
        <v>67</v>
      </c>
      <c r="F475" t="s">
        <v>88</v>
      </c>
      <c r="G475" t="s">
        <v>89</v>
      </c>
      <c r="H475">
        <v>89</v>
      </c>
      <c r="I475">
        <v>66</v>
      </c>
      <c r="J475" t="s">
        <v>45</v>
      </c>
      <c r="K475">
        <v>10000</v>
      </c>
      <c r="L475">
        <v>7210</v>
      </c>
      <c r="M475">
        <v>4000</v>
      </c>
      <c r="N475" t="s">
        <v>26</v>
      </c>
      <c r="O475" t="s">
        <v>127</v>
      </c>
      <c r="P475" s="1">
        <v>45920</v>
      </c>
      <c r="Q475" s="1">
        <v>46010</v>
      </c>
      <c r="R475" s="2">
        <v>0.45694444444444443</v>
      </c>
      <c r="S475" s="2">
        <v>0.65902777777777777</v>
      </c>
      <c r="T475" t="str" cm="1">
        <f t="array" ref="T475">_xlfn.IFS(H475&gt;=90,"A",H475&gt;=75,"B",H475&gt;=60,"C",H475&lt;60,"D")</f>
        <v>B</v>
      </c>
      <c r="U475" t="str">
        <f t="shared" si="28"/>
        <v>10:58 AM</v>
      </c>
      <c r="V475" t="str">
        <f t="shared" si="29"/>
        <v>On Time</v>
      </c>
      <c r="W475" t="str">
        <f t="shared" si="30"/>
        <v>4 Hours 51 Minutes</v>
      </c>
      <c r="X475" t="str">
        <f t="shared" si="31"/>
        <v>Long Time Login</v>
      </c>
      <c r="AA475" s="35" t="s">
        <v>740</v>
      </c>
      <c r="AB475" s="35" t="s">
        <v>364</v>
      </c>
      <c r="AC475" s="35">
        <v>89</v>
      </c>
      <c r="AD475" s="35">
        <v>66</v>
      </c>
      <c r="AE475" s="35" t="s">
        <v>45</v>
      </c>
      <c r="AF475" s="35">
        <v>4000</v>
      </c>
      <c r="AH475" s="35" t="s">
        <v>127</v>
      </c>
    </row>
    <row r="476" spans="1:34">
      <c r="A476" t="s">
        <v>741</v>
      </c>
      <c r="B476" t="s">
        <v>416</v>
      </c>
      <c r="C476">
        <v>20</v>
      </c>
      <c r="D476" t="s">
        <v>35</v>
      </c>
      <c r="E476" t="s">
        <v>48</v>
      </c>
      <c r="F476" t="s">
        <v>40</v>
      </c>
      <c r="G476" t="s">
        <v>41</v>
      </c>
      <c r="H476">
        <v>76</v>
      </c>
      <c r="I476">
        <v>98</v>
      </c>
      <c r="J476" t="s">
        <v>45</v>
      </c>
      <c r="K476">
        <v>20000</v>
      </c>
      <c r="L476">
        <v>23010</v>
      </c>
      <c r="M476">
        <v>0</v>
      </c>
      <c r="N476" t="s">
        <v>11</v>
      </c>
      <c r="O476" t="s">
        <v>27</v>
      </c>
      <c r="P476" s="1">
        <v>45716</v>
      </c>
      <c r="Q476" s="1">
        <v>45836</v>
      </c>
      <c r="R476" s="2">
        <v>0.34791666666666665</v>
      </c>
      <c r="S476" s="2">
        <v>0.45694444444444443</v>
      </c>
      <c r="T476" t="str" cm="1">
        <f t="array" ref="T476">_xlfn.IFS(H476&gt;=90,"A",H476&gt;=75,"B",H476&gt;=60,"C",H476&lt;60,"D")</f>
        <v>B</v>
      </c>
      <c r="U476" t="str">
        <f t="shared" si="28"/>
        <v>08:21 AM</v>
      </c>
      <c r="V476" t="str">
        <f t="shared" si="29"/>
        <v>Delayed</v>
      </c>
      <c r="W476" t="str">
        <f t="shared" si="30"/>
        <v>2 Hours 37 Minutes</v>
      </c>
      <c r="X476" t="str">
        <f t="shared" si="31"/>
        <v>Short Time Login</v>
      </c>
      <c r="AA476" s="34" t="s">
        <v>741</v>
      </c>
      <c r="AB476" s="34" t="s">
        <v>416</v>
      </c>
      <c r="AC476" s="34">
        <v>76</v>
      </c>
      <c r="AD476" s="34">
        <v>98</v>
      </c>
      <c r="AE476" s="34" t="s">
        <v>45</v>
      </c>
      <c r="AF476" s="34">
        <v>0</v>
      </c>
      <c r="AH476" s="34" t="s">
        <v>27</v>
      </c>
    </row>
    <row r="477" spans="1:34">
      <c r="A477" t="s">
        <v>742</v>
      </c>
      <c r="B477" t="s">
        <v>364</v>
      </c>
      <c r="C477">
        <v>23</v>
      </c>
      <c r="D477" t="s">
        <v>35</v>
      </c>
      <c r="E477" t="s">
        <v>67</v>
      </c>
      <c r="F477" t="s">
        <v>49</v>
      </c>
      <c r="G477" t="s">
        <v>50</v>
      </c>
      <c r="H477">
        <v>79</v>
      </c>
      <c r="I477">
        <v>65</v>
      </c>
      <c r="J477" t="s">
        <v>45</v>
      </c>
      <c r="K477">
        <v>12000</v>
      </c>
      <c r="L477">
        <v>12980</v>
      </c>
      <c r="M477">
        <v>0</v>
      </c>
      <c r="N477" t="s">
        <v>11</v>
      </c>
      <c r="O477" t="s">
        <v>27</v>
      </c>
      <c r="P477" s="1">
        <v>45757</v>
      </c>
      <c r="Q477" s="1">
        <v>45877</v>
      </c>
      <c r="R477" s="2">
        <v>0.40694444444444444</v>
      </c>
      <c r="S477" s="2">
        <v>0.57847222222222228</v>
      </c>
      <c r="T477" t="str" cm="1">
        <f t="array" ref="T477">_xlfn.IFS(H477&gt;=90,"A",H477&gt;=75,"B",H477&gt;=60,"C",H477&lt;60,"D")</f>
        <v>B</v>
      </c>
      <c r="U477" t="str">
        <f t="shared" si="28"/>
        <v>09:46 AM</v>
      </c>
      <c r="V477" t="str">
        <f t="shared" si="29"/>
        <v>Delayed</v>
      </c>
      <c r="W477" t="str">
        <f t="shared" si="30"/>
        <v>4 Hours 7 Minutes</v>
      </c>
      <c r="X477" t="str">
        <f t="shared" si="31"/>
        <v>Short Time Login</v>
      </c>
      <c r="AA477" s="35" t="s">
        <v>742</v>
      </c>
      <c r="AB477" s="35" t="s">
        <v>364</v>
      </c>
      <c r="AC477" s="35">
        <v>79</v>
      </c>
      <c r="AD477" s="35">
        <v>65</v>
      </c>
      <c r="AE477" s="35" t="s">
        <v>45</v>
      </c>
      <c r="AF477" s="35">
        <v>0</v>
      </c>
      <c r="AH477" s="35" t="s">
        <v>27</v>
      </c>
    </row>
    <row r="478" spans="1:34">
      <c r="A478" t="s">
        <v>743</v>
      </c>
      <c r="B478" t="s">
        <v>510</v>
      </c>
      <c r="C478">
        <v>27</v>
      </c>
      <c r="D478" t="s">
        <v>21</v>
      </c>
      <c r="E478" t="s">
        <v>39</v>
      </c>
      <c r="F478" t="s">
        <v>40</v>
      </c>
      <c r="G478" t="s">
        <v>41</v>
      </c>
      <c r="H478">
        <v>94</v>
      </c>
      <c r="I478">
        <v>72</v>
      </c>
      <c r="J478" t="s">
        <v>59</v>
      </c>
      <c r="K478">
        <v>15000</v>
      </c>
      <c r="L478">
        <v>12520</v>
      </c>
      <c r="M478">
        <v>4000</v>
      </c>
      <c r="N478" t="s">
        <v>26</v>
      </c>
      <c r="O478" t="s">
        <v>27</v>
      </c>
      <c r="P478" s="1">
        <v>45854</v>
      </c>
      <c r="Q478" s="1">
        <v>45914</v>
      </c>
      <c r="R478" s="2">
        <v>0.38680555555555557</v>
      </c>
      <c r="S478" s="2">
        <v>0.57013888888888886</v>
      </c>
      <c r="T478" t="str" cm="1">
        <f t="array" ref="T478">_xlfn.IFS(H478&gt;=90,"A",H478&gt;=75,"B",H478&gt;=60,"C",H478&lt;60,"D")</f>
        <v>A</v>
      </c>
      <c r="U478" t="str">
        <f t="shared" si="28"/>
        <v>09:17 AM</v>
      </c>
      <c r="V478" t="str">
        <f t="shared" si="29"/>
        <v>On Time</v>
      </c>
      <c r="W478" t="str">
        <f t="shared" si="30"/>
        <v>4 Hours 24 Minutes</v>
      </c>
      <c r="X478" t="str">
        <f t="shared" si="31"/>
        <v>Short Time Login</v>
      </c>
      <c r="AA478" s="34" t="s">
        <v>743</v>
      </c>
      <c r="AB478" s="34" t="s">
        <v>510</v>
      </c>
      <c r="AC478" s="34">
        <v>94</v>
      </c>
      <c r="AD478" s="34">
        <v>72</v>
      </c>
      <c r="AE478" s="34" t="s">
        <v>59</v>
      </c>
      <c r="AF478" s="34">
        <v>4000</v>
      </c>
      <c r="AH478" s="34" t="s">
        <v>27</v>
      </c>
    </row>
    <row r="479" spans="1:34">
      <c r="A479" t="s">
        <v>744</v>
      </c>
      <c r="B479" t="s">
        <v>142</v>
      </c>
      <c r="C479">
        <v>28</v>
      </c>
      <c r="D479" t="s">
        <v>21</v>
      </c>
      <c r="E479" t="s">
        <v>22</v>
      </c>
      <c r="F479" t="s">
        <v>57</v>
      </c>
      <c r="G479" t="s">
        <v>58</v>
      </c>
      <c r="H479">
        <v>95</v>
      </c>
      <c r="I479">
        <v>75</v>
      </c>
      <c r="J479" t="s">
        <v>59</v>
      </c>
      <c r="K479">
        <v>15000</v>
      </c>
      <c r="L479">
        <v>15110</v>
      </c>
      <c r="M479">
        <v>2000</v>
      </c>
      <c r="N479" t="s">
        <v>26</v>
      </c>
      <c r="O479" t="s">
        <v>27</v>
      </c>
      <c r="P479" s="1">
        <v>45667</v>
      </c>
      <c r="Q479" s="1">
        <v>45757</v>
      </c>
      <c r="R479" s="2">
        <v>0.37708333333333333</v>
      </c>
      <c r="S479" s="2">
        <v>0.5805555555555556</v>
      </c>
      <c r="T479" t="str" cm="1">
        <f t="array" ref="T479">_xlfn.IFS(H479&gt;=90,"A",H479&gt;=75,"B",H479&gt;=60,"C",H479&lt;60,"D")</f>
        <v>A</v>
      </c>
      <c r="U479" t="str">
        <f t="shared" si="28"/>
        <v>09:03 AM</v>
      </c>
      <c r="V479" t="str">
        <f t="shared" si="29"/>
        <v>On Time</v>
      </c>
      <c r="W479" t="str">
        <f t="shared" si="30"/>
        <v>4 Hours 53 Minutes</v>
      </c>
      <c r="X479" t="str">
        <f t="shared" si="31"/>
        <v>Short Time Login</v>
      </c>
      <c r="AA479" s="35" t="s">
        <v>744</v>
      </c>
      <c r="AB479" s="35" t="s">
        <v>142</v>
      </c>
      <c r="AC479" s="35">
        <v>95</v>
      </c>
      <c r="AD479" s="35">
        <v>75</v>
      </c>
      <c r="AE479" s="35" t="s">
        <v>59</v>
      </c>
      <c r="AF479" s="35">
        <v>2000</v>
      </c>
      <c r="AH479" s="35" t="s">
        <v>27</v>
      </c>
    </row>
    <row r="480" spans="1:34">
      <c r="A480" t="s">
        <v>745</v>
      </c>
      <c r="B480" t="s">
        <v>211</v>
      </c>
      <c r="C480">
        <v>25</v>
      </c>
      <c r="D480" t="s">
        <v>35</v>
      </c>
      <c r="E480" t="s">
        <v>22</v>
      </c>
      <c r="F480" t="s">
        <v>63</v>
      </c>
      <c r="G480" t="s">
        <v>64</v>
      </c>
      <c r="H480">
        <v>100</v>
      </c>
      <c r="I480">
        <v>78</v>
      </c>
      <c r="J480" t="s">
        <v>59</v>
      </c>
      <c r="K480">
        <v>15000</v>
      </c>
      <c r="L480">
        <v>17700</v>
      </c>
      <c r="M480">
        <v>0</v>
      </c>
      <c r="N480" t="s">
        <v>11</v>
      </c>
      <c r="O480" t="s">
        <v>27</v>
      </c>
      <c r="P480" s="1">
        <v>45918</v>
      </c>
      <c r="Q480" s="1">
        <v>45948</v>
      </c>
      <c r="R480" s="2">
        <v>0.39861111111111114</v>
      </c>
      <c r="S480" s="2">
        <v>0.5131944444444444</v>
      </c>
      <c r="T480" t="str" cm="1">
        <f t="array" ref="T480">_xlfn.IFS(H480&gt;=90,"A",H480&gt;=75,"B",H480&gt;=60,"C",H480&lt;60,"D")</f>
        <v>A</v>
      </c>
      <c r="U480" t="str">
        <f t="shared" si="28"/>
        <v>09:34 AM</v>
      </c>
      <c r="V480" t="str">
        <f t="shared" si="29"/>
        <v>On Time</v>
      </c>
      <c r="W480" t="str">
        <f t="shared" si="30"/>
        <v>2 Hours 45 Minutes</v>
      </c>
      <c r="X480" t="str">
        <f t="shared" si="31"/>
        <v>Short Time Login</v>
      </c>
      <c r="AA480" s="34" t="s">
        <v>745</v>
      </c>
      <c r="AB480" s="34" t="s">
        <v>211</v>
      </c>
      <c r="AC480" s="34">
        <v>100</v>
      </c>
      <c r="AD480" s="34">
        <v>78</v>
      </c>
      <c r="AE480" s="34" t="s">
        <v>59</v>
      </c>
      <c r="AF480" s="34">
        <v>0</v>
      </c>
      <c r="AH480" s="34" t="s">
        <v>27</v>
      </c>
    </row>
    <row r="481" spans="1:34">
      <c r="A481" t="s">
        <v>746</v>
      </c>
      <c r="B481" t="s">
        <v>47</v>
      </c>
      <c r="C481">
        <v>21</v>
      </c>
      <c r="D481" t="s">
        <v>35</v>
      </c>
      <c r="E481" t="s">
        <v>122</v>
      </c>
      <c r="F481" t="s">
        <v>57</v>
      </c>
      <c r="G481" t="s">
        <v>58</v>
      </c>
      <c r="H481">
        <v>54</v>
      </c>
      <c r="I481">
        <v>68</v>
      </c>
      <c r="J481" t="s">
        <v>25</v>
      </c>
      <c r="K481">
        <v>10000</v>
      </c>
      <c r="L481">
        <v>6030</v>
      </c>
      <c r="M481">
        <v>4000</v>
      </c>
      <c r="N481" t="s">
        <v>26</v>
      </c>
      <c r="O481" t="s">
        <v>127</v>
      </c>
      <c r="P481" s="1">
        <v>45851</v>
      </c>
      <c r="Q481" s="1">
        <v>45941</v>
      </c>
      <c r="R481" s="2">
        <v>0.38958333333333334</v>
      </c>
      <c r="S481" s="2">
        <v>0.47222222222222221</v>
      </c>
      <c r="T481" t="str" cm="1">
        <f t="array" ref="T481">_xlfn.IFS(H481&gt;=90,"A",H481&gt;=75,"B",H481&gt;=60,"C",H481&lt;60,"D")</f>
        <v>D</v>
      </c>
      <c r="U481" t="str">
        <f t="shared" si="28"/>
        <v>09:21 AM</v>
      </c>
      <c r="V481" t="str">
        <f t="shared" si="29"/>
        <v>On Time</v>
      </c>
      <c r="W481" t="str">
        <f t="shared" si="30"/>
        <v>1 Hours 59 Minutes</v>
      </c>
      <c r="X481" t="str">
        <f t="shared" si="31"/>
        <v>Short Time Login</v>
      </c>
      <c r="AA481" s="35" t="s">
        <v>746</v>
      </c>
      <c r="AB481" s="35" t="s">
        <v>47</v>
      </c>
      <c r="AC481" s="35">
        <v>54</v>
      </c>
      <c r="AD481" s="35">
        <v>68</v>
      </c>
      <c r="AE481" s="35" t="s">
        <v>25</v>
      </c>
      <c r="AF481" s="35">
        <v>4000</v>
      </c>
      <c r="AH481" s="35" t="s">
        <v>127</v>
      </c>
    </row>
    <row r="482" spans="1:34">
      <c r="A482" t="s">
        <v>747</v>
      </c>
      <c r="B482" t="s">
        <v>630</v>
      </c>
      <c r="C482">
        <v>26</v>
      </c>
      <c r="D482" t="s">
        <v>21</v>
      </c>
      <c r="E482" t="s">
        <v>22</v>
      </c>
      <c r="F482" t="s">
        <v>63</v>
      </c>
      <c r="G482" t="s">
        <v>64</v>
      </c>
      <c r="H482">
        <v>89</v>
      </c>
      <c r="I482">
        <v>63</v>
      </c>
      <c r="J482" t="s">
        <v>45</v>
      </c>
      <c r="K482">
        <v>20000</v>
      </c>
      <c r="L482">
        <v>19830</v>
      </c>
      <c r="M482">
        <v>2000</v>
      </c>
      <c r="N482" t="s">
        <v>26</v>
      </c>
      <c r="O482" t="s">
        <v>27</v>
      </c>
      <c r="P482" s="1">
        <v>45853</v>
      </c>
      <c r="Q482" s="1">
        <v>45883</v>
      </c>
      <c r="R482" s="2">
        <v>0.39027777777777778</v>
      </c>
      <c r="S482" s="2">
        <v>0.55277777777777781</v>
      </c>
      <c r="T482" t="str" cm="1">
        <f t="array" ref="T482">_xlfn.IFS(H482&gt;=90,"A",H482&gt;=75,"B",H482&gt;=60,"C",H482&lt;60,"D")</f>
        <v>B</v>
      </c>
      <c r="U482" t="str">
        <f t="shared" si="28"/>
        <v>09:22 AM</v>
      </c>
      <c r="V482" t="str">
        <f t="shared" si="29"/>
        <v>On Time</v>
      </c>
      <c r="W482" t="str">
        <f t="shared" si="30"/>
        <v>3 Hours 54 Minutes</v>
      </c>
      <c r="X482" t="str">
        <f t="shared" si="31"/>
        <v>Short Time Login</v>
      </c>
      <c r="AA482" s="34" t="s">
        <v>747</v>
      </c>
      <c r="AB482" s="34" t="s">
        <v>630</v>
      </c>
      <c r="AC482" s="34">
        <v>89</v>
      </c>
      <c r="AD482" s="34">
        <v>63</v>
      </c>
      <c r="AE482" s="34" t="s">
        <v>45</v>
      </c>
      <c r="AF482" s="34">
        <v>2000</v>
      </c>
      <c r="AH482" s="34" t="s">
        <v>27</v>
      </c>
    </row>
    <row r="483" spans="1:34">
      <c r="A483" t="s">
        <v>748</v>
      </c>
      <c r="B483" t="s">
        <v>749</v>
      </c>
      <c r="C483">
        <v>28</v>
      </c>
      <c r="D483" t="s">
        <v>21</v>
      </c>
      <c r="E483" t="s">
        <v>67</v>
      </c>
      <c r="F483" t="s">
        <v>40</v>
      </c>
      <c r="G483" t="s">
        <v>41</v>
      </c>
      <c r="H483">
        <v>62</v>
      </c>
      <c r="I483">
        <v>62</v>
      </c>
      <c r="J483" t="s">
        <v>68</v>
      </c>
      <c r="K483">
        <v>18000</v>
      </c>
      <c r="L483">
        <v>19240</v>
      </c>
      <c r="M483">
        <v>2000</v>
      </c>
      <c r="N483" t="s">
        <v>26</v>
      </c>
      <c r="O483" t="s">
        <v>27</v>
      </c>
      <c r="P483" s="1">
        <v>45868</v>
      </c>
      <c r="Q483" s="1">
        <v>45988</v>
      </c>
      <c r="R483" s="2">
        <v>0.37777777777777777</v>
      </c>
      <c r="S483" s="2">
        <v>0.5180555555555556</v>
      </c>
      <c r="T483" t="str" cm="1">
        <f t="array" ref="T483">_xlfn.IFS(H483&gt;=90,"A",H483&gt;=75,"B",H483&gt;=60,"C",H483&lt;60,"D")</f>
        <v>C</v>
      </c>
      <c r="U483" t="str">
        <f t="shared" si="28"/>
        <v>09:04 AM</v>
      </c>
      <c r="V483" t="str">
        <f t="shared" si="29"/>
        <v>Delayed</v>
      </c>
      <c r="W483" t="str">
        <f t="shared" si="30"/>
        <v>3 Hours 22 Minutes</v>
      </c>
      <c r="X483" t="str">
        <f t="shared" si="31"/>
        <v>Short Time Login</v>
      </c>
      <c r="AA483" s="35" t="s">
        <v>748</v>
      </c>
      <c r="AB483" s="35" t="s">
        <v>749</v>
      </c>
      <c r="AC483" s="35">
        <v>62</v>
      </c>
      <c r="AD483" s="35">
        <v>62</v>
      </c>
      <c r="AE483" s="35" t="s">
        <v>68</v>
      </c>
      <c r="AF483" s="35">
        <v>2000</v>
      </c>
      <c r="AH483" s="35" t="s">
        <v>27</v>
      </c>
    </row>
    <row r="484" spans="1:34">
      <c r="A484" t="s">
        <v>750</v>
      </c>
      <c r="B484" t="s">
        <v>536</v>
      </c>
      <c r="C484">
        <v>22</v>
      </c>
      <c r="D484" t="s">
        <v>21</v>
      </c>
      <c r="E484" t="s">
        <v>48</v>
      </c>
      <c r="F484" t="s">
        <v>53</v>
      </c>
      <c r="G484" t="s">
        <v>54</v>
      </c>
      <c r="H484">
        <v>61</v>
      </c>
      <c r="I484">
        <v>79</v>
      </c>
      <c r="J484" t="s">
        <v>68</v>
      </c>
      <c r="K484">
        <v>10000</v>
      </c>
      <c r="L484">
        <v>6620</v>
      </c>
      <c r="M484">
        <v>4000</v>
      </c>
      <c r="N484" t="s">
        <v>26</v>
      </c>
      <c r="O484" t="s">
        <v>27</v>
      </c>
      <c r="P484" s="1">
        <v>45972</v>
      </c>
      <c r="Q484" s="1">
        <v>46032</v>
      </c>
      <c r="R484" s="2">
        <v>0.41875000000000001</v>
      </c>
      <c r="S484" s="2">
        <v>0.62361111111111112</v>
      </c>
      <c r="T484" t="str" cm="1">
        <f t="array" ref="T484">_xlfn.IFS(H484&gt;=90,"A",H484&gt;=75,"B",H484&gt;=60,"C",H484&lt;60,"D")</f>
        <v>C</v>
      </c>
      <c r="U484" t="str">
        <f t="shared" si="28"/>
        <v>10:03 AM</v>
      </c>
      <c r="V484" t="str">
        <f t="shared" si="29"/>
        <v>On Time</v>
      </c>
      <c r="W484" t="str">
        <f t="shared" si="30"/>
        <v>4 Hours 55 Minutes</v>
      </c>
      <c r="X484" t="str">
        <f t="shared" si="31"/>
        <v>Long Time Login</v>
      </c>
      <c r="AA484" s="34" t="s">
        <v>750</v>
      </c>
      <c r="AB484" s="34" t="s">
        <v>536</v>
      </c>
      <c r="AC484" s="34">
        <v>61</v>
      </c>
      <c r="AD484" s="34">
        <v>79</v>
      </c>
      <c r="AE484" s="34" t="s">
        <v>68</v>
      </c>
      <c r="AF484" s="34">
        <v>4000</v>
      </c>
      <c r="AH484" s="34" t="s">
        <v>27</v>
      </c>
    </row>
    <row r="485" spans="1:34">
      <c r="A485" t="s">
        <v>751</v>
      </c>
      <c r="B485" t="s">
        <v>70</v>
      </c>
      <c r="C485">
        <v>24</v>
      </c>
      <c r="D485" t="s">
        <v>35</v>
      </c>
      <c r="E485" t="s">
        <v>62</v>
      </c>
      <c r="F485" t="s">
        <v>53</v>
      </c>
      <c r="G485" t="s">
        <v>54</v>
      </c>
      <c r="H485">
        <v>82</v>
      </c>
      <c r="I485">
        <v>82</v>
      </c>
      <c r="J485" t="s">
        <v>45</v>
      </c>
      <c r="K485">
        <v>20000</v>
      </c>
      <c r="L485">
        <v>21830</v>
      </c>
      <c r="M485">
        <v>0</v>
      </c>
      <c r="N485" t="s">
        <v>11</v>
      </c>
      <c r="O485" t="s">
        <v>27</v>
      </c>
      <c r="P485" s="1">
        <v>45809</v>
      </c>
      <c r="Q485" s="1">
        <v>45989</v>
      </c>
      <c r="R485" s="2">
        <v>0.38194444444444442</v>
      </c>
      <c r="S485" s="2">
        <v>0.43333333333333335</v>
      </c>
      <c r="T485" t="str" cm="1">
        <f t="array" ref="T485">_xlfn.IFS(H485&gt;=90,"A",H485&gt;=75,"B",H485&gt;=60,"C",H485&lt;60,"D")</f>
        <v>B</v>
      </c>
      <c r="U485" t="str">
        <f t="shared" si="28"/>
        <v>09:10 AM</v>
      </c>
      <c r="V485" t="str">
        <f t="shared" si="29"/>
        <v>Delayed</v>
      </c>
      <c r="W485" t="str">
        <f t="shared" si="30"/>
        <v>1 Hours 14 Minutes</v>
      </c>
      <c r="X485" t="str">
        <f t="shared" si="31"/>
        <v>Short Time Login</v>
      </c>
      <c r="AA485" s="35" t="s">
        <v>751</v>
      </c>
      <c r="AB485" s="35" t="s">
        <v>70</v>
      </c>
      <c r="AC485" s="35">
        <v>82</v>
      </c>
      <c r="AD485" s="35">
        <v>82</v>
      </c>
      <c r="AE485" s="35" t="s">
        <v>45</v>
      </c>
      <c r="AF485" s="35">
        <v>0</v>
      </c>
      <c r="AH485" s="35" t="s">
        <v>27</v>
      </c>
    </row>
    <row r="486" spans="1:34">
      <c r="A486" t="s">
        <v>752</v>
      </c>
      <c r="B486" t="s">
        <v>150</v>
      </c>
      <c r="C486">
        <v>22</v>
      </c>
      <c r="D486" t="s">
        <v>21</v>
      </c>
      <c r="E486" t="s">
        <v>62</v>
      </c>
      <c r="F486" t="s">
        <v>23</v>
      </c>
      <c r="G486" t="s">
        <v>24</v>
      </c>
      <c r="H486">
        <v>51</v>
      </c>
      <c r="I486">
        <v>93</v>
      </c>
      <c r="J486" t="s">
        <v>25</v>
      </c>
      <c r="K486">
        <v>18000</v>
      </c>
      <c r="L486">
        <v>21240</v>
      </c>
      <c r="M486">
        <v>0</v>
      </c>
      <c r="N486" t="s">
        <v>11</v>
      </c>
      <c r="O486" t="s">
        <v>27</v>
      </c>
      <c r="P486" s="1">
        <v>45930</v>
      </c>
      <c r="Q486" s="1">
        <v>46110</v>
      </c>
      <c r="R486" s="2">
        <v>0.35138888888888886</v>
      </c>
      <c r="S486" s="2">
        <v>0.53194444444444444</v>
      </c>
      <c r="T486" t="str" cm="1">
        <f t="array" ref="T486">_xlfn.IFS(H486&gt;=90,"A",H486&gt;=75,"B",H486&gt;=60,"C",H486&lt;60,"D")</f>
        <v>D</v>
      </c>
      <c r="U486" t="str">
        <f t="shared" si="28"/>
        <v>08:26 AM</v>
      </c>
      <c r="V486" t="str">
        <f t="shared" si="29"/>
        <v>Delayed</v>
      </c>
      <c r="W486" t="str">
        <f t="shared" si="30"/>
        <v>4 Hours 20 Minutes</v>
      </c>
      <c r="X486" t="str">
        <f t="shared" si="31"/>
        <v>Short Time Login</v>
      </c>
      <c r="AA486" s="34" t="s">
        <v>752</v>
      </c>
      <c r="AB486" s="34" t="s">
        <v>150</v>
      </c>
      <c r="AC486" s="34">
        <v>51</v>
      </c>
      <c r="AD486" s="34">
        <v>93</v>
      </c>
      <c r="AE486" s="34" t="s">
        <v>25</v>
      </c>
      <c r="AF486" s="34">
        <v>0</v>
      </c>
      <c r="AH486" s="34" t="s">
        <v>27</v>
      </c>
    </row>
    <row r="487" spans="1:34">
      <c r="A487" t="s">
        <v>753</v>
      </c>
      <c r="B487" t="s">
        <v>664</v>
      </c>
      <c r="C487">
        <v>22</v>
      </c>
      <c r="D487" t="s">
        <v>35</v>
      </c>
      <c r="E487" t="s">
        <v>30</v>
      </c>
      <c r="F487" t="s">
        <v>88</v>
      </c>
      <c r="G487" t="s">
        <v>89</v>
      </c>
      <c r="H487">
        <v>73</v>
      </c>
      <c r="I487">
        <v>95</v>
      </c>
      <c r="J487" t="s">
        <v>68</v>
      </c>
      <c r="K487">
        <v>18000</v>
      </c>
      <c r="L487">
        <v>18060</v>
      </c>
      <c r="M487">
        <v>2000</v>
      </c>
      <c r="N487" t="s">
        <v>26</v>
      </c>
      <c r="O487" t="s">
        <v>27</v>
      </c>
      <c r="P487" s="1">
        <v>45673</v>
      </c>
      <c r="Q487" s="1">
        <v>45703</v>
      </c>
      <c r="R487" s="2">
        <v>0.34513888888888888</v>
      </c>
      <c r="S487" s="2">
        <v>0.48680555555555555</v>
      </c>
      <c r="T487" t="str" cm="1">
        <f t="array" ref="T487">_xlfn.IFS(H487&gt;=90,"A",H487&gt;=75,"B",H487&gt;=60,"C",H487&lt;60,"D")</f>
        <v>C</v>
      </c>
      <c r="U487" t="str">
        <f t="shared" si="28"/>
        <v>08:17 AM</v>
      </c>
      <c r="V487" t="str">
        <f t="shared" si="29"/>
        <v>On Time</v>
      </c>
      <c r="W487" t="str">
        <f t="shared" si="30"/>
        <v>3 Hours 24 Minutes</v>
      </c>
      <c r="X487" t="str">
        <f t="shared" si="31"/>
        <v>Short Time Login</v>
      </c>
      <c r="AA487" s="35" t="s">
        <v>753</v>
      </c>
      <c r="AB487" s="35" t="s">
        <v>664</v>
      </c>
      <c r="AC487" s="35">
        <v>73</v>
      </c>
      <c r="AD487" s="35">
        <v>95</v>
      </c>
      <c r="AE487" s="35" t="s">
        <v>68</v>
      </c>
      <c r="AF487" s="35">
        <v>2000</v>
      </c>
      <c r="AH487" s="35" t="s">
        <v>27</v>
      </c>
    </row>
    <row r="488" spans="1:34">
      <c r="A488" t="s">
        <v>754</v>
      </c>
      <c r="B488" t="s">
        <v>327</v>
      </c>
      <c r="C488">
        <v>24</v>
      </c>
      <c r="D488" t="s">
        <v>35</v>
      </c>
      <c r="E488" t="s">
        <v>36</v>
      </c>
      <c r="F488" t="s">
        <v>63</v>
      </c>
      <c r="G488" t="s">
        <v>64</v>
      </c>
      <c r="H488">
        <v>68</v>
      </c>
      <c r="I488">
        <v>73</v>
      </c>
      <c r="J488" t="s">
        <v>68</v>
      </c>
      <c r="K488">
        <v>18000</v>
      </c>
      <c r="L488">
        <v>19240</v>
      </c>
      <c r="M488">
        <v>2000</v>
      </c>
      <c r="N488" t="s">
        <v>26</v>
      </c>
      <c r="O488" t="s">
        <v>27</v>
      </c>
      <c r="P488" s="1">
        <v>45964</v>
      </c>
      <c r="Q488" s="1">
        <v>46024</v>
      </c>
      <c r="R488" s="2">
        <v>0.45</v>
      </c>
      <c r="S488" s="2">
        <v>0.63194444444444442</v>
      </c>
      <c r="T488" t="str" cm="1">
        <f t="array" ref="T488">_xlfn.IFS(H488&gt;=90,"A",H488&gt;=75,"B",H488&gt;=60,"C",H488&lt;60,"D")</f>
        <v>C</v>
      </c>
      <c r="U488" t="str">
        <f t="shared" si="28"/>
        <v>10:48 AM</v>
      </c>
      <c r="V488" t="str">
        <f t="shared" si="29"/>
        <v>On Time</v>
      </c>
      <c r="W488" t="str">
        <f t="shared" si="30"/>
        <v>4 Hours 22 Minutes</v>
      </c>
      <c r="X488" t="str">
        <f t="shared" si="31"/>
        <v>Long Time Login</v>
      </c>
      <c r="AA488" s="34" t="s">
        <v>754</v>
      </c>
      <c r="AB488" s="34" t="s">
        <v>327</v>
      </c>
      <c r="AC488" s="34">
        <v>68</v>
      </c>
      <c r="AD488" s="34">
        <v>73</v>
      </c>
      <c r="AE488" s="34" t="s">
        <v>68</v>
      </c>
      <c r="AF488" s="34">
        <v>2000</v>
      </c>
      <c r="AH488" s="34" t="s">
        <v>27</v>
      </c>
    </row>
    <row r="489" spans="1:34">
      <c r="A489" t="s">
        <v>755</v>
      </c>
      <c r="B489" t="s">
        <v>220</v>
      </c>
      <c r="C489">
        <v>20</v>
      </c>
      <c r="D489" t="s">
        <v>21</v>
      </c>
      <c r="E489" t="s">
        <v>44</v>
      </c>
      <c r="F489" t="s">
        <v>57</v>
      </c>
      <c r="G489" t="s">
        <v>58</v>
      </c>
      <c r="H489">
        <v>79</v>
      </c>
      <c r="I489">
        <v>74</v>
      </c>
      <c r="J489" t="s">
        <v>45</v>
      </c>
      <c r="K489">
        <v>20000</v>
      </c>
      <c r="L489">
        <v>19600</v>
      </c>
      <c r="M489">
        <v>4000</v>
      </c>
      <c r="N489" t="s">
        <v>26</v>
      </c>
      <c r="O489" t="s">
        <v>27</v>
      </c>
      <c r="P489" s="1">
        <v>45682</v>
      </c>
      <c r="Q489" s="1">
        <v>45712</v>
      </c>
      <c r="R489" s="2">
        <v>0.33333333333333331</v>
      </c>
      <c r="S489" s="2">
        <v>0.5180555555555556</v>
      </c>
      <c r="T489" t="str" cm="1">
        <f t="array" ref="T489">_xlfn.IFS(H489&gt;=90,"A",H489&gt;=75,"B",H489&gt;=60,"C",H489&lt;60,"D")</f>
        <v>B</v>
      </c>
      <c r="U489" t="str">
        <f t="shared" si="28"/>
        <v>08:00 AM</v>
      </c>
      <c r="V489" t="str">
        <f t="shared" si="29"/>
        <v>On Time</v>
      </c>
      <c r="W489" t="str">
        <f t="shared" si="30"/>
        <v>4 Hours 26 Minutes</v>
      </c>
      <c r="X489" t="str">
        <f t="shared" si="31"/>
        <v>Short Time Login</v>
      </c>
      <c r="AA489" s="35" t="s">
        <v>755</v>
      </c>
      <c r="AB489" s="35" t="s">
        <v>220</v>
      </c>
      <c r="AC489" s="35">
        <v>79</v>
      </c>
      <c r="AD489" s="35">
        <v>74</v>
      </c>
      <c r="AE489" s="35" t="s">
        <v>45</v>
      </c>
      <c r="AF489" s="35">
        <v>4000</v>
      </c>
      <c r="AH489" s="35" t="s">
        <v>27</v>
      </c>
    </row>
    <row r="490" spans="1:34">
      <c r="A490" t="s">
        <v>756</v>
      </c>
      <c r="B490" t="s">
        <v>757</v>
      </c>
      <c r="C490">
        <v>25</v>
      </c>
      <c r="D490" t="s">
        <v>35</v>
      </c>
      <c r="E490" t="s">
        <v>36</v>
      </c>
      <c r="F490" t="s">
        <v>53</v>
      </c>
      <c r="G490" t="s">
        <v>54</v>
      </c>
      <c r="H490">
        <v>91</v>
      </c>
      <c r="I490">
        <v>74</v>
      </c>
      <c r="J490" t="s">
        <v>59</v>
      </c>
      <c r="K490">
        <v>15000</v>
      </c>
      <c r="L490">
        <v>16520</v>
      </c>
      <c r="M490">
        <v>0</v>
      </c>
      <c r="N490" t="s">
        <v>11</v>
      </c>
      <c r="O490" t="s">
        <v>27</v>
      </c>
      <c r="P490" s="1">
        <v>45734</v>
      </c>
      <c r="Q490" s="1">
        <v>45824</v>
      </c>
      <c r="R490" s="2">
        <v>0.33680555555555558</v>
      </c>
      <c r="S490" s="2">
        <v>0.53263888888888888</v>
      </c>
      <c r="T490" t="str" cm="1">
        <f t="array" ref="T490">_xlfn.IFS(H490&gt;=90,"A",H490&gt;=75,"B",H490&gt;=60,"C",H490&lt;60,"D")</f>
        <v>A</v>
      </c>
      <c r="U490" t="str">
        <f t="shared" si="28"/>
        <v>08:05 AM</v>
      </c>
      <c r="V490" t="str">
        <f t="shared" si="29"/>
        <v>On Time</v>
      </c>
      <c r="W490" t="str">
        <f t="shared" si="30"/>
        <v>4 Hours 42 Minutes</v>
      </c>
      <c r="X490" t="str">
        <f t="shared" si="31"/>
        <v>Short Time Login</v>
      </c>
      <c r="AA490" s="34" t="s">
        <v>756</v>
      </c>
      <c r="AB490" s="34" t="s">
        <v>757</v>
      </c>
      <c r="AC490" s="34">
        <v>91</v>
      </c>
      <c r="AD490" s="34">
        <v>74</v>
      </c>
      <c r="AE490" s="34" t="s">
        <v>59</v>
      </c>
      <c r="AF490" s="34">
        <v>0</v>
      </c>
      <c r="AH490" s="34" t="s">
        <v>27</v>
      </c>
    </row>
    <row r="491" spans="1:34">
      <c r="A491" t="s">
        <v>758</v>
      </c>
      <c r="B491" t="s">
        <v>759</v>
      </c>
      <c r="C491">
        <v>22</v>
      </c>
      <c r="D491" t="s">
        <v>35</v>
      </c>
      <c r="E491" t="s">
        <v>39</v>
      </c>
      <c r="F491" t="s">
        <v>49</v>
      </c>
      <c r="G491" t="s">
        <v>50</v>
      </c>
      <c r="H491">
        <v>80</v>
      </c>
      <c r="I491">
        <v>89</v>
      </c>
      <c r="J491" t="s">
        <v>45</v>
      </c>
      <c r="K491">
        <v>12000</v>
      </c>
      <c r="L491">
        <v>8980</v>
      </c>
      <c r="M491">
        <v>4000</v>
      </c>
      <c r="N491" t="s">
        <v>26</v>
      </c>
      <c r="O491" t="s">
        <v>27</v>
      </c>
      <c r="P491" s="1">
        <v>45807</v>
      </c>
      <c r="Q491" s="1">
        <v>45927</v>
      </c>
      <c r="R491" s="2">
        <v>0.38263888888888886</v>
      </c>
      <c r="S491" s="2">
        <v>0.58888888888888891</v>
      </c>
      <c r="T491" t="str" cm="1">
        <f t="array" ref="T491">_xlfn.IFS(H491&gt;=90,"A",H491&gt;=75,"B",H491&gt;=60,"C",H491&lt;60,"D")</f>
        <v>B</v>
      </c>
      <c r="U491" t="str">
        <f t="shared" si="28"/>
        <v>09:11 AM</v>
      </c>
      <c r="V491" t="str">
        <f t="shared" si="29"/>
        <v>Delayed</v>
      </c>
      <c r="W491" t="str">
        <f t="shared" si="30"/>
        <v>4 Hours 57 Minutes</v>
      </c>
      <c r="X491" t="str">
        <f t="shared" si="31"/>
        <v>Short Time Login</v>
      </c>
      <c r="AA491" s="35" t="s">
        <v>758</v>
      </c>
      <c r="AB491" s="35" t="s">
        <v>759</v>
      </c>
      <c r="AC491" s="35">
        <v>80</v>
      </c>
      <c r="AD491" s="35">
        <v>89</v>
      </c>
      <c r="AE491" s="35" t="s">
        <v>45</v>
      </c>
      <c r="AF491" s="35">
        <v>4000</v>
      </c>
      <c r="AH491" s="35" t="s">
        <v>27</v>
      </c>
    </row>
    <row r="492" spans="1:34">
      <c r="A492" t="s">
        <v>760</v>
      </c>
      <c r="B492" t="s">
        <v>146</v>
      </c>
      <c r="C492">
        <v>18</v>
      </c>
      <c r="D492" t="s">
        <v>21</v>
      </c>
      <c r="E492" t="s">
        <v>39</v>
      </c>
      <c r="F492" t="s">
        <v>31</v>
      </c>
      <c r="G492" t="s">
        <v>32</v>
      </c>
      <c r="H492">
        <v>51</v>
      </c>
      <c r="I492">
        <v>71</v>
      </c>
      <c r="J492" t="s">
        <v>25</v>
      </c>
      <c r="K492">
        <v>20000</v>
      </c>
      <c r="L492">
        <v>23600</v>
      </c>
      <c r="M492">
        <v>0</v>
      </c>
      <c r="N492" t="s">
        <v>11</v>
      </c>
      <c r="O492" t="s">
        <v>27</v>
      </c>
      <c r="P492" s="1">
        <v>45866</v>
      </c>
      <c r="Q492" s="1">
        <v>45956</v>
      </c>
      <c r="R492" s="2">
        <v>0.34722222222222221</v>
      </c>
      <c r="S492" s="2">
        <v>0.4548611111111111</v>
      </c>
      <c r="T492" t="str" cm="1">
        <f t="array" ref="T492">_xlfn.IFS(H492&gt;=90,"A",H492&gt;=75,"B",H492&gt;=60,"C",H492&lt;60,"D")</f>
        <v>D</v>
      </c>
      <c r="U492" t="str">
        <f t="shared" si="28"/>
        <v>08:20 AM</v>
      </c>
      <c r="V492" t="str">
        <f t="shared" si="29"/>
        <v>On Time</v>
      </c>
      <c r="W492" t="str">
        <f t="shared" si="30"/>
        <v>2 Hours 35 Minutes</v>
      </c>
      <c r="X492" t="str">
        <f t="shared" si="31"/>
        <v>Short Time Login</v>
      </c>
      <c r="AA492" s="34" t="s">
        <v>760</v>
      </c>
      <c r="AB492" s="34" t="s">
        <v>146</v>
      </c>
      <c r="AC492" s="34">
        <v>51</v>
      </c>
      <c r="AD492" s="34">
        <v>71</v>
      </c>
      <c r="AE492" s="34" t="s">
        <v>25</v>
      </c>
      <c r="AF492" s="34">
        <v>0</v>
      </c>
      <c r="AH492" s="34" t="s">
        <v>27</v>
      </c>
    </row>
    <row r="493" spans="1:34">
      <c r="A493" t="s">
        <v>761</v>
      </c>
      <c r="B493" t="s">
        <v>343</v>
      </c>
      <c r="C493">
        <v>20</v>
      </c>
      <c r="D493" t="s">
        <v>35</v>
      </c>
      <c r="E493" t="s">
        <v>44</v>
      </c>
      <c r="F493" t="s">
        <v>23</v>
      </c>
      <c r="G493" t="s">
        <v>24</v>
      </c>
      <c r="H493">
        <v>41</v>
      </c>
      <c r="I493">
        <v>92</v>
      </c>
      <c r="J493" t="s">
        <v>25</v>
      </c>
      <c r="K493">
        <v>15000</v>
      </c>
      <c r="L493">
        <v>17700</v>
      </c>
      <c r="M493">
        <v>0</v>
      </c>
      <c r="N493" t="s">
        <v>11</v>
      </c>
      <c r="O493" t="s">
        <v>27</v>
      </c>
      <c r="P493" s="1">
        <v>45715</v>
      </c>
      <c r="Q493" s="1">
        <v>45895</v>
      </c>
      <c r="R493" s="2">
        <v>0.39791666666666664</v>
      </c>
      <c r="S493" s="2">
        <v>0.53541666666666665</v>
      </c>
      <c r="T493" t="str" cm="1">
        <f t="array" ref="T493">_xlfn.IFS(H493&gt;=90,"A",H493&gt;=75,"B",H493&gt;=60,"C",H493&lt;60,"D")</f>
        <v>D</v>
      </c>
      <c r="U493" t="str">
        <f t="shared" si="28"/>
        <v>09:33 AM</v>
      </c>
      <c r="V493" t="str">
        <f t="shared" si="29"/>
        <v>Delayed</v>
      </c>
      <c r="W493" t="str">
        <f t="shared" si="30"/>
        <v>3 Hours 18 Minutes</v>
      </c>
      <c r="X493" t="str">
        <f t="shared" si="31"/>
        <v>Short Time Login</v>
      </c>
      <c r="AA493" s="35" t="s">
        <v>761</v>
      </c>
      <c r="AB493" s="35" t="s">
        <v>343</v>
      </c>
      <c r="AC493" s="35">
        <v>41</v>
      </c>
      <c r="AD493" s="35">
        <v>92</v>
      </c>
      <c r="AE493" s="35" t="s">
        <v>25</v>
      </c>
      <c r="AF493" s="35">
        <v>0</v>
      </c>
      <c r="AH493" s="35" t="s">
        <v>27</v>
      </c>
    </row>
    <row r="494" spans="1:34">
      <c r="A494" t="s">
        <v>762</v>
      </c>
      <c r="B494" t="s">
        <v>75</v>
      </c>
      <c r="C494">
        <v>24</v>
      </c>
      <c r="D494" t="s">
        <v>35</v>
      </c>
      <c r="E494" t="s">
        <v>67</v>
      </c>
      <c r="F494" t="s">
        <v>57</v>
      </c>
      <c r="G494" t="s">
        <v>58</v>
      </c>
      <c r="H494">
        <v>51</v>
      </c>
      <c r="I494">
        <v>91</v>
      </c>
      <c r="J494" t="s">
        <v>25</v>
      </c>
      <c r="K494">
        <v>20000</v>
      </c>
      <c r="L494">
        <v>23010</v>
      </c>
      <c r="M494">
        <v>0</v>
      </c>
      <c r="N494" t="s">
        <v>11</v>
      </c>
      <c r="O494" t="s">
        <v>27</v>
      </c>
      <c r="P494" s="1">
        <v>45709</v>
      </c>
      <c r="Q494" s="1">
        <v>45799</v>
      </c>
      <c r="R494" s="2">
        <v>0.40069444444444446</v>
      </c>
      <c r="S494" s="2">
        <v>0.53194444444444444</v>
      </c>
      <c r="T494" t="str" cm="1">
        <f t="array" ref="T494">_xlfn.IFS(H494&gt;=90,"A",H494&gt;=75,"B",H494&gt;=60,"C",H494&lt;60,"D")</f>
        <v>D</v>
      </c>
      <c r="U494" t="str">
        <f t="shared" si="28"/>
        <v>09:37 AM</v>
      </c>
      <c r="V494" t="str">
        <f t="shared" si="29"/>
        <v>On Time</v>
      </c>
      <c r="W494" t="str">
        <f t="shared" si="30"/>
        <v>3 Hours 9 Minutes</v>
      </c>
      <c r="X494" t="str">
        <f t="shared" si="31"/>
        <v>Short Time Login</v>
      </c>
      <c r="AA494" s="34" t="s">
        <v>762</v>
      </c>
      <c r="AB494" s="34" t="s">
        <v>75</v>
      </c>
      <c r="AC494" s="34">
        <v>51</v>
      </c>
      <c r="AD494" s="34">
        <v>91</v>
      </c>
      <c r="AE494" s="34" t="s">
        <v>25</v>
      </c>
      <c r="AF494" s="34">
        <v>0</v>
      </c>
      <c r="AH494" s="34" t="s">
        <v>27</v>
      </c>
    </row>
    <row r="495" spans="1:34">
      <c r="A495" t="s">
        <v>763</v>
      </c>
      <c r="B495" t="s">
        <v>276</v>
      </c>
      <c r="C495">
        <v>26</v>
      </c>
      <c r="D495" t="s">
        <v>21</v>
      </c>
      <c r="E495" t="s">
        <v>67</v>
      </c>
      <c r="F495" t="s">
        <v>53</v>
      </c>
      <c r="G495" t="s">
        <v>54</v>
      </c>
      <c r="H495">
        <v>63</v>
      </c>
      <c r="I495">
        <v>89</v>
      </c>
      <c r="J495" t="s">
        <v>68</v>
      </c>
      <c r="K495">
        <v>18000</v>
      </c>
      <c r="L495">
        <v>18060</v>
      </c>
      <c r="M495">
        <v>2000</v>
      </c>
      <c r="N495" t="s">
        <v>26</v>
      </c>
      <c r="O495" t="s">
        <v>27</v>
      </c>
      <c r="P495" s="1">
        <v>45870</v>
      </c>
      <c r="Q495" s="1">
        <v>45930</v>
      </c>
      <c r="R495" s="2">
        <v>0.36944444444444446</v>
      </c>
      <c r="S495" s="2">
        <v>0.4777777777777778</v>
      </c>
      <c r="T495" t="str" cm="1">
        <f t="array" ref="T495">_xlfn.IFS(H495&gt;=90,"A",H495&gt;=75,"B",H495&gt;=60,"C",H495&lt;60,"D")</f>
        <v>C</v>
      </c>
      <c r="U495" t="str">
        <f t="shared" si="28"/>
        <v>08:52 AM</v>
      </c>
      <c r="V495" t="str">
        <f t="shared" si="29"/>
        <v>On Time</v>
      </c>
      <c r="W495" t="str">
        <f t="shared" si="30"/>
        <v>2 Hours 36 Minutes</v>
      </c>
      <c r="X495" t="str">
        <f t="shared" si="31"/>
        <v>Short Time Login</v>
      </c>
      <c r="AA495" s="35" t="s">
        <v>763</v>
      </c>
      <c r="AB495" s="35" t="s">
        <v>276</v>
      </c>
      <c r="AC495" s="35">
        <v>63</v>
      </c>
      <c r="AD495" s="35">
        <v>89</v>
      </c>
      <c r="AE495" s="35" t="s">
        <v>68</v>
      </c>
      <c r="AF495" s="35">
        <v>2000</v>
      </c>
      <c r="AH495" s="35" t="s">
        <v>27</v>
      </c>
    </row>
    <row r="496" spans="1:34">
      <c r="A496" t="s">
        <v>764</v>
      </c>
      <c r="B496" t="s">
        <v>353</v>
      </c>
      <c r="C496">
        <v>19</v>
      </c>
      <c r="D496" t="s">
        <v>35</v>
      </c>
      <c r="E496" t="s">
        <v>36</v>
      </c>
      <c r="F496" t="s">
        <v>31</v>
      </c>
      <c r="G496" t="s">
        <v>32</v>
      </c>
      <c r="H496">
        <v>74</v>
      </c>
      <c r="I496">
        <v>97</v>
      </c>
      <c r="J496" t="s">
        <v>68</v>
      </c>
      <c r="K496">
        <v>15000</v>
      </c>
      <c r="L496">
        <v>15110</v>
      </c>
      <c r="M496">
        <v>2000</v>
      </c>
      <c r="N496" t="s">
        <v>26</v>
      </c>
      <c r="O496" t="s">
        <v>27</v>
      </c>
      <c r="P496" s="1">
        <v>45947</v>
      </c>
      <c r="Q496" s="1">
        <v>45977</v>
      </c>
      <c r="R496" s="2">
        <v>0.39861111111111114</v>
      </c>
      <c r="S496" s="2">
        <v>0.53333333333333333</v>
      </c>
      <c r="T496" t="str" cm="1">
        <f t="array" ref="T496">_xlfn.IFS(H496&gt;=90,"A",H496&gt;=75,"B",H496&gt;=60,"C",H496&lt;60,"D")</f>
        <v>C</v>
      </c>
      <c r="U496" t="str">
        <f t="shared" si="28"/>
        <v>09:34 AM</v>
      </c>
      <c r="V496" t="str">
        <f t="shared" si="29"/>
        <v>On Time</v>
      </c>
      <c r="W496" t="str">
        <f t="shared" si="30"/>
        <v>3 Hours 14 Minutes</v>
      </c>
      <c r="X496" t="str">
        <f t="shared" si="31"/>
        <v>Short Time Login</v>
      </c>
      <c r="AA496" s="34" t="s">
        <v>764</v>
      </c>
      <c r="AB496" s="34" t="s">
        <v>353</v>
      </c>
      <c r="AC496" s="34">
        <v>74</v>
      </c>
      <c r="AD496" s="34">
        <v>97</v>
      </c>
      <c r="AE496" s="34" t="s">
        <v>68</v>
      </c>
      <c r="AF496" s="34">
        <v>2000</v>
      </c>
      <c r="AH496" s="34" t="s">
        <v>27</v>
      </c>
    </row>
    <row r="497" spans="1:34">
      <c r="A497" t="s">
        <v>765</v>
      </c>
      <c r="B497" t="s">
        <v>766</v>
      </c>
      <c r="C497">
        <v>22</v>
      </c>
      <c r="D497" t="s">
        <v>35</v>
      </c>
      <c r="E497" t="s">
        <v>39</v>
      </c>
      <c r="F497" t="s">
        <v>40</v>
      </c>
      <c r="G497" t="s">
        <v>41</v>
      </c>
      <c r="H497">
        <v>96</v>
      </c>
      <c r="I497">
        <v>91</v>
      </c>
      <c r="J497" t="s">
        <v>59</v>
      </c>
      <c r="K497">
        <v>15000</v>
      </c>
      <c r="L497">
        <v>15930</v>
      </c>
      <c r="M497">
        <v>0</v>
      </c>
      <c r="N497" t="s">
        <v>11</v>
      </c>
      <c r="O497" t="s">
        <v>27</v>
      </c>
      <c r="P497" s="1">
        <v>45788</v>
      </c>
      <c r="Q497" s="1">
        <v>45818</v>
      </c>
      <c r="R497" s="2">
        <v>0.36041666666666666</v>
      </c>
      <c r="S497" s="2">
        <v>0.4152777777777778</v>
      </c>
      <c r="T497" t="str" cm="1">
        <f t="array" ref="T497">_xlfn.IFS(H497&gt;=90,"A",H497&gt;=75,"B",H497&gt;=60,"C",H497&lt;60,"D")</f>
        <v>A</v>
      </c>
      <c r="U497" t="str">
        <f t="shared" si="28"/>
        <v>08:39 AM</v>
      </c>
      <c r="V497" t="str">
        <f t="shared" si="29"/>
        <v>On Time</v>
      </c>
      <c r="W497" t="str">
        <f t="shared" si="30"/>
        <v>1 Hours 19 Minutes</v>
      </c>
      <c r="X497" t="str">
        <f t="shared" si="31"/>
        <v>Short Time Login</v>
      </c>
      <c r="AA497" s="35" t="s">
        <v>765</v>
      </c>
      <c r="AB497" s="35" t="s">
        <v>766</v>
      </c>
      <c r="AC497" s="35">
        <v>96</v>
      </c>
      <c r="AD497" s="35">
        <v>91</v>
      </c>
      <c r="AE497" s="35" t="s">
        <v>59</v>
      </c>
      <c r="AF497" s="35">
        <v>0</v>
      </c>
      <c r="AH497" s="35" t="s">
        <v>27</v>
      </c>
    </row>
    <row r="498" spans="1:34">
      <c r="A498" t="s">
        <v>767</v>
      </c>
      <c r="B498" t="s">
        <v>408</v>
      </c>
      <c r="C498">
        <v>20</v>
      </c>
      <c r="D498" t="s">
        <v>21</v>
      </c>
      <c r="E498" t="s">
        <v>122</v>
      </c>
      <c r="F498" t="s">
        <v>53</v>
      </c>
      <c r="G498" t="s">
        <v>54</v>
      </c>
      <c r="H498">
        <v>99</v>
      </c>
      <c r="I498">
        <v>99</v>
      </c>
      <c r="J498" t="s">
        <v>59</v>
      </c>
      <c r="K498">
        <v>15000</v>
      </c>
      <c r="L498">
        <v>11930</v>
      </c>
      <c r="M498">
        <v>4000</v>
      </c>
      <c r="N498" t="s">
        <v>26</v>
      </c>
      <c r="O498" t="s">
        <v>27</v>
      </c>
      <c r="P498" s="1">
        <v>45877</v>
      </c>
      <c r="Q498" s="1">
        <v>45907</v>
      </c>
      <c r="R498" s="2">
        <v>0.42638888888888887</v>
      </c>
      <c r="S498" s="2">
        <v>0.49722222222222223</v>
      </c>
      <c r="T498" t="str" cm="1">
        <f t="array" ref="T498">_xlfn.IFS(H498&gt;=90,"A",H498&gt;=75,"B",H498&gt;=60,"C",H498&lt;60,"D")</f>
        <v>A</v>
      </c>
      <c r="U498" t="str">
        <f t="shared" si="28"/>
        <v>10:14 AM</v>
      </c>
      <c r="V498" t="str">
        <f t="shared" si="29"/>
        <v>On Time</v>
      </c>
      <c r="W498" t="str">
        <f t="shared" si="30"/>
        <v>1 Hours 42 Minutes</v>
      </c>
      <c r="X498" t="str">
        <f t="shared" si="31"/>
        <v>Long Time Login</v>
      </c>
      <c r="AA498" s="34" t="s">
        <v>767</v>
      </c>
      <c r="AB498" s="34" t="s">
        <v>408</v>
      </c>
      <c r="AC498" s="34">
        <v>99</v>
      </c>
      <c r="AD498" s="34">
        <v>99</v>
      </c>
      <c r="AE498" s="34" t="s">
        <v>59</v>
      </c>
      <c r="AF498" s="34">
        <v>4000</v>
      </c>
      <c r="AH498" s="34" t="s">
        <v>27</v>
      </c>
    </row>
    <row r="499" spans="1:34">
      <c r="A499" t="s">
        <v>768</v>
      </c>
      <c r="B499" t="s">
        <v>386</v>
      </c>
      <c r="C499">
        <v>27</v>
      </c>
      <c r="D499" t="s">
        <v>21</v>
      </c>
      <c r="E499" t="s">
        <v>113</v>
      </c>
      <c r="F499" t="s">
        <v>31</v>
      </c>
      <c r="G499" t="s">
        <v>32</v>
      </c>
      <c r="H499">
        <v>90</v>
      </c>
      <c r="I499">
        <v>74</v>
      </c>
      <c r="J499" t="s">
        <v>59</v>
      </c>
      <c r="K499">
        <v>15000</v>
      </c>
      <c r="L499">
        <v>12520</v>
      </c>
      <c r="M499">
        <v>4000</v>
      </c>
      <c r="N499" t="s">
        <v>26</v>
      </c>
      <c r="O499" t="s">
        <v>27</v>
      </c>
      <c r="P499" s="1">
        <v>45851</v>
      </c>
      <c r="Q499" s="1">
        <v>45911</v>
      </c>
      <c r="R499" s="2">
        <v>0.44374999999999998</v>
      </c>
      <c r="S499" s="2">
        <v>0.62916666666666665</v>
      </c>
      <c r="T499" t="str" cm="1">
        <f t="array" ref="T499">_xlfn.IFS(H499&gt;=90,"A",H499&gt;=75,"B",H499&gt;=60,"C",H499&lt;60,"D")</f>
        <v>A</v>
      </c>
      <c r="U499" t="str">
        <f t="shared" si="28"/>
        <v>10:39 AM</v>
      </c>
      <c r="V499" t="str">
        <f t="shared" si="29"/>
        <v>On Time</v>
      </c>
      <c r="W499" t="str">
        <f t="shared" si="30"/>
        <v>4 Hours 27 Minutes</v>
      </c>
      <c r="X499" t="str">
        <f t="shared" si="31"/>
        <v>Long Time Login</v>
      </c>
      <c r="AA499" s="35" t="s">
        <v>768</v>
      </c>
      <c r="AB499" s="35" t="s">
        <v>386</v>
      </c>
      <c r="AC499" s="35">
        <v>90</v>
      </c>
      <c r="AD499" s="35">
        <v>74</v>
      </c>
      <c r="AE499" s="35" t="s">
        <v>59</v>
      </c>
      <c r="AF499" s="35">
        <v>4000</v>
      </c>
      <c r="AH499" s="35" t="s">
        <v>27</v>
      </c>
    </row>
    <row r="500" spans="1:34">
      <c r="A500" t="s">
        <v>769</v>
      </c>
      <c r="B500" t="s">
        <v>770</v>
      </c>
      <c r="C500">
        <v>18</v>
      </c>
      <c r="D500" t="s">
        <v>35</v>
      </c>
      <c r="E500" t="s">
        <v>22</v>
      </c>
      <c r="F500" t="s">
        <v>49</v>
      </c>
      <c r="G500" t="s">
        <v>50</v>
      </c>
      <c r="H500">
        <v>46</v>
      </c>
      <c r="I500">
        <v>95</v>
      </c>
      <c r="J500" t="s">
        <v>25</v>
      </c>
      <c r="K500">
        <v>20000</v>
      </c>
      <c r="L500">
        <v>21600</v>
      </c>
      <c r="M500">
        <v>2000</v>
      </c>
      <c r="N500" t="s">
        <v>26</v>
      </c>
      <c r="O500" t="s">
        <v>27</v>
      </c>
      <c r="P500" s="1">
        <v>45988</v>
      </c>
      <c r="Q500" s="1">
        <v>46048</v>
      </c>
      <c r="R500" s="2">
        <v>0.39374999999999999</v>
      </c>
      <c r="S500" s="2">
        <v>0.4548611111111111</v>
      </c>
      <c r="T500" t="str" cm="1">
        <f t="array" ref="T500">_xlfn.IFS(H500&gt;=90,"A",H500&gt;=75,"B",H500&gt;=60,"C",H500&lt;60,"D")</f>
        <v>D</v>
      </c>
      <c r="U500" t="str">
        <f t="shared" si="28"/>
        <v>09:27 AM</v>
      </c>
      <c r="V500" t="str">
        <f t="shared" si="29"/>
        <v>On Time</v>
      </c>
      <c r="W500" t="str">
        <f t="shared" si="30"/>
        <v>1 Hours 28 Minutes</v>
      </c>
      <c r="X500" t="str">
        <f t="shared" si="31"/>
        <v>Short Time Login</v>
      </c>
      <c r="AA500" s="34" t="s">
        <v>769</v>
      </c>
      <c r="AB500" s="34" t="s">
        <v>770</v>
      </c>
      <c r="AC500" s="34">
        <v>46</v>
      </c>
      <c r="AD500" s="34">
        <v>95</v>
      </c>
      <c r="AE500" s="34" t="s">
        <v>25</v>
      </c>
      <c r="AF500" s="34">
        <v>2000</v>
      </c>
      <c r="AH500" s="34" t="s">
        <v>27</v>
      </c>
    </row>
    <row r="501" spans="1:34">
      <c r="A501" t="s">
        <v>771</v>
      </c>
      <c r="B501" t="s">
        <v>457</v>
      </c>
      <c r="C501">
        <v>24</v>
      </c>
      <c r="D501" t="s">
        <v>21</v>
      </c>
      <c r="E501" t="s">
        <v>36</v>
      </c>
      <c r="F501" t="s">
        <v>23</v>
      </c>
      <c r="G501" t="s">
        <v>24</v>
      </c>
      <c r="H501">
        <v>85</v>
      </c>
      <c r="I501">
        <v>93</v>
      </c>
      <c r="J501" t="s">
        <v>45</v>
      </c>
      <c r="K501">
        <v>20000</v>
      </c>
      <c r="L501">
        <v>22420</v>
      </c>
      <c r="M501">
        <v>0</v>
      </c>
      <c r="N501" t="s">
        <v>11</v>
      </c>
      <c r="O501" t="s">
        <v>27</v>
      </c>
      <c r="P501" s="1">
        <v>45720</v>
      </c>
      <c r="Q501" s="1">
        <v>45810</v>
      </c>
      <c r="R501" s="2">
        <v>0.43888888888888888</v>
      </c>
      <c r="S501" s="2">
        <v>0.62430555555555556</v>
      </c>
      <c r="T501" t="str" cm="1">
        <f t="array" ref="T501">_xlfn.IFS(H501&gt;=90,"A",H501&gt;=75,"B",H501&gt;=60,"C",H501&lt;60,"D")</f>
        <v>B</v>
      </c>
      <c r="U501" t="str">
        <f t="shared" si="28"/>
        <v>10:32 AM</v>
      </c>
      <c r="V501" t="str">
        <f t="shared" si="29"/>
        <v>On Time</v>
      </c>
      <c r="W501" t="str">
        <f t="shared" si="30"/>
        <v>4 Hours 27 Minutes</v>
      </c>
      <c r="X501" t="str">
        <f t="shared" si="31"/>
        <v>Long Time Login</v>
      </c>
      <c r="AA501" s="35" t="s">
        <v>771</v>
      </c>
      <c r="AB501" s="35" t="s">
        <v>457</v>
      </c>
      <c r="AC501" s="35">
        <v>85</v>
      </c>
      <c r="AD501" s="35">
        <v>93</v>
      </c>
      <c r="AE501" s="35" t="s">
        <v>45</v>
      </c>
      <c r="AF501" s="35">
        <v>0</v>
      </c>
      <c r="AH501" s="35" t="s">
        <v>27</v>
      </c>
    </row>
    <row r="502" spans="1:34">
      <c r="A502" t="s">
        <v>772</v>
      </c>
      <c r="B502" t="s">
        <v>369</v>
      </c>
      <c r="C502">
        <v>26</v>
      </c>
      <c r="D502" t="s">
        <v>21</v>
      </c>
      <c r="E502" t="s">
        <v>96</v>
      </c>
      <c r="F502" t="s">
        <v>31</v>
      </c>
      <c r="G502" t="s">
        <v>32</v>
      </c>
      <c r="H502">
        <v>56</v>
      </c>
      <c r="I502">
        <v>78</v>
      </c>
      <c r="J502" t="s">
        <v>25</v>
      </c>
      <c r="K502">
        <v>12000</v>
      </c>
      <c r="L502">
        <v>8980</v>
      </c>
      <c r="M502">
        <v>4000</v>
      </c>
      <c r="N502" t="s">
        <v>26</v>
      </c>
      <c r="O502" t="s">
        <v>27</v>
      </c>
      <c r="P502" s="1">
        <v>46002</v>
      </c>
      <c r="Q502" s="1">
        <v>46092</v>
      </c>
      <c r="R502" s="2">
        <v>0.37291666666666667</v>
      </c>
      <c r="S502" s="2">
        <v>0.47013888888888888</v>
      </c>
      <c r="T502" t="str" cm="1">
        <f t="array" ref="T502">_xlfn.IFS(H502&gt;=90,"A",H502&gt;=75,"B",H502&gt;=60,"C",H502&lt;60,"D")</f>
        <v>D</v>
      </c>
      <c r="U502" t="str">
        <f t="shared" si="28"/>
        <v>08:57 AM</v>
      </c>
      <c r="V502" t="str">
        <f t="shared" si="29"/>
        <v>On Time</v>
      </c>
      <c r="W502" t="str">
        <f t="shared" si="30"/>
        <v>2 Hours 20 Minutes</v>
      </c>
      <c r="X502" t="str">
        <f t="shared" si="31"/>
        <v>Short Time Login</v>
      </c>
      <c r="AA502" s="34" t="s">
        <v>772</v>
      </c>
      <c r="AB502" s="34" t="s">
        <v>369</v>
      </c>
      <c r="AC502" s="34">
        <v>56</v>
      </c>
      <c r="AD502" s="34">
        <v>78</v>
      </c>
      <c r="AE502" s="34" t="s">
        <v>25</v>
      </c>
      <c r="AF502" s="34">
        <v>4000</v>
      </c>
      <c r="AH502" s="34" t="s">
        <v>27</v>
      </c>
    </row>
    <row r="503" spans="1:34">
      <c r="A503" t="s">
        <v>773</v>
      </c>
      <c r="B503" t="s">
        <v>248</v>
      </c>
      <c r="C503">
        <v>27</v>
      </c>
      <c r="D503" t="s">
        <v>35</v>
      </c>
      <c r="E503" t="s">
        <v>22</v>
      </c>
      <c r="F503" t="s">
        <v>40</v>
      </c>
      <c r="G503" t="s">
        <v>41</v>
      </c>
      <c r="H503">
        <v>75</v>
      </c>
      <c r="I503">
        <v>62</v>
      </c>
      <c r="J503" t="s">
        <v>45</v>
      </c>
      <c r="K503">
        <v>15000</v>
      </c>
      <c r="L503">
        <v>14520</v>
      </c>
      <c r="M503">
        <v>2000</v>
      </c>
      <c r="N503" t="s">
        <v>26</v>
      </c>
      <c r="O503" t="s">
        <v>27</v>
      </c>
      <c r="P503" s="1">
        <v>45732</v>
      </c>
      <c r="Q503" s="1">
        <v>45822</v>
      </c>
      <c r="R503" s="2">
        <v>0.36319444444444443</v>
      </c>
      <c r="S503" s="2">
        <v>0.57013888888888886</v>
      </c>
      <c r="T503" t="str" cm="1">
        <f t="array" ref="T503">_xlfn.IFS(H503&gt;=90,"A",H503&gt;=75,"B",H503&gt;=60,"C",H503&lt;60,"D")</f>
        <v>B</v>
      </c>
      <c r="U503" t="str">
        <f t="shared" si="28"/>
        <v>08:43 AM</v>
      </c>
      <c r="V503" t="str">
        <f t="shared" si="29"/>
        <v>On Time</v>
      </c>
      <c r="W503" t="str">
        <f t="shared" si="30"/>
        <v>4 Hours 58 Minutes</v>
      </c>
      <c r="X503" t="str">
        <f t="shared" si="31"/>
        <v>Short Time Login</v>
      </c>
      <c r="AA503" s="35" t="s">
        <v>773</v>
      </c>
      <c r="AB503" s="35" t="s">
        <v>248</v>
      </c>
      <c r="AC503" s="35">
        <v>75</v>
      </c>
      <c r="AD503" s="35">
        <v>62</v>
      </c>
      <c r="AE503" s="35" t="s">
        <v>45</v>
      </c>
      <c r="AF503" s="35">
        <v>2000</v>
      </c>
      <c r="AH503" s="35" t="s">
        <v>27</v>
      </c>
    </row>
    <row r="504" spans="1:34">
      <c r="A504" t="s">
        <v>774</v>
      </c>
      <c r="B504" t="s">
        <v>386</v>
      </c>
      <c r="C504">
        <v>28</v>
      </c>
      <c r="D504" t="s">
        <v>35</v>
      </c>
      <c r="E504" t="s">
        <v>113</v>
      </c>
      <c r="F504" t="s">
        <v>57</v>
      </c>
      <c r="G504" t="s">
        <v>58</v>
      </c>
      <c r="H504">
        <v>62</v>
      </c>
      <c r="I504">
        <v>74</v>
      </c>
      <c r="J504" t="s">
        <v>68</v>
      </c>
      <c r="K504">
        <v>10000</v>
      </c>
      <c r="L504">
        <v>11800</v>
      </c>
      <c r="M504">
        <v>0</v>
      </c>
      <c r="N504" t="s">
        <v>11</v>
      </c>
      <c r="O504" t="s">
        <v>27</v>
      </c>
      <c r="P504" s="1">
        <v>45723</v>
      </c>
      <c r="Q504" s="1">
        <v>45903</v>
      </c>
      <c r="R504" s="2">
        <v>0.39097222222222222</v>
      </c>
      <c r="S504" s="2">
        <v>0.53333333333333333</v>
      </c>
      <c r="T504" t="str" cm="1">
        <f t="array" ref="T504">_xlfn.IFS(H504&gt;=90,"A",H504&gt;=75,"B",H504&gt;=60,"C",H504&lt;60,"D")</f>
        <v>C</v>
      </c>
      <c r="U504" t="str">
        <f t="shared" si="28"/>
        <v>09:23 AM</v>
      </c>
      <c r="V504" t="str">
        <f t="shared" si="29"/>
        <v>Delayed</v>
      </c>
      <c r="W504" t="str">
        <f t="shared" si="30"/>
        <v>3 Hours 25 Minutes</v>
      </c>
      <c r="X504" t="str">
        <f t="shared" si="31"/>
        <v>Short Time Login</v>
      </c>
      <c r="AA504" s="34" t="s">
        <v>774</v>
      </c>
      <c r="AB504" s="34" t="s">
        <v>386</v>
      </c>
      <c r="AC504" s="34">
        <v>62</v>
      </c>
      <c r="AD504" s="34">
        <v>74</v>
      </c>
      <c r="AE504" s="34" t="s">
        <v>68</v>
      </c>
      <c r="AF504" s="34">
        <v>0</v>
      </c>
      <c r="AH504" s="34" t="s">
        <v>27</v>
      </c>
    </row>
    <row r="505" spans="1:34">
      <c r="A505" t="s">
        <v>775</v>
      </c>
      <c r="B505" t="s">
        <v>20</v>
      </c>
      <c r="C505">
        <v>25</v>
      </c>
      <c r="D505" t="s">
        <v>35</v>
      </c>
      <c r="E505" t="s">
        <v>36</v>
      </c>
      <c r="F505" t="s">
        <v>53</v>
      </c>
      <c r="G505" t="s">
        <v>54</v>
      </c>
      <c r="H505">
        <v>36</v>
      </c>
      <c r="I505">
        <v>71</v>
      </c>
      <c r="J505" t="s">
        <v>25</v>
      </c>
      <c r="K505">
        <v>18000</v>
      </c>
      <c r="L505">
        <v>18650</v>
      </c>
      <c r="M505">
        <v>2000</v>
      </c>
      <c r="N505" t="s">
        <v>26</v>
      </c>
      <c r="O505" t="s">
        <v>27</v>
      </c>
      <c r="P505" s="1">
        <v>45888</v>
      </c>
      <c r="Q505" s="1">
        <v>45948</v>
      </c>
      <c r="R505" s="2">
        <v>0.40208333333333335</v>
      </c>
      <c r="S505" s="2">
        <v>0.59652777777777777</v>
      </c>
      <c r="T505" t="str" cm="1">
        <f t="array" ref="T505">_xlfn.IFS(H505&gt;=90,"A",H505&gt;=75,"B",H505&gt;=60,"C",H505&lt;60,"D")</f>
        <v>D</v>
      </c>
      <c r="U505" t="str">
        <f t="shared" si="28"/>
        <v>09:39 AM</v>
      </c>
      <c r="V505" t="str">
        <f t="shared" si="29"/>
        <v>On Time</v>
      </c>
      <c r="W505" t="str">
        <f t="shared" si="30"/>
        <v>4 Hours 40 Minutes</v>
      </c>
      <c r="X505" t="str">
        <f t="shared" si="31"/>
        <v>Short Time Login</v>
      </c>
      <c r="AA505" s="35" t="s">
        <v>775</v>
      </c>
      <c r="AB505" s="35" t="s">
        <v>20</v>
      </c>
      <c r="AC505" s="35">
        <v>36</v>
      </c>
      <c r="AD505" s="35">
        <v>71</v>
      </c>
      <c r="AE505" s="35" t="s">
        <v>25</v>
      </c>
      <c r="AF505" s="35">
        <v>2000</v>
      </c>
      <c r="AH505" s="35" t="s">
        <v>27</v>
      </c>
    </row>
    <row r="506" spans="1:34">
      <c r="A506" t="s">
        <v>776</v>
      </c>
      <c r="B506" t="s">
        <v>571</v>
      </c>
      <c r="C506">
        <v>23</v>
      </c>
      <c r="D506" t="s">
        <v>35</v>
      </c>
      <c r="E506" t="s">
        <v>48</v>
      </c>
      <c r="F506" t="s">
        <v>88</v>
      </c>
      <c r="G506" t="s">
        <v>89</v>
      </c>
      <c r="H506">
        <v>56</v>
      </c>
      <c r="I506">
        <v>91</v>
      </c>
      <c r="J506" t="s">
        <v>25</v>
      </c>
      <c r="K506">
        <v>12000</v>
      </c>
      <c r="L506">
        <v>9570</v>
      </c>
      <c r="M506">
        <v>4000</v>
      </c>
      <c r="N506" t="s">
        <v>26</v>
      </c>
      <c r="O506" t="s">
        <v>27</v>
      </c>
      <c r="P506" s="1">
        <v>45891</v>
      </c>
      <c r="Q506" s="1">
        <v>45921</v>
      </c>
      <c r="R506" s="2">
        <v>0.4375</v>
      </c>
      <c r="S506" s="2">
        <v>0.61597222222222225</v>
      </c>
      <c r="T506" t="str" cm="1">
        <f t="array" ref="T506">_xlfn.IFS(H506&gt;=90,"A",H506&gt;=75,"B",H506&gt;=60,"C",H506&lt;60,"D")</f>
        <v>D</v>
      </c>
      <c r="U506" t="str">
        <f t="shared" si="28"/>
        <v>10:30 AM</v>
      </c>
      <c r="V506" t="str">
        <f t="shared" si="29"/>
        <v>On Time</v>
      </c>
      <c r="W506" t="str">
        <f t="shared" si="30"/>
        <v>4 Hours 17 Minutes</v>
      </c>
      <c r="X506" t="str">
        <f t="shared" si="31"/>
        <v>Long Time Login</v>
      </c>
      <c r="AA506" s="34" t="s">
        <v>776</v>
      </c>
      <c r="AB506" s="34" t="s">
        <v>571</v>
      </c>
      <c r="AC506" s="34">
        <v>56</v>
      </c>
      <c r="AD506" s="34">
        <v>91</v>
      </c>
      <c r="AE506" s="34" t="s">
        <v>25</v>
      </c>
      <c r="AF506" s="34">
        <v>4000</v>
      </c>
      <c r="AH506" s="34" t="s">
        <v>27</v>
      </c>
    </row>
    <row r="507" spans="1:34">
      <c r="A507" t="s">
        <v>777</v>
      </c>
      <c r="B507" t="s">
        <v>349</v>
      </c>
      <c r="C507">
        <v>18</v>
      </c>
      <c r="D507" t="s">
        <v>21</v>
      </c>
      <c r="E507" t="s">
        <v>39</v>
      </c>
      <c r="F507" t="s">
        <v>23</v>
      </c>
      <c r="G507" t="s">
        <v>24</v>
      </c>
      <c r="H507">
        <v>70</v>
      </c>
      <c r="I507">
        <v>75</v>
      </c>
      <c r="J507" t="s">
        <v>68</v>
      </c>
      <c r="K507">
        <v>20000</v>
      </c>
      <c r="L507">
        <v>23600</v>
      </c>
      <c r="M507">
        <v>0</v>
      </c>
      <c r="N507" t="s">
        <v>11</v>
      </c>
      <c r="O507" t="s">
        <v>27</v>
      </c>
      <c r="P507" s="1">
        <v>45849</v>
      </c>
      <c r="Q507" s="1">
        <v>45969</v>
      </c>
      <c r="R507" s="2">
        <v>0.38611111111111113</v>
      </c>
      <c r="S507" s="2">
        <v>0.51458333333333328</v>
      </c>
      <c r="T507" t="str" cm="1">
        <f t="array" ref="T507">_xlfn.IFS(H507&gt;=90,"A",H507&gt;=75,"B",H507&gt;=60,"C",H507&lt;60,"D")</f>
        <v>C</v>
      </c>
      <c r="U507" t="str">
        <f t="shared" si="28"/>
        <v>09:16 AM</v>
      </c>
      <c r="V507" t="str">
        <f t="shared" si="29"/>
        <v>Delayed</v>
      </c>
      <c r="W507" t="str">
        <f t="shared" si="30"/>
        <v>3 Hours 5 Minutes</v>
      </c>
      <c r="X507" t="str">
        <f t="shared" si="31"/>
        <v>Short Time Login</v>
      </c>
      <c r="AA507" s="35" t="s">
        <v>777</v>
      </c>
      <c r="AB507" s="35" t="s">
        <v>349</v>
      </c>
      <c r="AC507" s="35">
        <v>70</v>
      </c>
      <c r="AD507" s="35">
        <v>75</v>
      </c>
      <c r="AE507" s="35" t="s">
        <v>68</v>
      </c>
      <c r="AF507" s="35">
        <v>0</v>
      </c>
      <c r="AH507" s="35" t="s">
        <v>27</v>
      </c>
    </row>
    <row r="508" spans="1:34">
      <c r="A508" t="s">
        <v>778</v>
      </c>
      <c r="B508" t="s">
        <v>316</v>
      </c>
      <c r="C508">
        <v>20</v>
      </c>
      <c r="D508" t="s">
        <v>35</v>
      </c>
      <c r="E508" t="s">
        <v>73</v>
      </c>
      <c r="F508" t="s">
        <v>63</v>
      </c>
      <c r="G508" t="s">
        <v>64</v>
      </c>
      <c r="H508">
        <v>46</v>
      </c>
      <c r="I508">
        <v>75</v>
      </c>
      <c r="J508" t="s">
        <v>25</v>
      </c>
      <c r="K508">
        <v>20000</v>
      </c>
      <c r="L508">
        <v>22420</v>
      </c>
      <c r="M508">
        <v>0</v>
      </c>
      <c r="N508" t="s">
        <v>11</v>
      </c>
      <c r="O508" t="s">
        <v>27</v>
      </c>
      <c r="P508" s="1">
        <v>45867</v>
      </c>
      <c r="Q508" s="1">
        <v>45927</v>
      </c>
      <c r="R508" s="2">
        <v>0.44930555555555557</v>
      </c>
      <c r="S508" s="2">
        <v>0.6</v>
      </c>
      <c r="T508" t="str" cm="1">
        <f t="array" ref="T508">_xlfn.IFS(H508&gt;=90,"A",H508&gt;=75,"B",H508&gt;=60,"C",H508&lt;60,"D")</f>
        <v>D</v>
      </c>
      <c r="U508" t="str">
        <f t="shared" si="28"/>
        <v>10:47 AM</v>
      </c>
      <c r="V508" t="str">
        <f t="shared" si="29"/>
        <v>On Time</v>
      </c>
      <c r="W508" t="str">
        <f t="shared" si="30"/>
        <v>3 Hours 37 Minutes</v>
      </c>
      <c r="X508" t="str">
        <f t="shared" si="31"/>
        <v>Long Time Login</v>
      </c>
      <c r="AA508" s="34" t="s">
        <v>778</v>
      </c>
      <c r="AB508" s="34" t="s">
        <v>316</v>
      </c>
      <c r="AC508" s="34">
        <v>46</v>
      </c>
      <c r="AD508" s="34">
        <v>75</v>
      </c>
      <c r="AE508" s="34" t="s">
        <v>25</v>
      </c>
      <c r="AF508" s="34">
        <v>0</v>
      </c>
      <c r="AH508" s="34" t="s">
        <v>27</v>
      </c>
    </row>
    <row r="509" spans="1:34">
      <c r="A509" t="s">
        <v>779</v>
      </c>
      <c r="B509" t="s">
        <v>347</v>
      </c>
      <c r="C509">
        <v>22</v>
      </c>
      <c r="D509" t="s">
        <v>21</v>
      </c>
      <c r="E509" t="s">
        <v>39</v>
      </c>
      <c r="F509" t="s">
        <v>49</v>
      </c>
      <c r="G509" t="s">
        <v>50</v>
      </c>
      <c r="H509">
        <v>47</v>
      </c>
      <c r="I509">
        <v>92</v>
      </c>
      <c r="J509" t="s">
        <v>25</v>
      </c>
      <c r="K509">
        <v>20000</v>
      </c>
      <c r="L509">
        <v>21600</v>
      </c>
      <c r="M509">
        <v>2000</v>
      </c>
      <c r="N509" t="s">
        <v>26</v>
      </c>
      <c r="O509" t="s">
        <v>27</v>
      </c>
      <c r="P509" s="1">
        <v>45715</v>
      </c>
      <c r="Q509" s="1">
        <v>45805</v>
      </c>
      <c r="R509" s="2">
        <v>0.37777777777777777</v>
      </c>
      <c r="S509" s="2">
        <v>0.51666666666666672</v>
      </c>
      <c r="T509" t="str" cm="1">
        <f t="array" ref="T509">_xlfn.IFS(H509&gt;=90,"A",H509&gt;=75,"B",H509&gt;=60,"C",H509&lt;60,"D")</f>
        <v>D</v>
      </c>
      <c r="U509" t="str">
        <f t="shared" si="28"/>
        <v>09:04 AM</v>
      </c>
      <c r="V509" t="str">
        <f t="shared" si="29"/>
        <v>On Time</v>
      </c>
      <c r="W509" t="str">
        <f t="shared" si="30"/>
        <v>3 Hours 20 Minutes</v>
      </c>
      <c r="X509" t="str">
        <f t="shared" si="31"/>
        <v>Short Time Login</v>
      </c>
      <c r="AA509" s="35" t="s">
        <v>779</v>
      </c>
      <c r="AB509" s="35" t="s">
        <v>347</v>
      </c>
      <c r="AC509" s="35">
        <v>47</v>
      </c>
      <c r="AD509" s="35">
        <v>92</v>
      </c>
      <c r="AE509" s="35" t="s">
        <v>25</v>
      </c>
      <c r="AF509" s="35">
        <v>2000</v>
      </c>
      <c r="AH509" s="35" t="s">
        <v>27</v>
      </c>
    </row>
    <row r="510" spans="1:34">
      <c r="A510" t="s">
        <v>780</v>
      </c>
      <c r="B510" t="s">
        <v>234</v>
      </c>
      <c r="C510">
        <v>21</v>
      </c>
      <c r="D510" t="s">
        <v>35</v>
      </c>
      <c r="E510" t="s">
        <v>22</v>
      </c>
      <c r="F510" t="s">
        <v>88</v>
      </c>
      <c r="G510" t="s">
        <v>89</v>
      </c>
      <c r="H510">
        <v>68</v>
      </c>
      <c r="I510">
        <v>85</v>
      </c>
      <c r="J510" t="s">
        <v>68</v>
      </c>
      <c r="K510">
        <v>12000</v>
      </c>
      <c r="L510">
        <v>10390</v>
      </c>
      <c r="M510">
        <v>2000</v>
      </c>
      <c r="N510" t="s">
        <v>26</v>
      </c>
      <c r="O510" t="s">
        <v>27</v>
      </c>
      <c r="P510" s="1">
        <v>45952</v>
      </c>
      <c r="Q510" s="1">
        <v>46132</v>
      </c>
      <c r="R510" s="2">
        <v>0.36805555555555558</v>
      </c>
      <c r="S510" s="2">
        <v>0.41944444444444445</v>
      </c>
      <c r="T510" t="str" cm="1">
        <f t="array" ref="T510">_xlfn.IFS(H510&gt;=90,"A",H510&gt;=75,"B",H510&gt;=60,"C",H510&lt;60,"D")</f>
        <v>C</v>
      </c>
      <c r="U510" t="str">
        <f t="shared" si="28"/>
        <v>08:50 AM</v>
      </c>
      <c r="V510" t="str">
        <f t="shared" si="29"/>
        <v>Delayed</v>
      </c>
      <c r="W510" t="str">
        <f t="shared" si="30"/>
        <v>1 Hours 14 Minutes</v>
      </c>
      <c r="X510" t="str">
        <f t="shared" si="31"/>
        <v>Short Time Login</v>
      </c>
      <c r="AA510" s="34" t="s">
        <v>780</v>
      </c>
      <c r="AB510" s="34" t="s">
        <v>234</v>
      </c>
      <c r="AC510" s="34">
        <v>68</v>
      </c>
      <c r="AD510" s="34">
        <v>85</v>
      </c>
      <c r="AE510" s="34" t="s">
        <v>68</v>
      </c>
      <c r="AF510" s="34">
        <v>2000</v>
      </c>
      <c r="AH510" s="34" t="s">
        <v>27</v>
      </c>
    </row>
    <row r="511" spans="1:34">
      <c r="A511" t="s">
        <v>781</v>
      </c>
      <c r="B511" t="s">
        <v>175</v>
      </c>
      <c r="C511">
        <v>18</v>
      </c>
      <c r="D511" t="s">
        <v>35</v>
      </c>
      <c r="E511" t="s">
        <v>22</v>
      </c>
      <c r="F511" t="s">
        <v>63</v>
      </c>
      <c r="G511" t="s">
        <v>64</v>
      </c>
      <c r="H511">
        <v>35</v>
      </c>
      <c r="I511">
        <v>88</v>
      </c>
      <c r="J511" t="s">
        <v>25</v>
      </c>
      <c r="K511">
        <v>18000</v>
      </c>
      <c r="L511">
        <v>18650</v>
      </c>
      <c r="M511">
        <v>2000</v>
      </c>
      <c r="N511" t="s">
        <v>26</v>
      </c>
      <c r="O511" t="s">
        <v>27</v>
      </c>
      <c r="P511" s="1">
        <v>45679</v>
      </c>
      <c r="Q511" s="1">
        <v>45859</v>
      </c>
      <c r="R511" s="2">
        <v>0.34236111111111112</v>
      </c>
      <c r="S511" s="2">
        <v>0.43263888888888891</v>
      </c>
      <c r="T511" t="str" cm="1">
        <f t="array" ref="T511">_xlfn.IFS(H511&gt;=90,"A",H511&gt;=75,"B",H511&gt;=60,"C",H511&lt;60,"D")</f>
        <v>D</v>
      </c>
      <c r="U511" t="str">
        <f t="shared" si="28"/>
        <v>08:13 AM</v>
      </c>
      <c r="V511" t="str">
        <f t="shared" si="29"/>
        <v>Delayed</v>
      </c>
      <c r="W511" t="str">
        <f t="shared" si="30"/>
        <v>2 Hours 10 Minutes</v>
      </c>
      <c r="X511" t="str">
        <f t="shared" si="31"/>
        <v>Short Time Login</v>
      </c>
      <c r="AA511" s="35" t="s">
        <v>781</v>
      </c>
      <c r="AB511" s="35" t="s">
        <v>175</v>
      </c>
      <c r="AC511" s="35">
        <v>35</v>
      </c>
      <c r="AD511" s="35">
        <v>88</v>
      </c>
      <c r="AE511" s="35" t="s">
        <v>25</v>
      </c>
      <c r="AF511" s="35">
        <v>2000</v>
      </c>
      <c r="AH511" s="35" t="s">
        <v>27</v>
      </c>
    </row>
    <row r="512" spans="1:34">
      <c r="A512" t="s">
        <v>782</v>
      </c>
      <c r="B512" t="s">
        <v>230</v>
      </c>
      <c r="C512">
        <v>25</v>
      </c>
      <c r="D512" t="s">
        <v>35</v>
      </c>
      <c r="E512" t="s">
        <v>30</v>
      </c>
      <c r="F512" t="s">
        <v>63</v>
      </c>
      <c r="G512" t="s">
        <v>64</v>
      </c>
      <c r="H512">
        <v>66</v>
      </c>
      <c r="I512">
        <v>96</v>
      </c>
      <c r="J512" t="s">
        <v>68</v>
      </c>
      <c r="K512">
        <v>20000</v>
      </c>
      <c r="L512">
        <v>21600</v>
      </c>
      <c r="M512">
        <v>2000</v>
      </c>
      <c r="N512" t="s">
        <v>26</v>
      </c>
      <c r="O512" t="s">
        <v>27</v>
      </c>
      <c r="P512" s="1">
        <v>45659</v>
      </c>
      <c r="Q512" s="1">
        <v>45749</v>
      </c>
      <c r="R512" s="2">
        <v>0.42222222222222222</v>
      </c>
      <c r="S512" s="2">
        <v>0.62638888888888888</v>
      </c>
      <c r="T512" t="str" cm="1">
        <f t="array" ref="T512">_xlfn.IFS(H512&gt;=90,"A",H512&gt;=75,"B",H512&gt;=60,"C",H512&lt;60,"D")</f>
        <v>C</v>
      </c>
      <c r="U512" t="str">
        <f t="shared" si="28"/>
        <v>10:08 AM</v>
      </c>
      <c r="V512" t="str">
        <f t="shared" si="29"/>
        <v>On Time</v>
      </c>
      <c r="W512" t="str">
        <f t="shared" si="30"/>
        <v>4 Hours 54 Minutes</v>
      </c>
      <c r="X512" t="str">
        <f t="shared" si="31"/>
        <v>Long Time Login</v>
      </c>
      <c r="AA512" s="34" t="s">
        <v>782</v>
      </c>
      <c r="AB512" s="34" t="s">
        <v>230</v>
      </c>
      <c r="AC512" s="34">
        <v>66</v>
      </c>
      <c r="AD512" s="34">
        <v>96</v>
      </c>
      <c r="AE512" s="34" t="s">
        <v>68</v>
      </c>
      <c r="AF512" s="34">
        <v>2000</v>
      </c>
      <c r="AH512" s="34" t="s">
        <v>27</v>
      </c>
    </row>
    <row r="513" spans="1:34">
      <c r="A513" t="s">
        <v>783</v>
      </c>
      <c r="B513" t="s">
        <v>784</v>
      </c>
      <c r="C513">
        <v>27</v>
      </c>
      <c r="D513" t="s">
        <v>21</v>
      </c>
      <c r="E513" t="s">
        <v>36</v>
      </c>
      <c r="F513" t="s">
        <v>57</v>
      </c>
      <c r="G513" t="s">
        <v>58</v>
      </c>
      <c r="H513">
        <v>84</v>
      </c>
      <c r="I513">
        <v>86</v>
      </c>
      <c r="J513" t="s">
        <v>45</v>
      </c>
      <c r="K513">
        <v>12000</v>
      </c>
      <c r="L513">
        <v>10390</v>
      </c>
      <c r="M513">
        <v>2000</v>
      </c>
      <c r="N513" t="s">
        <v>26</v>
      </c>
      <c r="O513" t="s">
        <v>27</v>
      </c>
      <c r="P513" s="1">
        <v>45907</v>
      </c>
      <c r="Q513" s="1">
        <v>45997</v>
      </c>
      <c r="R513" s="2">
        <v>0.35347222222222224</v>
      </c>
      <c r="S513" s="2">
        <v>0.42638888888888887</v>
      </c>
      <c r="T513" t="str" cm="1">
        <f t="array" ref="T513">_xlfn.IFS(H513&gt;=90,"A",H513&gt;=75,"B",H513&gt;=60,"C",H513&lt;60,"D")</f>
        <v>B</v>
      </c>
      <c r="U513" t="str">
        <f t="shared" si="28"/>
        <v>08:29 AM</v>
      </c>
      <c r="V513" t="str">
        <f t="shared" si="29"/>
        <v>On Time</v>
      </c>
      <c r="W513" t="str">
        <f t="shared" si="30"/>
        <v>1 Hours 45 Minutes</v>
      </c>
      <c r="X513" t="str">
        <f t="shared" si="31"/>
        <v>Short Time Login</v>
      </c>
      <c r="AA513" s="35" t="s">
        <v>783</v>
      </c>
      <c r="AB513" s="35" t="s">
        <v>784</v>
      </c>
      <c r="AC513" s="35">
        <v>84</v>
      </c>
      <c r="AD513" s="35">
        <v>86</v>
      </c>
      <c r="AE513" s="35" t="s">
        <v>45</v>
      </c>
      <c r="AF513" s="35">
        <v>2000</v>
      </c>
      <c r="AH513" s="35" t="s">
        <v>27</v>
      </c>
    </row>
    <row r="514" spans="1:34">
      <c r="A514" t="s">
        <v>785</v>
      </c>
      <c r="B514" t="s">
        <v>402</v>
      </c>
      <c r="C514">
        <v>21</v>
      </c>
      <c r="D514" t="s">
        <v>35</v>
      </c>
      <c r="E514" t="s">
        <v>39</v>
      </c>
      <c r="F514" t="s">
        <v>53</v>
      </c>
      <c r="G514" t="s">
        <v>54</v>
      </c>
      <c r="H514">
        <v>68</v>
      </c>
      <c r="I514">
        <v>71</v>
      </c>
      <c r="J514" t="s">
        <v>68</v>
      </c>
      <c r="K514">
        <v>15000</v>
      </c>
      <c r="L514">
        <v>17110</v>
      </c>
      <c r="M514">
        <v>0</v>
      </c>
      <c r="N514" t="s">
        <v>11</v>
      </c>
      <c r="O514" t="s">
        <v>27</v>
      </c>
      <c r="P514" s="1">
        <v>45863</v>
      </c>
      <c r="Q514" s="1">
        <v>46043</v>
      </c>
      <c r="R514" s="2">
        <v>0.34166666666666667</v>
      </c>
      <c r="S514" s="2">
        <v>0.42499999999999999</v>
      </c>
      <c r="T514" t="str" cm="1">
        <f t="array" ref="T514">_xlfn.IFS(H514&gt;=90,"A",H514&gt;=75,"B",H514&gt;=60,"C",H514&lt;60,"D")</f>
        <v>C</v>
      </c>
      <c r="U514" t="str">
        <f t="shared" ref="U514:U577" si="32">TEXT(R514,"hh:mm AM/PM")</f>
        <v>08:12 AM</v>
      </c>
      <c r="V514" t="str">
        <f t="shared" ref="V514:V577" si="33">IF(_xlfn.DAYS(Q514,P514)&lt;=90,"On Time","Delayed")</f>
        <v>Delayed</v>
      </c>
      <c r="W514" t="str">
        <f t="shared" ref="W514:W577" si="34">HOUR(S514-R514)&amp;" Hours "&amp;MINUTE(S514-R514)&amp;" Minutes"</f>
        <v>2 Hours 0 Minutes</v>
      </c>
      <c r="X514" t="str">
        <f t="shared" ref="X514:X577" si="35">IF(R514&gt;TIME(10,0,0),"Long Time Login","Short Time Login")</f>
        <v>Short Time Login</v>
      </c>
      <c r="AA514" s="34" t="s">
        <v>785</v>
      </c>
      <c r="AB514" s="34" t="s">
        <v>402</v>
      </c>
      <c r="AC514" s="34">
        <v>68</v>
      </c>
      <c r="AD514" s="34">
        <v>71</v>
      </c>
      <c r="AE514" s="34" t="s">
        <v>68</v>
      </c>
      <c r="AF514" s="34">
        <v>0</v>
      </c>
      <c r="AH514" s="34" t="s">
        <v>27</v>
      </c>
    </row>
    <row r="515" spans="1:34">
      <c r="A515" t="s">
        <v>786</v>
      </c>
      <c r="B515" t="s">
        <v>610</v>
      </c>
      <c r="C515">
        <v>21</v>
      </c>
      <c r="D515" t="s">
        <v>35</v>
      </c>
      <c r="E515" t="s">
        <v>62</v>
      </c>
      <c r="F515" t="s">
        <v>57</v>
      </c>
      <c r="G515" t="s">
        <v>58</v>
      </c>
      <c r="H515">
        <v>64</v>
      </c>
      <c r="I515">
        <v>75</v>
      </c>
      <c r="J515" t="s">
        <v>68</v>
      </c>
      <c r="K515">
        <v>12000</v>
      </c>
      <c r="L515">
        <v>10160</v>
      </c>
      <c r="M515">
        <v>4000</v>
      </c>
      <c r="N515" t="s">
        <v>26</v>
      </c>
      <c r="O515" t="s">
        <v>27</v>
      </c>
      <c r="P515" s="1">
        <v>45862</v>
      </c>
      <c r="Q515" s="1">
        <v>45922</v>
      </c>
      <c r="R515" s="2">
        <v>0.4548611111111111</v>
      </c>
      <c r="S515" s="2">
        <v>0.56597222222222221</v>
      </c>
      <c r="T515" t="str" cm="1">
        <f t="array" ref="T515">_xlfn.IFS(H515&gt;=90,"A",H515&gt;=75,"B",H515&gt;=60,"C",H515&lt;60,"D")</f>
        <v>C</v>
      </c>
      <c r="U515" t="str">
        <f t="shared" si="32"/>
        <v>10:55 AM</v>
      </c>
      <c r="V515" t="str">
        <f t="shared" si="33"/>
        <v>On Time</v>
      </c>
      <c r="W515" t="str">
        <f t="shared" si="34"/>
        <v>2 Hours 40 Minutes</v>
      </c>
      <c r="X515" t="str">
        <f t="shared" si="35"/>
        <v>Long Time Login</v>
      </c>
      <c r="AA515" s="35" t="s">
        <v>786</v>
      </c>
      <c r="AB515" s="35" t="s">
        <v>610</v>
      </c>
      <c r="AC515" s="35">
        <v>64</v>
      </c>
      <c r="AD515" s="35">
        <v>75</v>
      </c>
      <c r="AE515" s="35" t="s">
        <v>68</v>
      </c>
      <c r="AF515" s="35">
        <v>4000</v>
      </c>
      <c r="AH515" s="35" t="s">
        <v>27</v>
      </c>
    </row>
    <row r="516" spans="1:34">
      <c r="A516" t="s">
        <v>787</v>
      </c>
      <c r="B516" t="s">
        <v>272</v>
      </c>
      <c r="C516">
        <v>22</v>
      </c>
      <c r="D516" t="s">
        <v>21</v>
      </c>
      <c r="E516" t="s">
        <v>22</v>
      </c>
      <c r="F516" t="s">
        <v>31</v>
      </c>
      <c r="G516" t="s">
        <v>32</v>
      </c>
      <c r="H516">
        <v>97</v>
      </c>
      <c r="I516">
        <v>67</v>
      </c>
      <c r="J516" t="s">
        <v>59</v>
      </c>
      <c r="K516">
        <v>12000</v>
      </c>
      <c r="L516">
        <v>11570</v>
      </c>
      <c r="M516">
        <v>2000</v>
      </c>
      <c r="N516" t="s">
        <v>26</v>
      </c>
      <c r="O516" t="s">
        <v>27</v>
      </c>
      <c r="P516" s="1">
        <v>45894</v>
      </c>
      <c r="Q516" s="1">
        <v>45954</v>
      </c>
      <c r="R516" s="2">
        <v>0.43055555555555558</v>
      </c>
      <c r="S516" s="2">
        <v>0.59583333333333333</v>
      </c>
      <c r="T516" t="str" cm="1">
        <f t="array" ref="T516">_xlfn.IFS(H516&gt;=90,"A",H516&gt;=75,"B",H516&gt;=60,"C",H516&lt;60,"D")</f>
        <v>A</v>
      </c>
      <c r="U516" t="str">
        <f t="shared" si="32"/>
        <v>10:20 AM</v>
      </c>
      <c r="V516" t="str">
        <f t="shared" si="33"/>
        <v>On Time</v>
      </c>
      <c r="W516" t="str">
        <f t="shared" si="34"/>
        <v>3 Hours 58 Minutes</v>
      </c>
      <c r="X516" t="str">
        <f t="shared" si="35"/>
        <v>Long Time Login</v>
      </c>
      <c r="AA516" s="34" t="s">
        <v>787</v>
      </c>
      <c r="AB516" s="34" t="s">
        <v>272</v>
      </c>
      <c r="AC516" s="34">
        <v>97</v>
      </c>
      <c r="AD516" s="34">
        <v>67</v>
      </c>
      <c r="AE516" s="34" t="s">
        <v>59</v>
      </c>
      <c r="AF516" s="34">
        <v>2000</v>
      </c>
      <c r="AH516" s="34" t="s">
        <v>27</v>
      </c>
    </row>
    <row r="517" spans="1:34">
      <c r="A517" t="s">
        <v>788</v>
      </c>
      <c r="B517" t="s">
        <v>307</v>
      </c>
      <c r="C517">
        <v>24</v>
      </c>
      <c r="D517" t="s">
        <v>35</v>
      </c>
      <c r="E517" t="s">
        <v>30</v>
      </c>
      <c r="F517" t="s">
        <v>49</v>
      </c>
      <c r="G517" t="s">
        <v>50</v>
      </c>
      <c r="H517">
        <v>93</v>
      </c>
      <c r="I517">
        <v>83</v>
      </c>
      <c r="J517" t="s">
        <v>59</v>
      </c>
      <c r="K517">
        <v>20000</v>
      </c>
      <c r="L517">
        <v>17830</v>
      </c>
      <c r="M517">
        <v>4000</v>
      </c>
      <c r="N517" t="s">
        <v>26</v>
      </c>
      <c r="O517" t="s">
        <v>27</v>
      </c>
      <c r="P517" s="1">
        <v>45737</v>
      </c>
      <c r="Q517" s="1">
        <v>45827</v>
      </c>
      <c r="R517" s="2">
        <v>0.44791666666666669</v>
      </c>
      <c r="S517" s="2">
        <v>0.51388888888888884</v>
      </c>
      <c r="T517" t="str" cm="1">
        <f t="array" ref="T517">_xlfn.IFS(H517&gt;=90,"A",H517&gt;=75,"B",H517&gt;=60,"C",H517&lt;60,"D")</f>
        <v>A</v>
      </c>
      <c r="U517" t="str">
        <f t="shared" si="32"/>
        <v>10:45 AM</v>
      </c>
      <c r="V517" t="str">
        <f t="shared" si="33"/>
        <v>On Time</v>
      </c>
      <c r="W517" t="str">
        <f t="shared" si="34"/>
        <v>1 Hours 35 Minutes</v>
      </c>
      <c r="X517" t="str">
        <f t="shared" si="35"/>
        <v>Long Time Login</v>
      </c>
      <c r="AA517" s="35" t="s">
        <v>788</v>
      </c>
      <c r="AB517" s="35" t="s">
        <v>307</v>
      </c>
      <c r="AC517" s="35">
        <v>93</v>
      </c>
      <c r="AD517" s="35">
        <v>83</v>
      </c>
      <c r="AE517" s="35" t="s">
        <v>59</v>
      </c>
      <c r="AF517" s="35">
        <v>4000</v>
      </c>
      <c r="AH517" s="35" t="s">
        <v>27</v>
      </c>
    </row>
    <row r="518" spans="1:34">
      <c r="A518" t="s">
        <v>789</v>
      </c>
      <c r="B518" t="s">
        <v>282</v>
      </c>
      <c r="C518">
        <v>18</v>
      </c>
      <c r="D518" t="s">
        <v>35</v>
      </c>
      <c r="E518" t="s">
        <v>122</v>
      </c>
      <c r="F518" t="s">
        <v>63</v>
      </c>
      <c r="G518" t="s">
        <v>64</v>
      </c>
      <c r="H518">
        <v>75</v>
      </c>
      <c r="I518">
        <v>78</v>
      </c>
      <c r="J518" t="s">
        <v>45</v>
      </c>
      <c r="K518">
        <v>20000</v>
      </c>
      <c r="L518">
        <v>23010</v>
      </c>
      <c r="M518">
        <v>0</v>
      </c>
      <c r="N518" t="s">
        <v>11</v>
      </c>
      <c r="O518" t="s">
        <v>27</v>
      </c>
      <c r="P518" s="1">
        <v>45755</v>
      </c>
      <c r="Q518" s="1">
        <v>45935</v>
      </c>
      <c r="R518" s="2">
        <v>0.34861111111111109</v>
      </c>
      <c r="S518" s="2">
        <v>0.46180555555555558</v>
      </c>
      <c r="T518" t="str" cm="1">
        <f t="array" ref="T518">_xlfn.IFS(H518&gt;=90,"A",H518&gt;=75,"B",H518&gt;=60,"C",H518&lt;60,"D")</f>
        <v>B</v>
      </c>
      <c r="U518" t="str">
        <f t="shared" si="32"/>
        <v>08:22 AM</v>
      </c>
      <c r="V518" t="str">
        <f t="shared" si="33"/>
        <v>Delayed</v>
      </c>
      <c r="W518" t="str">
        <f t="shared" si="34"/>
        <v>2 Hours 43 Minutes</v>
      </c>
      <c r="X518" t="str">
        <f t="shared" si="35"/>
        <v>Short Time Login</v>
      </c>
      <c r="AA518" s="34" t="s">
        <v>789</v>
      </c>
      <c r="AB518" s="34" t="s">
        <v>282</v>
      </c>
      <c r="AC518" s="34">
        <v>75</v>
      </c>
      <c r="AD518" s="34">
        <v>78</v>
      </c>
      <c r="AE518" s="34" t="s">
        <v>45</v>
      </c>
      <c r="AF518" s="34">
        <v>0</v>
      </c>
      <c r="AH518" s="34" t="s">
        <v>27</v>
      </c>
    </row>
    <row r="519" spans="1:34">
      <c r="A519" t="s">
        <v>790</v>
      </c>
      <c r="B519" t="s">
        <v>185</v>
      </c>
      <c r="C519">
        <v>23</v>
      </c>
      <c r="D519" t="s">
        <v>35</v>
      </c>
      <c r="E519" t="s">
        <v>48</v>
      </c>
      <c r="F519" t="s">
        <v>40</v>
      </c>
      <c r="G519" t="s">
        <v>41</v>
      </c>
      <c r="H519">
        <v>75</v>
      </c>
      <c r="I519">
        <v>78</v>
      </c>
      <c r="J519" t="s">
        <v>45</v>
      </c>
      <c r="K519">
        <v>12000</v>
      </c>
      <c r="L519">
        <v>9570</v>
      </c>
      <c r="M519">
        <v>4000</v>
      </c>
      <c r="N519" t="s">
        <v>26</v>
      </c>
      <c r="O519" t="s">
        <v>27</v>
      </c>
      <c r="P519" s="1">
        <v>45893</v>
      </c>
      <c r="Q519" s="1">
        <v>45953</v>
      </c>
      <c r="R519" s="2">
        <v>0.34166666666666667</v>
      </c>
      <c r="S519" s="2">
        <v>0.51180555555555551</v>
      </c>
      <c r="T519" t="str" cm="1">
        <f t="array" ref="T519">_xlfn.IFS(H519&gt;=90,"A",H519&gt;=75,"B",H519&gt;=60,"C",H519&lt;60,"D")</f>
        <v>B</v>
      </c>
      <c r="U519" t="str">
        <f t="shared" si="32"/>
        <v>08:12 AM</v>
      </c>
      <c r="V519" t="str">
        <f t="shared" si="33"/>
        <v>On Time</v>
      </c>
      <c r="W519" t="str">
        <f t="shared" si="34"/>
        <v>4 Hours 5 Minutes</v>
      </c>
      <c r="X519" t="str">
        <f t="shared" si="35"/>
        <v>Short Time Login</v>
      </c>
      <c r="AA519" s="35" t="s">
        <v>790</v>
      </c>
      <c r="AB519" s="35" t="s">
        <v>185</v>
      </c>
      <c r="AC519" s="35">
        <v>75</v>
      </c>
      <c r="AD519" s="35">
        <v>78</v>
      </c>
      <c r="AE519" s="35" t="s">
        <v>45</v>
      </c>
      <c r="AF519" s="35">
        <v>4000</v>
      </c>
      <c r="AH519" s="35" t="s">
        <v>27</v>
      </c>
    </row>
    <row r="520" spans="1:34">
      <c r="A520" t="s">
        <v>791</v>
      </c>
      <c r="B520" t="s">
        <v>201</v>
      </c>
      <c r="C520">
        <v>26</v>
      </c>
      <c r="D520" t="s">
        <v>35</v>
      </c>
      <c r="E520" t="s">
        <v>62</v>
      </c>
      <c r="F520" t="s">
        <v>57</v>
      </c>
      <c r="G520" t="s">
        <v>58</v>
      </c>
      <c r="H520">
        <v>95</v>
      </c>
      <c r="I520">
        <v>71</v>
      </c>
      <c r="J520" t="s">
        <v>59</v>
      </c>
      <c r="K520">
        <v>18000</v>
      </c>
      <c r="L520">
        <v>18060</v>
      </c>
      <c r="M520">
        <v>2000</v>
      </c>
      <c r="N520" t="s">
        <v>26</v>
      </c>
      <c r="O520" t="s">
        <v>27</v>
      </c>
      <c r="P520" s="1">
        <v>45661</v>
      </c>
      <c r="Q520" s="1">
        <v>45841</v>
      </c>
      <c r="R520" s="2">
        <v>0.44097222222222221</v>
      </c>
      <c r="S520" s="2">
        <v>0.48888888888888887</v>
      </c>
      <c r="T520" t="str" cm="1">
        <f t="array" ref="T520">_xlfn.IFS(H520&gt;=90,"A",H520&gt;=75,"B",H520&gt;=60,"C",H520&lt;60,"D")</f>
        <v>A</v>
      </c>
      <c r="U520" t="str">
        <f t="shared" si="32"/>
        <v>10:35 AM</v>
      </c>
      <c r="V520" t="str">
        <f t="shared" si="33"/>
        <v>Delayed</v>
      </c>
      <c r="W520" t="str">
        <f t="shared" si="34"/>
        <v>1 Hours 9 Minutes</v>
      </c>
      <c r="X520" t="str">
        <f t="shared" si="35"/>
        <v>Long Time Login</v>
      </c>
      <c r="AA520" s="34" t="s">
        <v>791</v>
      </c>
      <c r="AB520" s="34" t="s">
        <v>201</v>
      </c>
      <c r="AC520" s="34">
        <v>95</v>
      </c>
      <c r="AD520" s="34">
        <v>71</v>
      </c>
      <c r="AE520" s="34" t="s">
        <v>59</v>
      </c>
      <c r="AF520" s="34">
        <v>2000</v>
      </c>
      <c r="AH520" s="34" t="s">
        <v>27</v>
      </c>
    </row>
    <row r="521" spans="1:34">
      <c r="A521" t="s">
        <v>792</v>
      </c>
      <c r="B521" t="s">
        <v>199</v>
      </c>
      <c r="C521">
        <v>20</v>
      </c>
      <c r="D521" t="s">
        <v>21</v>
      </c>
      <c r="E521" t="s">
        <v>48</v>
      </c>
      <c r="F521" t="s">
        <v>31</v>
      </c>
      <c r="G521" t="s">
        <v>32</v>
      </c>
      <c r="H521">
        <v>62</v>
      </c>
      <c r="I521">
        <v>90</v>
      </c>
      <c r="J521" t="s">
        <v>68</v>
      </c>
      <c r="K521">
        <v>18000</v>
      </c>
      <c r="L521">
        <v>20060</v>
      </c>
      <c r="M521">
        <v>0</v>
      </c>
      <c r="N521" t="s">
        <v>11</v>
      </c>
      <c r="O521" t="s">
        <v>27</v>
      </c>
      <c r="P521" s="1">
        <v>45699</v>
      </c>
      <c r="Q521" s="1">
        <v>45819</v>
      </c>
      <c r="R521" s="2">
        <v>0.43055555555555558</v>
      </c>
      <c r="S521" s="2">
        <v>0.50486111111111109</v>
      </c>
      <c r="T521" t="str" cm="1">
        <f t="array" ref="T521">_xlfn.IFS(H521&gt;=90,"A",H521&gt;=75,"B",H521&gt;=60,"C",H521&lt;60,"D")</f>
        <v>C</v>
      </c>
      <c r="U521" t="str">
        <f t="shared" si="32"/>
        <v>10:20 AM</v>
      </c>
      <c r="V521" t="str">
        <f t="shared" si="33"/>
        <v>Delayed</v>
      </c>
      <c r="W521" t="str">
        <f t="shared" si="34"/>
        <v>1 Hours 47 Minutes</v>
      </c>
      <c r="X521" t="str">
        <f t="shared" si="35"/>
        <v>Long Time Login</v>
      </c>
      <c r="AA521" s="35" t="s">
        <v>792</v>
      </c>
      <c r="AB521" s="35" t="s">
        <v>199</v>
      </c>
      <c r="AC521" s="35">
        <v>62</v>
      </c>
      <c r="AD521" s="35">
        <v>90</v>
      </c>
      <c r="AE521" s="35" t="s">
        <v>68</v>
      </c>
      <c r="AF521" s="35">
        <v>0</v>
      </c>
      <c r="AH521" s="35" t="s">
        <v>27</v>
      </c>
    </row>
    <row r="522" spans="1:34">
      <c r="A522" t="s">
        <v>793</v>
      </c>
      <c r="B522" t="s">
        <v>794</v>
      </c>
      <c r="C522">
        <v>24</v>
      </c>
      <c r="D522" t="s">
        <v>21</v>
      </c>
      <c r="E522" t="s">
        <v>44</v>
      </c>
      <c r="F522" t="s">
        <v>23</v>
      </c>
      <c r="G522" t="s">
        <v>24</v>
      </c>
      <c r="H522">
        <v>79</v>
      </c>
      <c r="I522">
        <v>74</v>
      </c>
      <c r="J522" t="s">
        <v>45</v>
      </c>
      <c r="K522">
        <v>10000</v>
      </c>
      <c r="L522">
        <v>6620</v>
      </c>
      <c r="M522">
        <v>4000</v>
      </c>
      <c r="N522" t="s">
        <v>26</v>
      </c>
      <c r="O522" t="s">
        <v>27</v>
      </c>
      <c r="P522" s="1">
        <v>45914</v>
      </c>
      <c r="Q522" s="1">
        <v>45944</v>
      </c>
      <c r="R522" s="2">
        <v>0.39374999999999999</v>
      </c>
      <c r="S522" s="2">
        <v>0.49583333333333335</v>
      </c>
      <c r="T522" t="str" cm="1">
        <f t="array" ref="T522">_xlfn.IFS(H522&gt;=90,"A",H522&gt;=75,"B",H522&gt;=60,"C",H522&lt;60,"D")</f>
        <v>B</v>
      </c>
      <c r="U522" t="str">
        <f t="shared" si="32"/>
        <v>09:27 AM</v>
      </c>
      <c r="V522" t="str">
        <f t="shared" si="33"/>
        <v>On Time</v>
      </c>
      <c r="W522" t="str">
        <f t="shared" si="34"/>
        <v>2 Hours 27 Minutes</v>
      </c>
      <c r="X522" t="str">
        <f t="shared" si="35"/>
        <v>Short Time Login</v>
      </c>
      <c r="AA522" s="34" t="s">
        <v>793</v>
      </c>
      <c r="AB522" s="34" t="s">
        <v>794</v>
      </c>
      <c r="AC522" s="34">
        <v>79</v>
      </c>
      <c r="AD522" s="34">
        <v>74</v>
      </c>
      <c r="AE522" s="34" t="s">
        <v>45</v>
      </c>
      <c r="AF522" s="34">
        <v>4000</v>
      </c>
      <c r="AH522" s="34" t="s">
        <v>27</v>
      </c>
    </row>
    <row r="523" spans="1:34">
      <c r="A523" t="s">
        <v>795</v>
      </c>
      <c r="B523" t="s">
        <v>796</v>
      </c>
      <c r="C523">
        <v>20</v>
      </c>
      <c r="D523" t="s">
        <v>35</v>
      </c>
      <c r="E523" t="s">
        <v>39</v>
      </c>
      <c r="F523" t="s">
        <v>88</v>
      </c>
      <c r="G523" t="s">
        <v>89</v>
      </c>
      <c r="H523">
        <v>54</v>
      </c>
      <c r="I523">
        <v>97</v>
      </c>
      <c r="J523" t="s">
        <v>25</v>
      </c>
      <c r="K523">
        <v>15000</v>
      </c>
      <c r="L523">
        <v>13700</v>
      </c>
      <c r="M523">
        <v>4000</v>
      </c>
      <c r="N523" t="s">
        <v>26</v>
      </c>
      <c r="O523" t="s">
        <v>27</v>
      </c>
      <c r="P523" s="1">
        <v>45772</v>
      </c>
      <c r="Q523" s="1">
        <v>45832</v>
      </c>
      <c r="R523" s="2">
        <v>0.35069444444444442</v>
      </c>
      <c r="S523" s="2">
        <v>0.53749999999999998</v>
      </c>
      <c r="T523" t="str" cm="1">
        <f t="array" ref="T523">_xlfn.IFS(H523&gt;=90,"A",H523&gt;=75,"B",H523&gt;=60,"C",H523&lt;60,"D")</f>
        <v>D</v>
      </c>
      <c r="U523" t="str">
        <f t="shared" si="32"/>
        <v>08:25 AM</v>
      </c>
      <c r="V523" t="str">
        <f t="shared" si="33"/>
        <v>On Time</v>
      </c>
      <c r="W523" t="str">
        <f t="shared" si="34"/>
        <v>4 Hours 29 Minutes</v>
      </c>
      <c r="X523" t="str">
        <f t="shared" si="35"/>
        <v>Short Time Login</v>
      </c>
      <c r="AA523" s="35" t="s">
        <v>795</v>
      </c>
      <c r="AB523" s="35" t="s">
        <v>796</v>
      </c>
      <c r="AC523" s="35">
        <v>54</v>
      </c>
      <c r="AD523" s="35">
        <v>97</v>
      </c>
      <c r="AE523" s="35" t="s">
        <v>25</v>
      </c>
      <c r="AF523" s="35">
        <v>4000</v>
      </c>
      <c r="AH523" s="35" t="s">
        <v>27</v>
      </c>
    </row>
    <row r="524" spans="1:34">
      <c r="A524" t="s">
        <v>797</v>
      </c>
      <c r="B524" t="s">
        <v>691</v>
      </c>
      <c r="C524">
        <v>28</v>
      </c>
      <c r="D524" t="s">
        <v>21</v>
      </c>
      <c r="E524" t="s">
        <v>48</v>
      </c>
      <c r="F524" t="s">
        <v>31</v>
      </c>
      <c r="G524" t="s">
        <v>32</v>
      </c>
      <c r="H524">
        <v>96</v>
      </c>
      <c r="I524">
        <v>90</v>
      </c>
      <c r="J524" t="s">
        <v>59</v>
      </c>
      <c r="K524">
        <v>15000</v>
      </c>
      <c r="L524">
        <v>15700</v>
      </c>
      <c r="M524">
        <v>2000</v>
      </c>
      <c r="N524" t="s">
        <v>26</v>
      </c>
      <c r="O524" t="s">
        <v>27</v>
      </c>
      <c r="P524" s="1">
        <v>45820</v>
      </c>
      <c r="Q524" s="1">
        <v>45940</v>
      </c>
      <c r="R524" s="2">
        <v>0.43888888888888888</v>
      </c>
      <c r="S524" s="2">
        <v>0.59583333333333333</v>
      </c>
      <c r="T524" t="str" cm="1">
        <f t="array" ref="T524">_xlfn.IFS(H524&gt;=90,"A",H524&gt;=75,"B",H524&gt;=60,"C",H524&lt;60,"D")</f>
        <v>A</v>
      </c>
      <c r="U524" t="str">
        <f t="shared" si="32"/>
        <v>10:32 AM</v>
      </c>
      <c r="V524" t="str">
        <f t="shared" si="33"/>
        <v>Delayed</v>
      </c>
      <c r="W524" t="str">
        <f t="shared" si="34"/>
        <v>3 Hours 46 Minutes</v>
      </c>
      <c r="X524" t="str">
        <f t="shared" si="35"/>
        <v>Long Time Login</v>
      </c>
      <c r="AA524" s="34" t="s">
        <v>797</v>
      </c>
      <c r="AB524" s="34" t="s">
        <v>691</v>
      </c>
      <c r="AC524" s="34">
        <v>96</v>
      </c>
      <c r="AD524" s="34">
        <v>90</v>
      </c>
      <c r="AE524" s="34" t="s">
        <v>59</v>
      </c>
      <c r="AF524" s="34">
        <v>2000</v>
      </c>
      <c r="AH524" s="34" t="s">
        <v>27</v>
      </c>
    </row>
    <row r="525" spans="1:34">
      <c r="A525" t="s">
        <v>798</v>
      </c>
      <c r="B525" t="s">
        <v>177</v>
      </c>
      <c r="C525">
        <v>25</v>
      </c>
      <c r="D525" t="s">
        <v>21</v>
      </c>
      <c r="E525" t="s">
        <v>39</v>
      </c>
      <c r="F525" t="s">
        <v>53</v>
      </c>
      <c r="G525" t="s">
        <v>54</v>
      </c>
      <c r="H525">
        <v>84</v>
      </c>
      <c r="I525">
        <v>86</v>
      </c>
      <c r="J525" t="s">
        <v>45</v>
      </c>
      <c r="K525">
        <v>15000</v>
      </c>
      <c r="L525">
        <v>11930</v>
      </c>
      <c r="M525">
        <v>4000</v>
      </c>
      <c r="N525" t="s">
        <v>26</v>
      </c>
      <c r="O525" t="s">
        <v>27</v>
      </c>
      <c r="P525" s="1">
        <v>45807</v>
      </c>
      <c r="Q525" s="1">
        <v>45837</v>
      </c>
      <c r="R525" s="2">
        <v>0.42430555555555555</v>
      </c>
      <c r="S525" s="2">
        <v>0.57638888888888884</v>
      </c>
      <c r="T525" t="str" cm="1">
        <f t="array" ref="T525">_xlfn.IFS(H525&gt;=90,"A",H525&gt;=75,"B",H525&gt;=60,"C",H525&lt;60,"D")</f>
        <v>B</v>
      </c>
      <c r="U525" t="str">
        <f t="shared" si="32"/>
        <v>10:11 AM</v>
      </c>
      <c r="V525" t="str">
        <f t="shared" si="33"/>
        <v>On Time</v>
      </c>
      <c r="W525" t="str">
        <f t="shared" si="34"/>
        <v>3 Hours 39 Minutes</v>
      </c>
      <c r="X525" t="str">
        <f t="shared" si="35"/>
        <v>Long Time Login</v>
      </c>
      <c r="AA525" s="35" t="s">
        <v>798</v>
      </c>
      <c r="AB525" s="35" t="s">
        <v>177</v>
      </c>
      <c r="AC525" s="35">
        <v>84</v>
      </c>
      <c r="AD525" s="35">
        <v>86</v>
      </c>
      <c r="AE525" s="35" t="s">
        <v>45</v>
      </c>
      <c r="AF525" s="35">
        <v>4000</v>
      </c>
      <c r="AH525" s="35" t="s">
        <v>27</v>
      </c>
    </row>
    <row r="526" spans="1:34">
      <c r="A526" t="s">
        <v>799</v>
      </c>
      <c r="B526" t="s">
        <v>493</v>
      </c>
      <c r="C526">
        <v>20</v>
      </c>
      <c r="D526" t="s">
        <v>21</v>
      </c>
      <c r="E526" t="s">
        <v>96</v>
      </c>
      <c r="F526" t="s">
        <v>23</v>
      </c>
      <c r="G526" t="s">
        <v>24</v>
      </c>
      <c r="H526">
        <v>82</v>
      </c>
      <c r="I526">
        <v>65</v>
      </c>
      <c r="J526" t="s">
        <v>45</v>
      </c>
      <c r="K526">
        <v>10000</v>
      </c>
      <c r="L526">
        <v>7210</v>
      </c>
      <c r="M526">
        <v>4000</v>
      </c>
      <c r="N526" t="s">
        <v>26</v>
      </c>
      <c r="O526" t="s">
        <v>27</v>
      </c>
      <c r="P526" s="1">
        <v>45844</v>
      </c>
      <c r="Q526" s="1">
        <v>46024</v>
      </c>
      <c r="R526" s="2">
        <v>0.43958333333333333</v>
      </c>
      <c r="S526" s="2">
        <v>0.64444444444444449</v>
      </c>
      <c r="T526" t="str" cm="1">
        <f t="array" ref="T526">_xlfn.IFS(H526&gt;=90,"A",H526&gt;=75,"B",H526&gt;=60,"C",H526&lt;60,"D")</f>
        <v>B</v>
      </c>
      <c r="U526" t="str">
        <f t="shared" si="32"/>
        <v>10:33 AM</v>
      </c>
      <c r="V526" t="str">
        <f t="shared" si="33"/>
        <v>Delayed</v>
      </c>
      <c r="W526" t="str">
        <f t="shared" si="34"/>
        <v>4 Hours 55 Minutes</v>
      </c>
      <c r="X526" t="str">
        <f t="shared" si="35"/>
        <v>Long Time Login</v>
      </c>
      <c r="AA526" s="34" t="s">
        <v>799</v>
      </c>
      <c r="AB526" s="34" t="s">
        <v>493</v>
      </c>
      <c r="AC526" s="34">
        <v>82</v>
      </c>
      <c r="AD526" s="34">
        <v>65</v>
      </c>
      <c r="AE526" s="34" t="s">
        <v>45</v>
      </c>
      <c r="AF526" s="34">
        <v>4000</v>
      </c>
      <c r="AH526" s="34" t="s">
        <v>27</v>
      </c>
    </row>
    <row r="527" spans="1:34">
      <c r="A527" t="s">
        <v>800</v>
      </c>
      <c r="B527" t="s">
        <v>181</v>
      </c>
      <c r="C527">
        <v>18</v>
      </c>
      <c r="D527" t="s">
        <v>21</v>
      </c>
      <c r="E527" t="s">
        <v>22</v>
      </c>
      <c r="F527" t="s">
        <v>31</v>
      </c>
      <c r="G527" t="s">
        <v>32</v>
      </c>
      <c r="H527">
        <v>47</v>
      </c>
      <c r="I527">
        <v>66</v>
      </c>
      <c r="J527" t="s">
        <v>25</v>
      </c>
      <c r="K527">
        <v>10000</v>
      </c>
      <c r="L527">
        <v>10620</v>
      </c>
      <c r="M527">
        <v>0</v>
      </c>
      <c r="N527" t="s">
        <v>11</v>
      </c>
      <c r="O527" t="s">
        <v>27</v>
      </c>
      <c r="P527" s="1">
        <v>45965</v>
      </c>
      <c r="Q527" s="1">
        <v>46055</v>
      </c>
      <c r="R527" s="2">
        <v>0.43194444444444446</v>
      </c>
      <c r="S527" s="2">
        <v>0.59652777777777777</v>
      </c>
      <c r="T527" t="str" cm="1">
        <f t="array" ref="T527">_xlfn.IFS(H527&gt;=90,"A",H527&gt;=75,"B",H527&gt;=60,"C",H527&lt;60,"D")</f>
        <v>D</v>
      </c>
      <c r="U527" t="str">
        <f t="shared" si="32"/>
        <v>10:22 AM</v>
      </c>
      <c r="V527" t="str">
        <f t="shared" si="33"/>
        <v>On Time</v>
      </c>
      <c r="W527" t="str">
        <f t="shared" si="34"/>
        <v>3 Hours 57 Minutes</v>
      </c>
      <c r="X527" t="str">
        <f t="shared" si="35"/>
        <v>Long Time Login</v>
      </c>
      <c r="AA527" s="35" t="s">
        <v>800</v>
      </c>
      <c r="AB527" s="35" t="s">
        <v>181</v>
      </c>
      <c r="AC527" s="35">
        <v>47</v>
      </c>
      <c r="AD527" s="35">
        <v>66</v>
      </c>
      <c r="AE527" s="35" t="s">
        <v>25</v>
      </c>
      <c r="AF527" s="35">
        <v>0</v>
      </c>
      <c r="AH527" s="35" t="s">
        <v>27</v>
      </c>
    </row>
    <row r="528" spans="1:34">
      <c r="A528" t="s">
        <v>801</v>
      </c>
      <c r="B528" t="s">
        <v>220</v>
      </c>
      <c r="C528">
        <v>24</v>
      </c>
      <c r="D528" t="s">
        <v>35</v>
      </c>
      <c r="E528" t="s">
        <v>48</v>
      </c>
      <c r="F528" t="s">
        <v>31</v>
      </c>
      <c r="G528" t="s">
        <v>32</v>
      </c>
      <c r="H528">
        <v>88</v>
      </c>
      <c r="I528">
        <v>83</v>
      </c>
      <c r="J528" t="s">
        <v>45</v>
      </c>
      <c r="K528">
        <v>10000</v>
      </c>
      <c r="L528">
        <v>10030</v>
      </c>
      <c r="M528">
        <v>0</v>
      </c>
      <c r="N528" t="s">
        <v>11</v>
      </c>
      <c r="O528" t="s">
        <v>27</v>
      </c>
      <c r="P528" s="1">
        <v>45686</v>
      </c>
      <c r="Q528" s="1">
        <v>45866</v>
      </c>
      <c r="R528" s="2">
        <v>0.38194444444444442</v>
      </c>
      <c r="S528" s="2">
        <v>0.42986111111111114</v>
      </c>
      <c r="T528" t="str" cm="1">
        <f t="array" ref="T528">_xlfn.IFS(H528&gt;=90,"A",H528&gt;=75,"B",H528&gt;=60,"C",H528&lt;60,"D")</f>
        <v>B</v>
      </c>
      <c r="U528" t="str">
        <f t="shared" si="32"/>
        <v>09:10 AM</v>
      </c>
      <c r="V528" t="str">
        <f t="shared" si="33"/>
        <v>Delayed</v>
      </c>
      <c r="W528" t="str">
        <f t="shared" si="34"/>
        <v>1 Hours 9 Minutes</v>
      </c>
      <c r="X528" t="str">
        <f t="shared" si="35"/>
        <v>Short Time Login</v>
      </c>
      <c r="AA528" s="34" t="s">
        <v>801</v>
      </c>
      <c r="AB528" s="34" t="s">
        <v>220</v>
      </c>
      <c r="AC528" s="34">
        <v>88</v>
      </c>
      <c r="AD528" s="34">
        <v>83</v>
      </c>
      <c r="AE528" s="34" t="s">
        <v>45</v>
      </c>
      <c r="AF528" s="34">
        <v>0</v>
      </c>
      <c r="AH528" s="34" t="s">
        <v>27</v>
      </c>
    </row>
    <row r="529" spans="1:34">
      <c r="A529" t="s">
        <v>802</v>
      </c>
      <c r="B529" t="s">
        <v>183</v>
      </c>
      <c r="C529">
        <v>25</v>
      </c>
      <c r="D529" t="s">
        <v>21</v>
      </c>
      <c r="E529" t="s">
        <v>122</v>
      </c>
      <c r="F529" t="s">
        <v>57</v>
      </c>
      <c r="G529" t="s">
        <v>58</v>
      </c>
      <c r="H529">
        <v>98</v>
      </c>
      <c r="I529">
        <v>77</v>
      </c>
      <c r="J529" t="s">
        <v>59</v>
      </c>
      <c r="K529">
        <v>12000</v>
      </c>
      <c r="L529">
        <v>8390</v>
      </c>
      <c r="M529">
        <v>4000</v>
      </c>
      <c r="N529" t="s">
        <v>26</v>
      </c>
      <c r="O529" t="s">
        <v>27</v>
      </c>
      <c r="P529" s="1">
        <v>45892</v>
      </c>
      <c r="Q529" s="1">
        <v>45952</v>
      </c>
      <c r="R529" s="2">
        <v>0.45277777777777778</v>
      </c>
      <c r="S529" s="2">
        <v>0.53055555555555556</v>
      </c>
      <c r="T529" t="str" cm="1">
        <f t="array" ref="T529">_xlfn.IFS(H529&gt;=90,"A",H529&gt;=75,"B",H529&gt;=60,"C",H529&lt;60,"D")</f>
        <v>A</v>
      </c>
      <c r="U529" t="str">
        <f t="shared" si="32"/>
        <v>10:52 AM</v>
      </c>
      <c r="V529" t="str">
        <f t="shared" si="33"/>
        <v>On Time</v>
      </c>
      <c r="W529" t="str">
        <f t="shared" si="34"/>
        <v>1 Hours 52 Minutes</v>
      </c>
      <c r="X529" t="str">
        <f t="shared" si="35"/>
        <v>Long Time Login</v>
      </c>
      <c r="AA529" s="35" t="s">
        <v>802</v>
      </c>
      <c r="AB529" s="35" t="s">
        <v>183</v>
      </c>
      <c r="AC529" s="35">
        <v>98</v>
      </c>
      <c r="AD529" s="35">
        <v>77</v>
      </c>
      <c r="AE529" s="35" t="s">
        <v>59</v>
      </c>
      <c r="AF529" s="35">
        <v>4000</v>
      </c>
      <c r="AH529" s="35" t="s">
        <v>27</v>
      </c>
    </row>
    <row r="530" spans="1:34">
      <c r="A530" t="s">
        <v>803</v>
      </c>
      <c r="B530" t="s">
        <v>108</v>
      </c>
      <c r="C530">
        <v>28</v>
      </c>
      <c r="D530" t="s">
        <v>21</v>
      </c>
      <c r="E530" t="s">
        <v>73</v>
      </c>
      <c r="F530" t="s">
        <v>57</v>
      </c>
      <c r="G530" t="s">
        <v>58</v>
      </c>
      <c r="H530">
        <v>62</v>
      </c>
      <c r="I530">
        <v>98</v>
      </c>
      <c r="J530" t="s">
        <v>68</v>
      </c>
      <c r="K530">
        <v>18000</v>
      </c>
      <c r="L530">
        <v>18650</v>
      </c>
      <c r="M530">
        <v>2000</v>
      </c>
      <c r="N530" t="s">
        <v>26</v>
      </c>
      <c r="O530" t="s">
        <v>27</v>
      </c>
      <c r="P530" s="1">
        <v>45862</v>
      </c>
      <c r="Q530" s="1">
        <v>46042</v>
      </c>
      <c r="R530" s="2">
        <v>0.35069444444444442</v>
      </c>
      <c r="S530" s="2">
        <v>0.54097222222222219</v>
      </c>
      <c r="T530" t="str" cm="1">
        <f t="array" ref="T530">_xlfn.IFS(H530&gt;=90,"A",H530&gt;=75,"B",H530&gt;=60,"C",H530&lt;60,"D")</f>
        <v>C</v>
      </c>
      <c r="U530" t="str">
        <f t="shared" si="32"/>
        <v>08:25 AM</v>
      </c>
      <c r="V530" t="str">
        <f t="shared" si="33"/>
        <v>Delayed</v>
      </c>
      <c r="W530" t="str">
        <f t="shared" si="34"/>
        <v>4 Hours 34 Minutes</v>
      </c>
      <c r="X530" t="str">
        <f t="shared" si="35"/>
        <v>Short Time Login</v>
      </c>
      <c r="AA530" s="34" t="s">
        <v>803</v>
      </c>
      <c r="AB530" s="34" t="s">
        <v>108</v>
      </c>
      <c r="AC530" s="34">
        <v>62</v>
      </c>
      <c r="AD530" s="34">
        <v>98</v>
      </c>
      <c r="AE530" s="34" t="s">
        <v>68</v>
      </c>
      <c r="AF530" s="34">
        <v>2000</v>
      </c>
      <c r="AH530" s="34" t="s">
        <v>27</v>
      </c>
    </row>
    <row r="531" spans="1:34">
      <c r="A531" t="s">
        <v>804</v>
      </c>
      <c r="B531" t="s">
        <v>503</v>
      </c>
      <c r="C531">
        <v>23</v>
      </c>
      <c r="D531" t="s">
        <v>21</v>
      </c>
      <c r="E531" t="s">
        <v>62</v>
      </c>
      <c r="F531" t="s">
        <v>23</v>
      </c>
      <c r="G531" t="s">
        <v>24</v>
      </c>
      <c r="H531">
        <v>51</v>
      </c>
      <c r="I531">
        <v>73</v>
      </c>
      <c r="J531" t="s">
        <v>25</v>
      </c>
      <c r="K531">
        <v>10000</v>
      </c>
      <c r="L531">
        <v>11210</v>
      </c>
      <c r="M531">
        <v>0</v>
      </c>
      <c r="N531" t="s">
        <v>11</v>
      </c>
      <c r="O531" t="s">
        <v>27</v>
      </c>
      <c r="P531" s="1">
        <v>45766</v>
      </c>
      <c r="Q531" s="1">
        <v>45946</v>
      </c>
      <c r="R531" s="2">
        <v>0.4284722222222222</v>
      </c>
      <c r="S531" s="2">
        <v>0.59236111111111112</v>
      </c>
      <c r="T531" t="str" cm="1">
        <f t="array" ref="T531">_xlfn.IFS(H531&gt;=90,"A",H531&gt;=75,"B",H531&gt;=60,"C",H531&lt;60,"D")</f>
        <v>D</v>
      </c>
      <c r="U531" t="str">
        <f t="shared" si="32"/>
        <v>10:17 AM</v>
      </c>
      <c r="V531" t="str">
        <f t="shared" si="33"/>
        <v>Delayed</v>
      </c>
      <c r="W531" t="str">
        <f t="shared" si="34"/>
        <v>3 Hours 56 Minutes</v>
      </c>
      <c r="X531" t="str">
        <f t="shared" si="35"/>
        <v>Long Time Login</v>
      </c>
      <c r="AA531" s="35" t="s">
        <v>804</v>
      </c>
      <c r="AB531" s="35" t="s">
        <v>503</v>
      </c>
      <c r="AC531" s="35">
        <v>51</v>
      </c>
      <c r="AD531" s="35">
        <v>73</v>
      </c>
      <c r="AE531" s="35" t="s">
        <v>25</v>
      </c>
      <c r="AF531" s="35">
        <v>0</v>
      </c>
      <c r="AH531" s="35" t="s">
        <v>27</v>
      </c>
    </row>
    <row r="532" spans="1:34">
      <c r="A532" t="s">
        <v>805</v>
      </c>
      <c r="B532" t="s">
        <v>338</v>
      </c>
      <c r="C532">
        <v>18</v>
      </c>
      <c r="D532" t="s">
        <v>35</v>
      </c>
      <c r="E532" t="s">
        <v>73</v>
      </c>
      <c r="F532" t="s">
        <v>23</v>
      </c>
      <c r="G532" t="s">
        <v>24</v>
      </c>
      <c r="H532">
        <v>36</v>
      </c>
      <c r="I532">
        <v>84</v>
      </c>
      <c r="J532" t="s">
        <v>25</v>
      </c>
      <c r="K532">
        <v>18000</v>
      </c>
      <c r="L532">
        <v>15470</v>
      </c>
      <c r="M532">
        <v>4000</v>
      </c>
      <c r="N532" t="s">
        <v>26</v>
      </c>
      <c r="O532" t="s">
        <v>27</v>
      </c>
      <c r="P532" s="1">
        <v>45960</v>
      </c>
      <c r="Q532" s="1">
        <v>46020</v>
      </c>
      <c r="R532" s="2">
        <v>0.37638888888888888</v>
      </c>
      <c r="S532" s="2">
        <v>0.55277777777777781</v>
      </c>
      <c r="T532" t="str" cm="1">
        <f t="array" ref="T532">_xlfn.IFS(H532&gt;=90,"A",H532&gt;=75,"B",H532&gt;=60,"C",H532&lt;60,"D")</f>
        <v>D</v>
      </c>
      <c r="U532" t="str">
        <f t="shared" si="32"/>
        <v>09:02 AM</v>
      </c>
      <c r="V532" t="str">
        <f t="shared" si="33"/>
        <v>On Time</v>
      </c>
      <c r="W532" t="str">
        <f t="shared" si="34"/>
        <v>4 Hours 14 Minutes</v>
      </c>
      <c r="X532" t="str">
        <f t="shared" si="35"/>
        <v>Short Time Login</v>
      </c>
      <c r="AA532" s="34" t="s">
        <v>805</v>
      </c>
      <c r="AB532" s="34" t="s">
        <v>338</v>
      </c>
      <c r="AC532" s="34">
        <v>36</v>
      </c>
      <c r="AD532" s="34">
        <v>84</v>
      </c>
      <c r="AE532" s="34" t="s">
        <v>25</v>
      </c>
      <c r="AF532" s="34">
        <v>4000</v>
      </c>
      <c r="AH532" s="34" t="s">
        <v>27</v>
      </c>
    </row>
    <row r="533" spans="1:34">
      <c r="A533" t="s">
        <v>806</v>
      </c>
      <c r="B533" t="s">
        <v>434</v>
      </c>
      <c r="C533">
        <v>26</v>
      </c>
      <c r="D533" t="s">
        <v>35</v>
      </c>
      <c r="E533" t="s">
        <v>67</v>
      </c>
      <c r="F533" t="s">
        <v>31</v>
      </c>
      <c r="G533" t="s">
        <v>32</v>
      </c>
      <c r="H533">
        <v>38</v>
      </c>
      <c r="I533">
        <v>61</v>
      </c>
      <c r="J533" t="s">
        <v>25</v>
      </c>
      <c r="K533">
        <v>12000</v>
      </c>
      <c r="L533">
        <v>10980</v>
      </c>
      <c r="M533">
        <v>2000</v>
      </c>
      <c r="N533" t="s">
        <v>26</v>
      </c>
      <c r="O533" t="s">
        <v>27</v>
      </c>
      <c r="P533" s="1">
        <v>45757</v>
      </c>
      <c r="Q533" s="1">
        <v>45877</v>
      </c>
      <c r="R533" s="2">
        <v>0.39097222222222222</v>
      </c>
      <c r="S533" s="2">
        <v>0.53888888888888886</v>
      </c>
      <c r="T533" t="str" cm="1">
        <f t="array" ref="T533">_xlfn.IFS(H533&gt;=90,"A",H533&gt;=75,"B",H533&gt;=60,"C",H533&lt;60,"D")</f>
        <v>D</v>
      </c>
      <c r="U533" t="str">
        <f t="shared" si="32"/>
        <v>09:23 AM</v>
      </c>
      <c r="V533" t="str">
        <f t="shared" si="33"/>
        <v>Delayed</v>
      </c>
      <c r="W533" t="str">
        <f t="shared" si="34"/>
        <v>3 Hours 33 Minutes</v>
      </c>
      <c r="X533" t="str">
        <f t="shared" si="35"/>
        <v>Short Time Login</v>
      </c>
      <c r="AA533" s="35" t="s">
        <v>806</v>
      </c>
      <c r="AB533" s="35" t="s">
        <v>434</v>
      </c>
      <c r="AC533" s="35">
        <v>38</v>
      </c>
      <c r="AD533" s="35">
        <v>61</v>
      </c>
      <c r="AE533" s="35" t="s">
        <v>25</v>
      </c>
      <c r="AF533" s="35">
        <v>2000</v>
      </c>
      <c r="AH533" s="35" t="s">
        <v>27</v>
      </c>
    </row>
    <row r="534" spans="1:34">
      <c r="A534" t="s">
        <v>807</v>
      </c>
      <c r="B534" t="s">
        <v>353</v>
      </c>
      <c r="C534">
        <v>28</v>
      </c>
      <c r="D534" t="s">
        <v>35</v>
      </c>
      <c r="E534" t="s">
        <v>73</v>
      </c>
      <c r="F534" t="s">
        <v>88</v>
      </c>
      <c r="G534" t="s">
        <v>89</v>
      </c>
      <c r="H534">
        <v>92</v>
      </c>
      <c r="I534">
        <v>68</v>
      </c>
      <c r="J534" t="s">
        <v>59</v>
      </c>
      <c r="K534">
        <v>20000</v>
      </c>
      <c r="L534">
        <v>18420</v>
      </c>
      <c r="M534">
        <v>4000</v>
      </c>
      <c r="N534" t="s">
        <v>26</v>
      </c>
      <c r="O534" t="s">
        <v>27</v>
      </c>
      <c r="P534" s="1">
        <v>45927</v>
      </c>
      <c r="Q534" s="1">
        <v>45987</v>
      </c>
      <c r="R534" s="2">
        <v>0.33611111111111114</v>
      </c>
      <c r="S534" s="2">
        <v>0.43958333333333333</v>
      </c>
      <c r="T534" t="str" cm="1">
        <f t="array" ref="T534">_xlfn.IFS(H534&gt;=90,"A",H534&gt;=75,"B",H534&gt;=60,"C",H534&lt;60,"D")</f>
        <v>A</v>
      </c>
      <c r="U534" t="str">
        <f t="shared" si="32"/>
        <v>08:04 AM</v>
      </c>
      <c r="V534" t="str">
        <f t="shared" si="33"/>
        <v>On Time</v>
      </c>
      <c r="W534" t="str">
        <f t="shared" si="34"/>
        <v>2 Hours 29 Minutes</v>
      </c>
      <c r="X534" t="str">
        <f t="shared" si="35"/>
        <v>Short Time Login</v>
      </c>
      <c r="AA534" s="34" t="s">
        <v>807</v>
      </c>
      <c r="AB534" s="34" t="s">
        <v>353</v>
      </c>
      <c r="AC534" s="34">
        <v>92</v>
      </c>
      <c r="AD534" s="34">
        <v>68</v>
      </c>
      <c r="AE534" s="34" t="s">
        <v>59</v>
      </c>
      <c r="AF534" s="34">
        <v>4000</v>
      </c>
      <c r="AH534" s="34" t="s">
        <v>27</v>
      </c>
    </row>
    <row r="535" spans="1:34">
      <c r="A535" t="s">
        <v>808</v>
      </c>
      <c r="B535" t="s">
        <v>213</v>
      </c>
      <c r="C535">
        <v>18</v>
      </c>
      <c r="D535" t="s">
        <v>21</v>
      </c>
      <c r="E535" t="s">
        <v>30</v>
      </c>
      <c r="F535" t="s">
        <v>63</v>
      </c>
      <c r="G535" t="s">
        <v>64</v>
      </c>
      <c r="H535">
        <v>70</v>
      </c>
      <c r="I535">
        <v>79</v>
      </c>
      <c r="J535" t="s">
        <v>68</v>
      </c>
      <c r="K535">
        <v>18000</v>
      </c>
      <c r="L535">
        <v>17240</v>
      </c>
      <c r="M535">
        <v>4000</v>
      </c>
      <c r="N535" t="s">
        <v>26</v>
      </c>
      <c r="O535" t="s">
        <v>27</v>
      </c>
      <c r="P535" s="1">
        <v>45775</v>
      </c>
      <c r="Q535" s="1">
        <v>45895</v>
      </c>
      <c r="R535" s="2">
        <v>0.41805555555555557</v>
      </c>
      <c r="S535" s="2">
        <v>0.56041666666666667</v>
      </c>
      <c r="T535" t="str" cm="1">
        <f t="array" ref="T535">_xlfn.IFS(H535&gt;=90,"A",H535&gt;=75,"B",H535&gt;=60,"C",H535&lt;60,"D")</f>
        <v>C</v>
      </c>
      <c r="U535" t="str">
        <f t="shared" si="32"/>
        <v>10:02 AM</v>
      </c>
      <c r="V535" t="str">
        <f t="shared" si="33"/>
        <v>Delayed</v>
      </c>
      <c r="W535" t="str">
        <f t="shared" si="34"/>
        <v>3 Hours 25 Minutes</v>
      </c>
      <c r="X535" t="str">
        <f t="shared" si="35"/>
        <v>Long Time Login</v>
      </c>
      <c r="AA535" s="35" t="s">
        <v>808</v>
      </c>
      <c r="AB535" s="35" t="s">
        <v>213</v>
      </c>
      <c r="AC535" s="35">
        <v>70</v>
      </c>
      <c r="AD535" s="35">
        <v>79</v>
      </c>
      <c r="AE535" s="35" t="s">
        <v>68</v>
      </c>
      <c r="AF535" s="35">
        <v>4000</v>
      </c>
      <c r="AH535" s="35" t="s">
        <v>27</v>
      </c>
    </row>
    <row r="536" spans="1:34">
      <c r="A536" t="s">
        <v>809</v>
      </c>
      <c r="B536" t="s">
        <v>784</v>
      </c>
      <c r="C536">
        <v>18</v>
      </c>
      <c r="D536" t="s">
        <v>35</v>
      </c>
      <c r="E536" t="s">
        <v>96</v>
      </c>
      <c r="F536" t="s">
        <v>88</v>
      </c>
      <c r="G536" t="s">
        <v>89</v>
      </c>
      <c r="H536">
        <v>77</v>
      </c>
      <c r="I536">
        <v>94</v>
      </c>
      <c r="J536" t="s">
        <v>45</v>
      </c>
      <c r="K536">
        <v>15000</v>
      </c>
      <c r="L536">
        <v>13110</v>
      </c>
      <c r="M536">
        <v>4000</v>
      </c>
      <c r="N536" t="s">
        <v>26</v>
      </c>
      <c r="O536" t="s">
        <v>27</v>
      </c>
      <c r="P536" s="1">
        <v>45669</v>
      </c>
      <c r="Q536" s="1">
        <v>45789</v>
      </c>
      <c r="R536" s="2">
        <v>0.45208333333333334</v>
      </c>
      <c r="S536" s="2">
        <v>0.55694444444444446</v>
      </c>
      <c r="T536" t="str" cm="1">
        <f t="array" ref="T536">_xlfn.IFS(H536&gt;=90,"A",H536&gt;=75,"B",H536&gt;=60,"C",H536&lt;60,"D")</f>
        <v>B</v>
      </c>
      <c r="U536" t="str">
        <f t="shared" si="32"/>
        <v>10:51 AM</v>
      </c>
      <c r="V536" t="str">
        <f t="shared" si="33"/>
        <v>Delayed</v>
      </c>
      <c r="W536" t="str">
        <f t="shared" si="34"/>
        <v>2 Hours 31 Minutes</v>
      </c>
      <c r="X536" t="str">
        <f t="shared" si="35"/>
        <v>Long Time Login</v>
      </c>
      <c r="AA536" s="34" t="s">
        <v>809</v>
      </c>
      <c r="AB536" s="34" t="s">
        <v>784</v>
      </c>
      <c r="AC536" s="34">
        <v>77</v>
      </c>
      <c r="AD536" s="34">
        <v>94</v>
      </c>
      <c r="AE536" s="34" t="s">
        <v>45</v>
      </c>
      <c r="AF536" s="34">
        <v>4000</v>
      </c>
      <c r="AH536" s="34" t="s">
        <v>27</v>
      </c>
    </row>
    <row r="537" spans="1:34">
      <c r="A537" t="s">
        <v>810</v>
      </c>
      <c r="B537" t="s">
        <v>252</v>
      </c>
      <c r="C537">
        <v>24</v>
      </c>
      <c r="D537" t="s">
        <v>21</v>
      </c>
      <c r="E537" t="s">
        <v>44</v>
      </c>
      <c r="F537" t="s">
        <v>88</v>
      </c>
      <c r="G537" t="s">
        <v>89</v>
      </c>
      <c r="H537">
        <v>55</v>
      </c>
      <c r="I537">
        <v>62</v>
      </c>
      <c r="J537" t="s">
        <v>25</v>
      </c>
      <c r="K537">
        <v>15000</v>
      </c>
      <c r="L537">
        <v>13700</v>
      </c>
      <c r="M537">
        <v>4000</v>
      </c>
      <c r="N537" t="s">
        <v>26</v>
      </c>
      <c r="O537" t="s">
        <v>127</v>
      </c>
      <c r="P537" s="1">
        <v>46016</v>
      </c>
      <c r="Q537" s="1">
        <v>46196</v>
      </c>
      <c r="R537" s="2">
        <v>0.34305555555555556</v>
      </c>
      <c r="S537" s="2">
        <v>0.42708333333333331</v>
      </c>
      <c r="T537" t="str" cm="1">
        <f t="array" ref="T537">_xlfn.IFS(H537&gt;=90,"A",H537&gt;=75,"B",H537&gt;=60,"C",H537&lt;60,"D")</f>
        <v>D</v>
      </c>
      <c r="U537" t="str">
        <f t="shared" si="32"/>
        <v>08:14 AM</v>
      </c>
      <c r="V537" t="str">
        <f t="shared" si="33"/>
        <v>Delayed</v>
      </c>
      <c r="W537" t="str">
        <f t="shared" si="34"/>
        <v>2 Hours 1 Minutes</v>
      </c>
      <c r="X537" t="str">
        <f t="shared" si="35"/>
        <v>Short Time Login</v>
      </c>
      <c r="AA537" s="35" t="s">
        <v>810</v>
      </c>
      <c r="AB537" s="35" t="s">
        <v>252</v>
      </c>
      <c r="AC537" s="35">
        <v>55</v>
      </c>
      <c r="AD537" s="35">
        <v>62</v>
      </c>
      <c r="AE537" s="35" t="s">
        <v>25</v>
      </c>
      <c r="AF537" s="35">
        <v>4000</v>
      </c>
      <c r="AH537" s="35" t="s">
        <v>127</v>
      </c>
    </row>
    <row r="538" spans="1:34">
      <c r="A538" t="s">
        <v>811</v>
      </c>
      <c r="B538" t="s">
        <v>796</v>
      </c>
      <c r="C538">
        <v>18</v>
      </c>
      <c r="D538" t="s">
        <v>35</v>
      </c>
      <c r="E538" t="s">
        <v>44</v>
      </c>
      <c r="F538" t="s">
        <v>40</v>
      </c>
      <c r="G538" t="s">
        <v>41</v>
      </c>
      <c r="H538">
        <v>76</v>
      </c>
      <c r="I538">
        <v>62</v>
      </c>
      <c r="J538" t="s">
        <v>45</v>
      </c>
      <c r="K538">
        <v>10000</v>
      </c>
      <c r="L538">
        <v>7210</v>
      </c>
      <c r="M538">
        <v>4000</v>
      </c>
      <c r="N538" t="s">
        <v>26</v>
      </c>
      <c r="O538" t="s">
        <v>27</v>
      </c>
      <c r="P538" s="1">
        <v>45981</v>
      </c>
      <c r="Q538" s="1">
        <v>46161</v>
      </c>
      <c r="R538" s="2">
        <v>0.35694444444444445</v>
      </c>
      <c r="S538" s="2">
        <v>0.39861111111111114</v>
      </c>
      <c r="T538" t="str" cm="1">
        <f t="array" ref="T538">_xlfn.IFS(H538&gt;=90,"A",H538&gt;=75,"B",H538&gt;=60,"C",H538&lt;60,"D")</f>
        <v>B</v>
      </c>
      <c r="U538" t="str">
        <f t="shared" si="32"/>
        <v>08:34 AM</v>
      </c>
      <c r="V538" t="str">
        <f t="shared" si="33"/>
        <v>Delayed</v>
      </c>
      <c r="W538" t="str">
        <f t="shared" si="34"/>
        <v>1 Hours 0 Minutes</v>
      </c>
      <c r="X538" t="str">
        <f t="shared" si="35"/>
        <v>Short Time Login</v>
      </c>
      <c r="AA538" s="34" t="s">
        <v>811</v>
      </c>
      <c r="AB538" s="34" t="s">
        <v>796</v>
      </c>
      <c r="AC538" s="34">
        <v>76</v>
      </c>
      <c r="AD538" s="34">
        <v>62</v>
      </c>
      <c r="AE538" s="34" t="s">
        <v>45</v>
      </c>
      <c r="AF538" s="34">
        <v>4000</v>
      </c>
      <c r="AH538" s="34" t="s">
        <v>27</v>
      </c>
    </row>
    <row r="539" spans="1:34">
      <c r="A539" t="s">
        <v>812</v>
      </c>
      <c r="B539" t="s">
        <v>584</v>
      </c>
      <c r="C539">
        <v>21</v>
      </c>
      <c r="D539" t="s">
        <v>35</v>
      </c>
      <c r="E539" t="s">
        <v>36</v>
      </c>
      <c r="F539" t="s">
        <v>63</v>
      </c>
      <c r="G539" t="s">
        <v>64</v>
      </c>
      <c r="H539">
        <v>74</v>
      </c>
      <c r="I539">
        <v>85</v>
      </c>
      <c r="J539" t="s">
        <v>68</v>
      </c>
      <c r="K539">
        <v>18000</v>
      </c>
      <c r="L539">
        <v>19240</v>
      </c>
      <c r="M539">
        <v>2000</v>
      </c>
      <c r="N539" t="s">
        <v>26</v>
      </c>
      <c r="O539" t="s">
        <v>27</v>
      </c>
      <c r="P539" s="1">
        <v>45795</v>
      </c>
      <c r="Q539" s="1">
        <v>45825</v>
      </c>
      <c r="R539" s="2">
        <v>0.42986111111111114</v>
      </c>
      <c r="S539" s="2">
        <v>0.49444444444444446</v>
      </c>
      <c r="T539" t="str" cm="1">
        <f t="array" ref="T539">_xlfn.IFS(H539&gt;=90,"A",H539&gt;=75,"B",H539&gt;=60,"C",H539&lt;60,"D")</f>
        <v>C</v>
      </c>
      <c r="U539" t="str">
        <f t="shared" si="32"/>
        <v>10:19 AM</v>
      </c>
      <c r="V539" t="str">
        <f t="shared" si="33"/>
        <v>On Time</v>
      </c>
      <c r="W539" t="str">
        <f t="shared" si="34"/>
        <v>1 Hours 33 Minutes</v>
      </c>
      <c r="X539" t="str">
        <f t="shared" si="35"/>
        <v>Long Time Login</v>
      </c>
      <c r="AA539" s="35" t="s">
        <v>812</v>
      </c>
      <c r="AB539" s="35" t="s">
        <v>584</v>
      </c>
      <c r="AC539" s="35">
        <v>74</v>
      </c>
      <c r="AD539" s="35">
        <v>85</v>
      </c>
      <c r="AE539" s="35" t="s">
        <v>68</v>
      </c>
      <c r="AF539" s="35">
        <v>2000</v>
      </c>
      <c r="AH539" s="35" t="s">
        <v>27</v>
      </c>
    </row>
    <row r="540" spans="1:34">
      <c r="A540" t="s">
        <v>813</v>
      </c>
      <c r="B540" t="s">
        <v>75</v>
      </c>
      <c r="C540">
        <v>20</v>
      </c>
      <c r="D540" t="s">
        <v>21</v>
      </c>
      <c r="E540" t="s">
        <v>96</v>
      </c>
      <c r="F540" t="s">
        <v>31</v>
      </c>
      <c r="G540" t="s">
        <v>32</v>
      </c>
      <c r="H540">
        <v>54</v>
      </c>
      <c r="I540">
        <v>88</v>
      </c>
      <c r="J540" t="s">
        <v>25</v>
      </c>
      <c r="K540">
        <v>12000</v>
      </c>
      <c r="L540">
        <v>11570</v>
      </c>
      <c r="M540">
        <v>2000</v>
      </c>
      <c r="N540" t="s">
        <v>26</v>
      </c>
      <c r="O540" t="s">
        <v>27</v>
      </c>
      <c r="P540" s="1">
        <v>45666</v>
      </c>
      <c r="Q540" s="1">
        <v>45696</v>
      </c>
      <c r="R540" s="2">
        <v>0.4152777777777778</v>
      </c>
      <c r="S540" s="2">
        <v>0.49305555555555558</v>
      </c>
      <c r="T540" t="str" cm="1">
        <f t="array" ref="T540">_xlfn.IFS(H540&gt;=90,"A",H540&gt;=75,"B",H540&gt;=60,"C",H540&lt;60,"D")</f>
        <v>D</v>
      </c>
      <c r="U540" t="str">
        <f t="shared" si="32"/>
        <v>09:58 AM</v>
      </c>
      <c r="V540" t="str">
        <f t="shared" si="33"/>
        <v>On Time</v>
      </c>
      <c r="W540" t="str">
        <f t="shared" si="34"/>
        <v>1 Hours 52 Minutes</v>
      </c>
      <c r="X540" t="str">
        <f t="shared" si="35"/>
        <v>Short Time Login</v>
      </c>
      <c r="AA540" s="34" t="s">
        <v>813</v>
      </c>
      <c r="AB540" s="34" t="s">
        <v>75</v>
      </c>
      <c r="AC540" s="34">
        <v>54</v>
      </c>
      <c r="AD540" s="34">
        <v>88</v>
      </c>
      <c r="AE540" s="34" t="s">
        <v>25</v>
      </c>
      <c r="AF540" s="34">
        <v>2000</v>
      </c>
      <c r="AH540" s="34" t="s">
        <v>27</v>
      </c>
    </row>
    <row r="541" spans="1:34">
      <c r="A541" t="s">
        <v>814</v>
      </c>
      <c r="B541" t="s">
        <v>558</v>
      </c>
      <c r="C541">
        <v>25</v>
      </c>
      <c r="D541" t="s">
        <v>21</v>
      </c>
      <c r="E541" t="s">
        <v>73</v>
      </c>
      <c r="F541" t="s">
        <v>57</v>
      </c>
      <c r="G541" t="s">
        <v>58</v>
      </c>
      <c r="H541">
        <v>50</v>
      </c>
      <c r="I541">
        <v>87</v>
      </c>
      <c r="J541" t="s">
        <v>25</v>
      </c>
      <c r="K541">
        <v>15000</v>
      </c>
      <c r="L541">
        <v>11930</v>
      </c>
      <c r="M541">
        <v>4000</v>
      </c>
      <c r="N541" t="s">
        <v>26</v>
      </c>
      <c r="O541" t="s">
        <v>27</v>
      </c>
      <c r="P541" s="1">
        <v>45915</v>
      </c>
      <c r="Q541" s="1">
        <v>46035</v>
      </c>
      <c r="R541" s="2">
        <v>0.36944444444444446</v>
      </c>
      <c r="S541" s="2">
        <v>0.43055555555555558</v>
      </c>
      <c r="T541" t="str" cm="1">
        <f t="array" ref="T541">_xlfn.IFS(H541&gt;=90,"A",H541&gt;=75,"B",H541&gt;=60,"C",H541&lt;60,"D")</f>
        <v>D</v>
      </c>
      <c r="U541" t="str">
        <f t="shared" si="32"/>
        <v>08:52 AM</v>
      </c>
      <c r="V541" t="str">
        <f t="shared" si="33"/>
        <v>Delayed</v>
      </c>
      <c r="W541" t="str">
        <f t="shared" si="34"/>
        <v>1 Hours 28 Minutes</v>
      </c>
      <c r="X541" t="str">
        <f t="shared" si="35"/>
        <v>Short Time Login</v>
      </c>
      <c r="AA541" s="35" t="s">
        <v>814</v>
      </c>
      <c r="AB541" s="35" t="s">
        <v>558</v>
      </c>
      <c r="AC541" s="35">
        <v>50</v>
      </c>
      <c r="AD541" s="35">
        <v>87</v>
      </c>
      <c r="AE541" s="35" t="s">
        <v>25</v>
      </c>
      <c r="AF541" s="35">
        <v>4000</v>
      </c>
      <c r="AH541" s="35" t="s">
        <v>27</v>
      </c>
    </row>
    <row r="542" spans="1:34">
      <c r="A542" t="s">
        <v>815</v>
      </c>
      <c r="B542" t="s">
        <v>396</v>
      </c>
      <c r="C542">
        <v>28</v>
      </c>
      <c r="D542" t="s">
        <v>21</v>
      </c>
      <c r="E542" t="s">
        <v>48</v>
      </c>
      <c r="F542" t="s">
        <v>31</v>
      </c>
      <c r="G542" t="s">
        <v>32</v>
      </c>
      <c r="H542">
        <v>85</v>
      </c>
      <c r="I542">
        <v>67</v>
      </c>
      <c r="J542" t="s">
        <v>45</v>
      </c>
      <c r="K542">
        <v>15000</v>
      </c>
      <c r="L542">
        <v>13700</v>
      </c>
      <c r="M542">
        <v>4000</v>
      </c>
      <c r="N542" t="s">
        <v>26</v>
      </c>
      <c r="O542" t="s">
        <v>27</v>
      </c>
      <c r="P542" s="1">
        <v>45922</v>
      </c>
      <c r="Q542" s="1">
        <v>45952</v>
      </c>
      <c r="R542" s="2">
        <v>0.4</v>
      </c>
      <c r="S542" s="2">
        <v>0.5083333333333333</v>
      </c>
      <c r="T542" t="str" cm="1">
        <f t="array" ref="T542">_xlfn.IFS(H542&gt;=90,"A",H542&gt;=75,"B",H542&gt;=60,"C",H542&lt;60,"D")</f>
        <v>B</v>
      </c>
      <c r="U542" t="str">
        <f t="shared" si="32"/>
        <v>09:36 AM</v>
      </c>
      <c r="V542" t="str">
        <f t="shared" si="33"/>
        <v>On Time</v>
      </c>
      <c r="W542" t="str">
        <f t="shared" si="34"/>
        <v>2 Hours 36 Minutes</v>
      </c>
      <c r="X542" t="str">
        <f t="shared" si="35"/>
        <v>Short Time Login</v>
      </c>
      <c r="AA542" s="34" t="s">
        <v>815</v>
      </c>
      <c r="AB542" s="34" t="s">
        <v>396</v>
      </c>
      <c r="AC542" s="34">
        <v>85</v>
      </c>
      <c r="AD542" s="34">
        <v>67</v>
      </c>
      <c r="AE542" s="34" t="s">
        <v>45</v>
      </c>
      <c r="AF542" s="34">
        <v>4000</v>
      </c>
      <c r="AH542" s="34" t="s">
        <v>27</v>
      </c>
    </row>
    <row r="543" spans="1:34">
      <c r="A543" t="s">
        <v>816</v>
      </c>
      <c r="B543" t="s">
        <v>150</v>
      </c>
      <c r="C543">
        <v>23</v>
      </c>
      <c r="D543" t="s">
        <v>21</v>
      </c>
      <c r="E543" t="s">
        <v>30</v>
      </c>
      <c r="F543" t="s">
        <v>63</v>
      </c>
      <c r="G543" t="s">
        <v>64</v>
      </c>
      <c r="H543">
        <v>75</v>
      </c>
      <c r="I543">
        <v>64</v>
      </c>
      <c r="J543" t="s">
        <v>45</v>
      </c>
      <c r="K543">
        <v>10000</v>
      </c>
      <c r="L543">
        <v>8620</v>
      </c>
      <c r="M543">
        <v>2000</v>
      </c>
      <c r="N543" t="s">
        <v>26</v>
      </c>
      <c r="O543" t="s">
        <v>127</v>
      </c>
      <c r="P543" s="1">
        <v>45799</v>
      </c>
      <c r="Q543" s="1">
        <v>45979</v>
      </c>
      <c r="R543" s="2">
        <v>0.34444444444444444</v>
      </c>
      <c r="S543" s="2">
        <v>0.40694444444444444</v>
      </c>
      <c r="T543" t="str" cm="1">
        <f t="array" ref="T543">_xlfn.IFS(H543&gt;=90,"A",H543&gt;=75,"B",H543&gt;=60,"C",H543&lt;60,"D")</f>
        <v>B</v>
      </c>
      <c r="U543" t="str">
        <f t="shared" si="32"/>
        <v>08:16 AM</v>
      </c>
      <c r="V543" t="str">
        <f t="shared" si="33"/>
        <v>Delayed</v>
      </c>
      <c r="W543" t="str">
        <f t="shared" si="34"/>
        <v>1 Hours 30 Minutes</v>
      </c>
      <c r="X543" t="str">
        <f t="shared" si="35"/>
        <v>Short Time Login</v>
      </c>
      <c r="AA543" s="35" t="s">
        <v>816</v>
      </c>
      <c r="AB543" s="35" t="s">
        <v>150</v>
      </c>
      <c r="AC543" s="35">
        <v>75</v>
      </c>
      <c r="AD543" s="35">
        <v>64</v>
      </c>
      <c r="AE543" s="35" t="s">
        <v>45</v>
      </c>
      <c r="AF543" s="35">
        <v>2000</v>
      </c>
      <c r="AH543" s="35" t="s">
        <v>127</v>
      </c>
    </row>
    <row r="544" spans="1:34">
      <c r="A544" t="s">
        <v>817</v>
      </c>
      <c r="B544" t="s">
        <v>691</v>
      </c>
      <c r="C544">
        <v>24</v>
      </c>
      <c r="D544" t="s">
        <v>35</v>
      </c>
      <c r="E544" t="s">
        <v>67</v>
      </c>
      <c r="F544" t="s">
        <v>23</v>
      </c>
      <c r="G544" t="s">
        <v>24</v>
      </c>
      <c r="H544">
        <v>46</v>
      </c>
      <c r="I544">
        <v>100</v>
      </c>
      <c r="J544" t="s">
        <v>25</v>
      </c>
      <c r="K544">
        <v>15000</v>
      </c>
      <c r="L544">
        <v>14520</v>
      </c>
      <c r="M544">
        <v>2000</v>
      </c>
      <c r="N544" t="s">
        <v>26</v>
      </c>
      <c r="O544" t="s">
        <v>27</v>
      </c>
      <c r="P544" s="1">
        <v>45704</v>
      </c>
      <c r="Q544" s="1">
        <v>45884</v>
      </c>
      <c r="R544" s="2">
        <v>0.39930555555555558</v>
      </c>
      <c r="S544" s="2">
        <v>0.57986111111111116</v>
      </c>
      <c r="T544" t="str" cm="1">
        <f t="array" ref="T544">_xlfn.IFS(H544&gt;=90,"A",H544&gt;=75,"B",H544&gt;=60,"C",H544&lt;60,"D")</f>
        <v>D</v>
      </c>
      <c r="U544" t="str">
        <f t="shared" si="32"/>
        <v>09:35 AM</v>
      </c>
      <c r="V544" t="str">
        <f t="shared" si="33"/>
        <v>Delayed</v>
      </c>
      <c r="W544" t="str">
        <f t="shared" si="34"/>
        <v>4 Hours 20 Minutes</v>
      </c>
      <c r="X544" t="str">
        <f t="shared" si="35"/>
        <v>Short Time Login</v>
      </c>
      <c r="AA544" s="34" t="s">
        <v>817</v>
      </c>
      <c r="AB544" s="34" t="s">
        <v>691</v>
      </c>
      <c r="AC544" s="34">
        <v>46</v>
      </c>
      <c r="AD544" s="34">
        <v>100</v>
      </c>
      <c r="AE544" s="34" t="s">
        <v>25</v>
      </c>
      <c r="AF544" s="34">
        <v>2000</v>
      </c>
      <c r="AH544" s="34" t="s">
        <v>27</v>
      </c>
    </row>
    <row r="545" spans="1:34">
      <c r="A545" t="s">
        <v>818</v>
      </c>
      <c r="B545" t="s">
        <v>136</v>
      </c>
      <c r="C545">
        <v>22</v>
      </c>
      <c r="D545" t="s">
        <v>21</v>
      </c>
      <c r="E545" t="s">
        <v>73</v>
      </c>
      <c r="F545" t="s">
        <v>53</v>
      </c>
      <c r="G545" t="s">
        <v>54</v>
      </c>
      <c r="H545">
        <v>44</v>
      </c>
      <c r="I545">
        <v>83</v>
      </c>
      <c r="J545" t="s">
        <v>25</v>
      </c>
      <c r="K545">
        <v>10000</v>
      </c>
      <c r="L545">
        <v>11210</v>
      </c>
      <c r="M545">
        <v>0</v>
      </c>
      <c r="N545" t="s">
        <v>11</v>
      </c>
      <c r="O545" t="s">
        <v>27</v>
      </c>
      <c r="P545" s="1">
        <v>45913</v>
      </c>
      <c r="Q545" s="1">
        <v>46093</v>
      </c>
      <c r="R545" s="2">
        <v>0.45833333333333331</v>
      </c>
      <c r="S545" s="2">
        <v>0.51041666666666663</v>
      </c>
      <c r="T545" t="str" cm="1">
        <f t="array" ref="T545">_xlfn.IFS(H545&gt;=90,"A",H545&gt;=75,"B",H545&gt;=60,"C",H545&lt;60,"D")</f>
        <v>D</v>
      </c>
      <c r="U545" t="str">
        <f t="shared" si="32"/>
        <v>11:00 AM</v>
      </c>
      <c r="V545" t="str">
        <f t="shared" si="33"/>
        <v>Delayed</v>
      </c>
      <c r="W545" t="str">
        <f t="shared" si="34"/>
        <v>1 Hours 15 Minutes</v>
      </c>
      <c r="X545" t="str">
        <f t="shared" si="35"/>
        <v>Long Time Login</v>
      </c>
      <c r="AA545" s="35" t="s">
        <v>818</v>
      </c>
      <c r="AB545" s="35" t="s">
        <v>136</v>
      </c>
      <c r="AC545" s="35">
        <v>44</v>
      </c>
      <c r="AD545" s="35">
        <v>83</v>
      </c>
      <c r="AE545" s="35" t="s">
        <v>25</v>
      </c>
      <c r="AF545" s="35">
        <v>0</v>
      </c>
      <c r="AH545" s="35" t="s">
        <v>27</v>
      </c>
    </row>
    <row r="546" spans="1:34">
      <c r="A546" t="s">
        <v>819</v>
      </c>
      <c r="B546" t="s">
        <v>410</v>
      </c>
      <c r="C546">
        <v>23</v>
      </c>
      <c r="D546" t="s">
        <v>21</v>
      </c>
      <c r="E546" t="s">
        <v>22</v>
      </c>
      <c r="F546" t="s">
        <v>63</v>
      </c>
      <c r="G546" t="s">
        <v>64</v>
      </c>
      <c r="H546">
        <v>89</v>
      </c>
      <c r="I546">
        <v>89</v>
      </c>
      <c r="J546" t="s">
        <v>45</v>
      </c>
      <c r="K546">
        <v>12000</v>
      </c>
      <c r="L546">
        <v>14160</v>
      </c>
      <c r="M546">
        <v>0</v>
      </c>
      <c r="N546" t="s">
        <v>11</v>
      </c>
      <c r="O546" t="s">
        <v>27</v>
      </c>
      <c r="P546" s="1">
        <v>45785</v>
      </c>
      <c r="Q546" s="1">
        <v>45875</v>
      </c>
      <c r="R546" s="2">
        <v>0.41180555555555554</v>
      </c>
      <c r="S546" s="2">
        <v>0.50416666666666665</v>
      </c>
      <c r="T546" t="str" cm="1">
        <f t="array" ref="T546">_xlfn.IFS(H546&gt;=90,"A",H546&gt;=75,"B",H546&gt;=60,"C",H546&lt;60,"D")</f>
        <v>B</v>
      </c>
      <c r="U546" t="str">
        <f t="shared" si="32"/>
        <v>09:53 AM</v>
      </c>
      <c r="V546" t="str">
        <f t="shared" si="33"/>
        <v>On Time</v>
      </c>
      <c r="W546" t="str">
        <f t="shared" si="34"/>
        <v>2 Hours 13 Minutes</v>
      </c>
      <c r="X546" t="str">
        <f t="shared" si="35"/>
        <v>Short Time Login</v>
      </c>
      <c r="AA546" s="34" t="s">
        <v>819</v>
      </c>
      <c r="AB546" s="34" t="s">
        <v>410</v>
      </c>
      <c r="AC546" s="34">
        <v>89</v>
      </c>
      <c r="AD546" s="34">
        <v>89</v>
      </c>
      <c r="AE546" s="34" t="s">
        <v>45</v>
      </c>
      <c r="AF546" s="34">
        <v>0</v>
      </c>
      <c r="AH546" s="34" t="s">
        <v>27</v>
      </c>
    </row>
    <row r="547" spans="1:34">
      <c r="A547" t="s">
        <v>820</v>
      </c>
      <c r="B547" t="s">
        <v>691</v>
      </c>
      <c r="C547">
        <v>24</v>
      </c>
      <c r="D547" t="s">
        <v>35</v>
      </c>
      <c r="E547" t="s">
        <v>48</v>
      </c>
      <c r="F547" t="s">
        <v>23</v>
      </c>
      <c r="G547" t="s">
        <v>24</v>
      </c>
      <c r="H547">
        <v>38</v>
      </c>
      <c r="I547">
        <v>93</v>
      </c>
      <c r="J547" t="s">
        <v>25</v>
      </c>
      <c r="K547">
        <v>20000</v>
      </c>
      <c r="L547">
        <v>21600</v>
      </c>
      <c r="M547">
        <v>2000</v>
      </c>
      <c r="N547" t="s">
        <v>26</v>
      </c>
      <c r="O547" t="s">
        <v>27</v>
      </c>
      <c r="P547" s="1">
        <v>45832</v>
      </c>
      <c r="Q547" s="1">
        <v>45952</v>
      </c>
      <c r="R547" s="2">
        <v>0.33333333333333331</v>
      </c>
      <c r="S547" s="2">
        <v>0.53749999999999998</v>
      </c>
      <c r="T547" t="str" cm="1">
        <f t="array" ref="T547">_xlfn.IFS(H547&gt;=90,"A",H547&gt;=75,"B",H547&gt;=60,"C",H547&lt;60,"D")</f>
        <v>D</v>
      </c>
      <c r="U547" t="str">
        <f t="shared" si="32"/>
        <v>08:00 AM</v>
      </c>
      <c r="V547" t="str">
        <f t="shared" si="33"/>
        <v>Delayed</v>
      </c>
      <c r="W547" t="str">
        <f t="shared" si="34"/>
        <v>4 Hours 54 Minutes</v>
      </c>
      <c r="X547" t="str">
        <f t="shared" si="35"/>
        <v>Short Time Login</v>
      </c>
      <c r="AA547" s="35" t="s">
        <v>820</v>
      </c>
      <c r="AB547" s="35" t="s">
        <v>691</v>
      </c>
      <c r="AC547" s="35">
        <v>38</v>
      </c>
      <c r="AD547" s="35">
        <v>93</v>
      </c>
      <c r="AE547" s="35" t="s">
        <v>25</v>
      </c>
      <c r="AF547" s="35">
        <v>2000</v>
      </c>
      <c r="AH547" s="35" t="s">
        <v>27</v>
      </c>
    </row>
    <row r="548" spans="1:34">
      <c r="A548" t="s">
        <v>821</v>
      </c>
      <c r="B548" t="s">
        <v>457</v>
      </c>
      <c r="C548">
        <v>19</v>
      </c>
      <c r="D548" t="s">
        <v>21</v>
      </c>
      <c r="E548" t="s">
        <v>36</v>
      </c>
      <c r="F548" t="s">
        <v>40</v>
      </c>
      <c r="G548" t="s">
        <v>41</v>
      </c>
      <c r="H548">
        <v>92</v>
      </c>
      <c r="I548">
        <v>89</v>
      </c>
      <c r="J548" t="s">
        <v>59</v>
      </c>
      <c r="K548">
        <v>10000</v>
      </c>
      <c r="L548">
        <v>9800</v>
      </c>
      <c r="M548">
        <v>2000</v>
      </c>
      <c r="N548" t="s">
        <v>26</v>
      </c>
      <c r="O548" t="s">
        <v>27</v>
      </c>
      <c r="P548" s="1">
        <v>46000</v>
      </c>
      <c r="Q548" s="1">
        <v>46090</v>
      </c>
      <c r="R548" s="2">
        <v>0.44930555555555557</v>
      </c>
      <c r="S548" s="2">
        <v>0.54583333333333328</v>
      </c>
      <c r="T548" t="str" cm="1">
        <f t="array" ref="T548">_xlfn.IFS(H548&gt;=90,"A",H548&gt;=75,"B",H548&gt;=60,"C",H548&lt;60,"D")</f>
        <v>A</v>
      </c>
      <c r="U548" t="str">
        <f t="shared" si="32"/>
        <v>10:47 AM</v>
      </c>
      <c r="V548" t="str">
        <f t="shared" si="33"/>
        <v>On Time</v>
      </c>
      <c r="W548" t="str">
        <f t="shared" si="34"/>
        <v>2 Hours 19 Minutes</v>
      </c>
      <c r="X548" t="str">
        <f t="shared" si="35"/>
        <v>Long Time Login</v>
      </c>
      <c r="AA548" s="34" t="s">
        <v>821</v>
      </c>
      <c r="AB548" s="34" t="s">
        <v>457</v>
      </c>
      <c r="AC548" s="34">
        <v>92</v>
      </c>
      <c r="AD548" s="34">
        <v>89</v>
      </c>
      <c r="AE548" s="34" t="s">
        <v>59</v>
      </c>
      <c r="AF548" s="34">
        <v>2000</v>
      </c>
      <c r="AH548" s="34" t="s">
        <v>27</v>
      </c>
    </row>
    <row r="549" spans="1:34">
      <c r="A549" t="s">
        <v>822</v>
      </c>
      <c r="B549" t="s">
        <v>500</v>
      </c>
      <c r="C549">
        <v>25</v>
      </c>
      <c r="D549" t="s">
        <v>35</v>
      </c>
      <c r="E549" t="s">
        <v>30</v>
      </c>
      <c r="F549" t="s">
        <v>40</v>
      </c>
      <c r="G549" t="s">
        <v>41</v>
      </c>
      <c r="H549">
        <v>92</v>
      </c>
      <c r="I549">
        <v>87</v>
      </c>
      <c r="J549" t="s">
        <v>59</v>
      </c>
      <c r="K549">
        <v>15000</v>
      </c>
      <c r="L549">
        <v>15110</v>
      </c>
      <c r="M549">
        <v>2000</v>
      </c>
      <c r="N549" t="s">
        <v>26</v>
      </c>
      <c r="O549" t="s">
        <v>27</v>
      </c>
      <c r="P549" s="1">
        <v>46001</v>
      </c>
      <c r="Q549" s="1">
        <v>46031</v>
      </c>
      <c r="R549" s="2">
        <v>0.37638888888888888</v>
      </c>
      <c r="S549" s="2">
        <v>0.48958333333333331</v>
      </c>
      <c r="T549" t="str" cm="1">
        <f t="array" ref="T549">_xlfn.IFS(H549&gt;=90,"A",H549&gt;=75,"B",H549&gt;=60,"C",H549&lt;60,"D")</f>
        <v>A</v>
      </c>
      <c r="U549" t="str">
        <f t="shared" si="32"/>
        <v>09:02 AM</v>
      </c>
      <c r="V549" t="str">
        <f t="shared" si="33"/>
        <v>On Time</v>
      </c>
      <c r="W549" t="str">
        <f t="shared" si="34"/>
        <v>2 Hours 43 Minutes</v>
      </c>
      <c r="X549" t="str">
        <f t="shared" si="35"/>
        <v>Short Time Login</v>
      </c>
      <c r="AA549" s="35" t="s">
        <v>822</v>
      </c>
      <c r="AB549" s="35" t="s">
        <v>500</v>
      </c>
      <c r="AC549" s="35">
        <v>92</v>
      </c>
      <c r="AD549" s="35">
        <v>87</v>
      </c>
      <c r="AE549" s="35" t="s">
        <v>59</v>
      </c>
      <c r="AF549" s="35">
        <v>2000</v>
      </c>
      <c r="AH549" s="35" t="s">
        <v>27</v>
      </c>
    </row>
    <row r="550" spans="1:34">
      <c r="A550" t="s">
        <v>823</v>
      </c>
      <c r="B550" t="s">
        <v>232</v>
      </c>
      <c r="C550">
        <v>19</v>
      </c>
      <c r="D550" t="s">
        <v>35</v>
      </c>
      <c r="E550" t="s">
        <v>44</v>
      </c>
      <c r="F550" t="s">
        <v>57</v>
      </c>
      <c r="G550" t="s">
        <v>58</v>
      </c>
      <c r="H550">
        <v>80</v>
      </c>
      <c r="I550">
        <v>64</v>
      </c>
      <c r="J550" t="s">
        <v>45</v>
      </c>
      <c r="K550">
        <v>15000</v>
      </c>
      <c r="L550">
        <v>13110</v>
      </c>
      <c r="M550">
        <v>4000</v>
      </c>
      <c r="N550" t="s">
        <v>26</v>
      </c>
      <c r="O550" t="s">
        <v>27</v>
      </c>
      <c r="P550" s="1">
        <v>45861</v>
      </c>
      <c r="Q550" s="1">
        <v>45891</v>
      </c>
      <c r="R550" s="2">
        <v>0.43263888888888891</v>
      </c>
      <c r="S550" s="2">
        <v>0.49583333333333335</v>
      </c>
      <c r="T550" t="str" cm="1">
        <f t="array" ref="T550">_xlfn.IFS(H550&gt;=90,"A",H550&gt;=75,"B",H550&gt;=60,"C",H550&lt;60,"D")</f>
        <v>B</v>
      </c>
      <c r="U550" t="str">
        <f t="shared" si="32"/>
        <v>10:23 AM</v>
      </c>
      <c r="V550" t="str">
        <f t="shared" si="33"/>
        <v>On Time</v>
      </c>
      <c r="W550" t="str">
        <f t="shared" si="34"/>
        <v>1 Hours 31 Minutes</v>
      </c>
      <c r="X550" t="str">
        <f t="shared" si="35"/>
        <v>Long Time Login</v>
      </c>
      <c r="AA550" s="34" t="s">
        <v>823</v>
      </c>
      <c r="AB550" s="34" t="s">
        <v>232</v>
      </c>
      <c r="AC550" s="34">
        <v>80</v>
      </c>
      <c r="AD550" s="34">
        <v>64</v>
      </c>
      <c r="AE550" s="34" t="s">
        <v>45</v>
      </c>
      <c r="AF550" s="34">
        <v>4000</v>
      </c>
      <c r="AH550" s="34" t="s">
        <v>27</v>
      </c>
    </row>
    <row r="551" spans="1:34">
      <c r="A551" t="s">
        <v>824</v>
      </c>
      <c r="B551" t="s">
        <v>334</v>
      </c>
      <c r="C551">
        <v>28</v>
      </c>
      <c r="D551" t="s">
        <v>21</v>
      </c>
      <c r="E551" t="s">
        <v>39</v>
      </c>
      <c r="F551" t="s">
        <v>88</v>
      </c>
      <c r="G551" t="s">
        <v>89</v>
      </c>
      <c r="H551">
        <v>90</v>
      </c>
      <c r="I551">
        <v>97</v>
      </c>
      <c r="J551" t="s">
        <v>59</v>
      </c>
      <c r="K551">
        <v>10000</v>
      </c>
      <c r="L551">
        <v>6620</v>
      </c>
      <c r="M551">
        <v>4000</v>
      </c>
      <c r="N551" t="s">
        <v>26</v>
      </c>
      <c r="O551" t="s">
        <v>27</v>
      </c>
      <c r="P551" s="1">
        <v>45979</v>
      </c>
      <c r="Q551" s="1">
        <v>46069</v>
      </c>
      <c r="R551" s="2">
        <v>0.40347222222222223</v>
      </c>
      <c r="S551" s="2">
        <v>0.54513888888888884</v>
      </c>
      <c r="T551" t="str" cm="1">
        <f t="array" ref="T551">_xlfn.IFS(H551&gt;=90,"A",H551&gt;=75,"B",H551&gt;=60,"C",H551&lt;60,"D")</f>
        <v>A</v>
      </c>
      <c r="U551" t="str">
        <f t="shared" si="32"/>
        <v>09:41 AM</v>
      </c>
      <c r="V551" t="str">
        <f t="shared" si="33"/>
        <v>On Time</v>
      </c>
      <c r="W551" t="str">
        <f t="shared" si="34"/>
        <v>3 Hours 24 Minutes</v>
      </c>
      <c r="X551" t="str">
        <f t="shared" si="35"/>
        <v>Short Time Login</v>
      </c>
      <c r="AA551" s="35" t="s">
        <v>824</v>
      </c>
      <c r="AB551" s="35" t="s">
        <v>334</v>
      </c>
      <c r="AC551" s="35">
        <v>90</v>
      </c>
      <c r="AD551" s="35">
        <v>97</v>
      </c>
      <c r="AE551" s="35" t="s">
        <v>59</v>
      </c>
      <c r="AF551" s="35">
        <v>4000</v>
      </c>
      <c r="AH551" s="35" t="s">
        <v>27</v>
      </c>
    </row>
    <row r="552" spans="1:34">
      <c r="A552" t="s">
        <v>825</v>
      </c>
      <c r="B552" t="s">
        <v>826</v>
      </c>
      <c r="C552">
        <v>24</v>
      </c>
      <c r="D552" t="s">
        <v>21</v>
      </c>
      <c r="E552" t="s">
        <v>67</v>
      </c>
      <c r="F552" t="s">
        <v>23</v>
      </c>
      <c r="G552" t="s">
        <v>24</v>
      </c>
      <c r="H552">
        <v>91</v>
      </c>
      <c r="I552">
        <v>92</v>
      </c>
      <c r="J552" t="s">
        <v>59</v>
      </c>
      <c r="K552">
        <v>10000</v>
      </c>
      <c r="L552">
        <v>8030</v>
      </c>
      <c r="M552">
        <v>2000</v>
      </c>
      <c r="N552" t="s">
        <v>26</v>
      </c>
      <c r="O552" t="s">
        <v>27</v>
      </c>
      <c r="P552" s="1">
        <v>45708</v>
      </c>
      <c r="Q552" s="1">
        <v>45888</v>
      </c>
      <c r="R552" s="2">
        <v>0.43055555555555558</v>
      </c>
      <c r="S552" s="2">
        <v>0.58472222222222225</v>
      </c>
      <c r="T552" t="str" cm="1">
        <f t="array" ref="T552">_xlfn.IFS(H552&gt;=90,"A",H552&gt;=75,"B",H552&gt;=60,"C",H552&lt;60,"D")</f>
        <v>A</v>
      </c>
      <c r="U552" t="str">
        <f t="shared" si="32"/>
        <v>10:20 AM</v>
      </c>
      <c r="V552" t="str">
        <f t="shared" si="33"/>
        <v>Delayed</v>
      </c>
      <c r="W552" t="str">
        <f t="shared" si="34"/>
        <v>3 Hours 42 Minutes</v>
      </c>
      <c r="X552" t="str">
        <f t="shared" si="35"/>
        <v>Long Time Login</v>
      </c>
      <c r="AA552" s="34" t="s">
        <v>825</v>
      </c>
      <c r="AB552" s="34" t="s">
        <v>826</v>
      </c>
      <c r="AC552" s="34">
        <v>91</v>
      </c>
      <c r="AD552" s="34">
        <v>92</v>
      </c>
      <c r="AE552" s="34" t="s">
        <v>59</v>
      </c>
      <c r="AF552" s="34">
        <v>2000</v>
      </c>
      <c r="AH552" s="34" t="s">
        <v>27</v>
      </c>
    </row>
    <row r="553" spans="1:34">
      <c r="A553" t="s">
        <v>827</v>
      </c>
      <c r="B553" t="s">
        <v>310</v>
      </c>
      <c r="C553">
        <v>23</v>
      </c>
      <c r="D553" t="s">
        <v>21</v>
      </c>
      <c r="E553" t="s">
        <v>96</v>
      </c>
      <c r="F553" t="s">
        <v>57</v>
      </c>
      <c r="G553" t="s">
        <v>58</v>
      </c>
      <c r="H553">
        <v>87</v>
      </c>
      <c r="I553">
        <v>73</v>
      </c>
      <c r="J553" t="s">
        <v>45</v>
      </c>
      <c r="K553">
        <v>10000</v>
      </c>
      <c r="L553">
        <v>7800</v>
      </c>
      <c r="M553">
        <v>4000</v>
      </c>
      <c r="N553" t="s">
        <v>26</v>
      </c>
      <c r="O553" t="s">
        <v>27</v>
      </c>
      <c r="P553" s="1">
        <v>46002</v>
      </c>
      <c r="Q553" s="1">
        <v>46182</v>
      </c>
      <c r="R553" s="2">
        <v>0.41875000000000001</v>
      </c>
      <c r="S553" s="2">
        <v>0.60624999999999996</v>
      </c>
      <c r="T553" t="str" cm="1">
        <f t="array" ref="T553">_xlfn.IFS(H553&gt;=90,"A",H553&gt;=75,"B",H553&gt;=60,"C",H553&lt;60,"D")</f>
        <v>B</v>
      </c>
      <c r="U553" t="str">
        <f t="shared" si="32"/>
        <v>10:03 AM</v>
      </c>
      <c r="V553" t="str">
        <f t="shared" si="33"/>
        <v>Delayed</v>
      </c>
      <c r="W553" t="str">
        <f t="shared" si="34"/>
        <v>4 Hours 30 Minutes</v>
      </c>
      <c r="X553" t="str">
        <f t="shared" si="35"/>
        <v>Long Time Login</v>
      </c>
      <c r="AA553" s="35" t="s">
        <v>827</v>
      </c>
      <c r="AB553" s="35" t="s">
        <v>310</v>
      </c>
      <c r="AC553" s="35">
        <v>87</v>
      </c>
      <c r="AD553" s="35">
        <v>73</v>
      </c>
      <c r="AE553" s="35" t="s">
        <v>45</v>
      </c>
      <c r="AF553" s="35">
        <v>4000</v>
      </c>
      <c r="AH553" s="35" t="s">
        <v>27</v>
      </c>
    </row>
    <row r="554" spans="1:34">
      <c r="A554" t="s">
        <v>828</v>
      </c>
      <c r="B554" t="s">
        <v>222</v>
      </c>
      <c r="C554">
        <v>27</v>
      </c>
      <c r="D554" t="s">
        <v>21</v>
      </c>
      <c r="E554" t="s">
        <v>48</v>
      </c>
      <c r="F554" t="s">
        <v>88</v>
      </c>
      <c r="G554" t="s">
        <v>89</v>
      </c>
      <c r="H554">
        <v>75</v>
      </c>
      <c r="I554">
        <v>75</v>
      </c>
      <c r="J554" t="s">
        <v>45</v>
      </c>
      <c r="K554">
        <v>12000</v>
      </c>
      <c r="L554">
        <v>10980</v>
      </c>
      <c r="M554">
        <v>2000</v>
      </c>
      <c r="N554" t="s">
        <v>26</v>
      </c>
      <c r="O554" t="s">
        <v>27</v>
      </c>
      <c r="P554" s="1">
        <v>45674</v>
      </c>
      <c r="Q554" s="1">
        <v>45764</v>
      </c>
      <c r="R554" s="2">
        <v>0.40277777777777779</v>
      </c>
      <c r="S554" s="2">
        <v>0.46250000000000002</v>
      </c>
      <c r="T554" t="str" cm="1">
        <f t="array" ref="T554">_xlfn.IFS(H554&gt;=90,"A",H554&gt;=75,"B",H554&gt;=60,"C",H554&lt;60,"D")</f>
        <v>B</v>
      </c>
      <c r="U554" t="str">
        <f t="shared" si="32"/>
        <v>09:40 AM</v>
      </c>
      <c r="V554" t="str">
        <f t="shared" si="33"/>
        <v>On Time</v>
      </c>
      <c r="W554" t="str">
        <f t="shared" si="34"/>
        <v>1 Hours 26 Minutes</v>
      </c>
      <c r="X554" t="str">
        <f t="shared" si="35"/>
        <v>Short Time Login</v>
      </c>
      <c r="AA554" s="34" t="s">
        <v>828</v>
      </c>
      <c r="AB554" s="34" t="s">
        <v>222</v>
      </c>
      <c r="AC554" s="34">
        <v>75</v>
      </c>
      <c r="AD554" s="34">
        <v>75</v>
      </c>
      <c r="AE554" s="34" t="s">
        <v>45</v>
      </c>
      <c r="AF554" s="34">
        <v>2000</v>
      </c>
      <c r="AH554" s="34" t="s">
        <v>27</v>
      </c>
    </row>
    <row r="555" spans="1:34">
      <c r="A555" t="s">
        <v>829</v>
      </c>
      <c r="B555" t="s">
        <v>138</v>
      </c>
      <c r="C555">
        <v>20</v>
      </c>
      <c r="D555" t="s">
        <v>35</v>
      </c>
      <c r="E555" t="s">
        <v>36</v>
      </c>
      <c r="F555" t="s">
        <v>57</v>
      </c>
      <c r="G555" t="s">
        <v>58</v>
      </c>
      <c r="H555">
        <v>76</v>
      </c>
      <c r="I555">
        <v>74</v>
      </c>
      <c r="J555" t="s">
        <v>45</v>
      </c>
      <c r="K555">
        <v>15000</v>
      </c>
      <c r="L555">
        <v>15700</v>
      </c>
      <c r="M555">
        <v>2000</v>
      </c>
      <c r="N555" t="s">
        <v>26</v>
      </c>
      <c r="O555" t="s">
        <v>27</v>
      </c>
      <c r="P555" s="1">
        <v>45897</v>
      </c>
      <c r="Q555" s="1">
        <v>45927</v>
      </c>
      <c r="R555" s="2">
        <v>0.43888888888888888</v>
      </c>
      <c r="S555" s="2">
        <v>0.50694444444444442</v>
      </c>
      <c r="T555" t="str" cm="1">
        <f t="array" ref="T555">_xlfn.IFS(H555&gt;=90,"A",H555&gt;=75,"B",H555&gt;=60,"C",H555&lt;60,"D")</f>
        <v>B</v>
      </c>
      <c r="U555" t="str">
        <f t="shared" si="32"/>
        <v>10:32 AM</v>
      </c>
      <c r="V555" t="str">
        <f t="shared" si="33"/>
        <v>On Time</v>
      </c>
      <c r="W555" t="str">
        <f t="shared" si="34"/>
        <v>1 Hours 38 Minutes</v>
      </c>
      <c r="X555" t="str">
        <f t="shared" si="35"/>
        <v>Long Time Login</v>
      </c>
      <c r="AA555" s="35" t="s">
        <v>829</v>
      </c>
      <c r="AB555" s="35" t="s">
        <v>138</v>
      </c>
      <c r="AC555" s="35">
        <v>76</v>
      </c>
      <c r="AD555" s="35">
        <v>74</v>
      </c>
      <c r="AE555" s="35" t="s">
        <v>45</v>
      </c>
      <c r="AF555" s="35">
        <v>2000</v>
      </c>
      <c r="AH555" s="35" t="s">
        <v>27</v>
      </c>
    </row>
    <row r="556" spans="1:34">
      <c r="A556" t="s">
        <v>830</v>
      </c>
      <c r="B556" t="s">
        <v>282</v>
      </c>
      <c r="C556">
        <v>20</v>
      </c>
      <c r="D556" t="s">
        <v>21</v>
      </c>
      <c r="E556" t="s">
        <v>67</v>
      </c>
      <c r="F556" t="s">
        <v>40</v>
      </c>
      <c r="G556" t="s">
        <v>41</v>
      </c>
      <c r="H556">
        <v>79</v>
      </c>
      <c r="I556">
        <v>96</v>
      </c>
      <c r="J556" t="s">
        <v>45</v>
      </c>
      <c r="K556">
        <v>12000</v>
      </c>
      <c r="L556">
        <v>11570</v>
      </c>
      <c r="M556">
        <v>2000</v>
      </c>
      <c r="N556" t="s">
        <v>26</v>
      </c>
      <c r="O556" t="s">
        <v>27</v>
      </c>
      <c r="P556" s="1">
        <v>45896</v>
      </c>
      <c r="Q556" s="1">
        <v>45956</v>
      </c>
      <c r="R556" s="2">
        <v>0.39027777777777778</v>
      </c>
      <c r="S556" s="2">
        <v>0.53680555555555554</v>
      </c>
      <c r="T556" t="str" cm="1">
        <f t="array" ref="T556">_xlfn.IFS(H556&gt;=90,"A",H556&gt;=75,"B",H556&gt;=60,"C",H556&lt;60,"D")</f>
        <v>B</v>
      </c>
      <c r="U556" t="str">
        <f t="shared" si="32"/>
        <v>09:22 AM</v>
      </c>
      <c r="V556" t="str">
        <f t="shared" si="33"/>
        <v>On Time</v>
      </c>
      <c r="W556" t="str">
        <f t="shared" si="34"/>
        <v>3 Hours 31 Minutes</v>
      </c>
      <c r="X556" t="str">
        <f t="shared" si="35"/>
        <v>Short Time Login</v>
      </c>
      <c r="AA556" s="34" t="s">
        <v>830</v>
      </c>
      <c r="AB556" s="34" t="s">
        <v>282</v>
      </c>
      <c r="AC556" s="34">
        <v>79</v>
      </c>
      <c r="AD556" s="34">
        <v>96</v>
      </c>
      <c r="AE556" s="34" t="s">
        <v>45</v>
      </c>
      <c r="AF556" s="34">
        <v>2000</v>
      </c>
      <c r="AH556" s="34" t="s">
        <v>27</v>
      </c>
    </row>
    <row r="557" spans="1:34">
      <c r="A557" t="s">
        <v>831</v>
      </c>
      <c r="B557" t="s">
        <v>77</v>
      </c>
      <c r="C557">
        <v>22</v>
      </c>
      <c r="D557" t="s">
        <v>21</v>
      </c>
      <c r="E557" t="s">
        <v>36</v>
      </c>
      <c r="F557" t="s">
        <v>53</v>
      </c>
      <c r="G557" t="s">
        <v>54</v>
      </c>
      <c r="H557">
        <v>64</v>
      </c>
      <c r="I557">
        <v>82</v>
      </c>
      <c r="J557" t="s">
        <v>68</v>
      </c>
      <c r="K557">
        <v>12000</v>
      </c>
      <c r="L557">
        <v>11570</v>
      </c>
      <c r="M557">
        <v>2000</v>
      </c>
      <c r="N557" t="s">
        <v>26</v>
      </c>
      <c r="O557" t="s">
        <v>27</v>
      </c>
      <c r="P557" s="1">
        <v>46022</v>
      </c>
      <c r="Q557" s="1">
        <v>46082</v>
      </c>
      <c r="R557" s="2">
        <v>0.41388888888888886</v>
      </c>
      <c r="S557" s="2">
        <v>0.47847222222222224</v>
      </c>
      <c r="T557" t="str" cm="1">
        <f t="array" ref="T557">_xlfn.IFS(H557&gt;=90,"A",H557&gt;=75,"B",H557&gt;=60,"C",H557&lt;60,"D")</f>
        <v>C</v>
      </c>
      <c r="U557" t="str">
        <f t="shared" si="32"/>
        <v>09:56 AM</v>
      </c>
      <c r="V557" t="str">
        <f t="shared" si="33"/>
        <v>On Time</v>
      </c>
      <c r="W557" t="str">
        <f t="shared" si="34"/>
        <v>1 Hours 33 Minutes</v>
      </c>
      <c r="X557" t="str">
        <f t="shared" si="35"/>
        <v>Short Time Login</v>
      </c>
      <c r="AA557" s="35" t="s">
        <v>831</v>
      </c>
      <c r="AB557" s="35" t="s">
        <v>77</v>
      </c>
      <c r="AC557" s="35">
        <v>64</v>
      </c>
      <c r="AD557" s="35">
        <v>82</v>
      </c>
      <c r="AE557" s="35" t="s">
        <v>68</v>
      </c>
      <c r="AF557" s="35">
        <v>2000</v>
      </c>
      <c r="AH557" s="35" t="s">
        <v>27</v>
      </c>
    </row>
    <row r="558" spans="1:34">
      <c r="A558" t="s">
        <v>832</v>
      </c>
      <c r="B558" t="s">
        <v>142</v>
      </c>
      <c r="C558">
        <v>23</v>
      </c>
      <c r="D558" t="s">
        <v>35</v>
      </c>
      <c r="E558" t="s">
        <v>113</v>
      </c>
      <c r="F558" t="s">
        <v>31</v>
      </c>
      <c r="G558" t="s">
        <v>32</v>
      </c>
      <c r="H558">
        <v>65</v>
      </c>
      <c r="I558">
        <v>76</v>
      </c>
      <c r="J558" t="s">
        <v>68</v>
      </c>
      <c r="K558">
        <v>20000</v>
      </c>
      <c r="L558">
        <v>22420</v>
      </c>
      <c r="M558">
        <v>0</v>
      </c>
      <c r="N558" t="s">
        <v>11</v>
      </c>
      <c r="O558" t="s">
        <v>27</v>
      </c>
      <c r="P558" s="1">
        <v>45933</v>
      </c>
      <c r="Q558" s="1">
        <v>45993</v>
      </c>
      <c r="R558" s="2">
        <v>0.4375</v>
      </c>
      <c r="S558" s="2">
        <v>0.59097222222222223</v>
      </c>
      <c r="T558" t="str" cm="1">
        <f t="array" ref="T558">_xlfn.IFS(H558&gt;=90,"A",H558&gt;=75,"B",H558&gt;=60,"C",H558&lt;60,"D")</f>
        <v>C</v>
      </c>
      <c r="U558" t="str">
        <f t="shared" si="32"/>
        <v>10:30 AM</v>
      </c>
      <c r="V558" t="str">
        <f t="shared" si="33"/>
        <v>On Time</v>
      </c>
      <c r="W558" t="str">
        <f t="shared" si="34"/>
        <v>3 Hours 41 Minutes</v>
      </c>
      <c r="X558" t="str">
        <f t="shared" si="35"/>
        <v>Long Time Login</v>
      </c>
      <c r="AA558" s="34" t="s">
        <v>832</v>
      </c>
      <c r="AB558" s="34" t="s">
        <v>142</v>
      </c>
      <c r="AC558" s="34">
        <v>65</v>
      </c>
      <c r="AD558" s="34">
        <v>76</v>
      </c>
      <c r="AE558" s="34" t="s">
        <v>68</v>
      </c>
      <c r="AF558" s="34">
        <v>0</v>
      </c>
      <c r="AH558" s="34" t="s">
        <v>27</v>
      </c>
    </row>
    <row r="559" spans="1:34">
      <c r="A559" t="s">
        <v>833</v>
      </c>
      <c r="B559" t="s">
        <v>358</v>
      </c>
      <c r="C559">
        <v>25</v>
      </c>
      <c r="D559" t="s">
        <v>35</v>
      </c>
      <c r="E559" t="s">
        <v>39</v>
      </c>
      <c r="F559" t="s">
        <v>23</v>
      </c>
      <c r="G559" t="s">
        <v>24</v>
      </c>
      <c r="H559">
        <v>85</v>
      </c>
      <c r="I559">
        <v>78</v>
      </c>
      <c r="J559" t="s">
        <v>45</v>
      </c>
      <c r="K559">
        <v>20000</v>
      </c>
      <c r="L559">
        <v>21600</v>
      </c>
      <c r="M559">
        <v>2000</v>
      </c>
      <c r="N559" t="s">
        <v>26</v>
      </c>
      <c r="O559" t="s">
        <v>27</v>
      </c>
      <c r="P559" s="1">
        <v>45790</v>
      </c>
      <c r="Q559" s="1">
        <v>45820</v>
      </c>
      <c r="R559" s="2">
        <v>0.41111111111111109</v>
      </c>
      <c r="S559" s="2">
        <v>0.47916666666666669</v>
      </c>
      <c r="T559" t="str" cm="1">
        <f t="array" ref="T559">_xlfn.IFS(H559&gt;=90,"A",H559&gt;=75,"B",H559&gt;=60,"C",H559&lt;60,"D")</f>
        <v>B</v>
      </c>
      <c r="U559" t="str">
        <f t="shared" si="32"/>
        <v>09:52 AM</v>
      </c>
      <c r="V559" t="str">
        <f t="shared" si="33"/>
        <v>On Time</v>
      </c>
      <c r="W559" t="str">
        <f t="shared" si="34"/>
        <v>1 Hours 38 Minutes</v>
      </c>
      <c r="X559" t="str">
        <f t="shared" si="35"/>
        <v>Short Time Login</v>
      </c>
      <c r="AA559" s="35" t="s">
        <v>833</v>
      </c>
      <c r="AB559" s="35" t="s">
        <v>358</v>
      </c>
      <c r="AC559" s="35">
        <v>85</v>
      </c>
      <c r="AD559" s="35">
        <v>78</v>
      </c>
      <c r="AE559" s="35" t="s">
        <v>45</v>
      </c>
      <c r="AF559" s="35">
        <v>2000</v>
      </c>
      <c r="AH559" s="35" t="s">
        <v>27</v>
      </c>
    </row>
    <row r="560" spans="1:34">
      <c r="A560" t="s">
        <v>834</v>
      </c>
      <c r="B560" t="s">
        <v>584</v>
      </c>
      <c r="C560">
        <v>23</v>
      </c>
      <c r="D560" t="s">
        <v>35</v>
      </c>
      <c r="E560" t="s">
        <v>22</v>
      </c>
      <c r="F560" t="s">
        <v>40</v>
      </c>
      <c r="G560" t="s">
        <v>41</v>
      </c>
      <c r="H560">
        <v>49</v>
      </c>
      <c r="I560">
        <v>89</v>
      </c>
      <c r="J560" t="s">
        <v>25</v>
      </c>
      <c r="K560">
        <v>10000</v>
      </c>
      <c r="L560">
        <v>6030</v>
      </c>
      <c r="M560">
        <v>4000</v>
      </c>
      <c r="N560" t="s">
        <v>26</v>
      </c>
      <c r="O560" t="s">
        <v>27</v>
      </c>
      <c r="P560" s="1">
        <v>45731</v>
      </c>
      <c r="Q560" s="1">
        <v>45791</v>
      </c>
      <c r="R560" s="2">
        <v>0.42777777777777776</v>
      </c>
      <c r="S560" s="2">
        <v>0.54236111111111107</v>
      </c>
      <c r="T560" t="str" cm="1">
        <f t="array" ref="T560">_xlfn.IFS(H560&gt;=90,"A",H560&gt;=75,"B",H560&gt;=60,"C",H560&lt;60,"D")</f>
        <v>D</v>
      </c>
      <c r="U560" t="str">
        <f t="shared" si="32"/>
        <v>10:16 AM</v>
      </c>
      <c r="V560" t="str">
        <f t="shared" si="33"/>
        <v>On Time</v>
      </c>
      <c r="W560" t="str">
        <f t="shared" si="34"/>
        <v>2 Hours 45 Minutes</v>
      </c>
      <c r="X560" t="str">
        <f t="shared" si="35"/>
        <v>Long Time Login</v>
      </c>
      <c r="AA560" s="34" t="s">
        <v>834</v>
      </c>
      <c r="AB560" s="34" t="s">
        <v>584</v>
      </c>
      <c r="AC560" s="34">
        <v>49</v>
      </c>
      <c r="AD560" s="34">
        <v>89</v>
      </c>
      <c r="AE560" s="34" t="s">
        <v>25</v>
      </c>
      <c r="AF560" s="34">
        <v>4000</v>
      </c>
      <c r="AH560" s="34" t="s">
        <v>27</v>
      </c>
    </row>
    <row r="561" spans="1:34">
      <c r="A561" t="s">
        <v>835</v>
      </c>
      <c r="B561" t="s">
        <v>34</v>
      </c>
      <c r="C561">
        <v>26</v>
      </c>
      <c r="D561" t="s">
        <v>21</v>
      </c>
      <c r="E561" t="s">
        <v>39</v>
      </c>
      <c r="F561" t="s">
        <v>57</v>
      </c>
      <c r="G561" t="s">
        <v>58</v>
      </c>
      <c r="H561">
        <v>86</v>
      </c>
      <c r="I561">
        <v>94</v>
      </c>
      <c r="J561" t="s">
        <v>45</v>
      </c>
      <c r="K561">
        <v>12000</v>
      </c>
      <c r="L561">
        <v>9570</v>
      </c>
      <c r="M561">
        <v>4000</v>
      </c>
      <c r="N561" t="s">
        <v>26</v>
      </c>
      <c r="O561" t="s">
        <v>27</v>
      </c>
      <c r="P561" s="1">
        <v>45857</v>
      </c>
      <c r="Q561" s="1">
        <v>45947</v>
      </c>
      <c r="R561" s="2">
        <v>0.35416666666666669</v>
      </c>
      <c r="S561" s="2">
        <v>0.45902777777777776</v>
      </c>
      <c r="T561" t="str" cm="1">
        <f t="array" ref="T561">_xlfn.IFS(H561&gt;=90,"A",H561&gt;=75,"B",H561&gt;=60,"C",H561&lt;60,"D")</f>
        <v>B</v>
      </c>
      <c r="U561" t="str">
        <f t="shared" si="32"/>
        <v>08:30 AM</v>
      </c>
      <c r="V561" t="str">
        <f t="shared" si="33"/>
        <v>On Time</v>
      </c>
      <c r="W561" t="str">
        <f t="shared" si="34"/>
        <v>2 Hours 31 Minutes</v>
      </c>
      <c r="X561" t="str">
        <f t="shared" si="35"/>
        <v>Short Time Login</v>
      </c>
      <c r="AA561" s="35" t="s">
        <v>835</v>
      </c>
      <c r="AB561" s="35" t="s">
        <v>34</v>
      </c>
      <c r="AC561" s="35">
        <v>86</v>
      </c>
      <c r="AD561" s="35">
        <v>94</v>
      </c>
      <c r="AE561" s="35" t="s">
        <v>45</v>
      </c>
      <c r="AF561" s="35">
        <v>4000</v>
      </c>
      <c r="AH561" s="35" t="s">
        <v>27</v>
      </c>
    </row>
    <row r="562" spans="1:34">
      <c r="A562" t="s">
        <v>836</v>
      </c>
      <c r="B562" t="s">
        <v>91</v>
      </c>
      <c r="C562">
        <v>26</v>
      </c>
      <c r="D562" t="s">
        <v>21</v>
      </c>
      <c r="E562" t="s">
        <v>44</v>
      </c>
      <c r="F562" t="s">
        <v>57</v>
      </c>
      <c r="G562" t="s">
        <v>58</v>
      </c>
      <c r="H562">
        <v>76</v>
      </c>
      <c r="I562">
        <v>98</v>
      </c>
      <c r="J562" t="s">
        <v>45</v>
      </c>
      <c r="K562">
        <v>20000</v>
      </c>
      <c r="L562">
        <v>21010</v>
      </c>
      <c r="M562">
        <v>2000</v>
      </c>
      <c r="N562" t="s">
        <v>26</v>
      </c>
      <c r="O562" t="s">
        <v>27</v>
      </c>
      <c r="P562" s="1">
        <v>45842</v>
      </c>
      <c r="Q562" s="1">
        <v>45962</v>
      </c>
      <c r="R562" s="2">
        <v>0.36666666666666664</v>
      </c>
      <c r="S562" s="2">
        <v>0.4201388888888889</v>
      </c>
      <c r="T562" t="str" cm="1">
        <f t="array" ref="T562">_xlfn.IFS(H562&gt;=90,"A",H562&gt;=75,"B",H562&gt;=60,"C",H562&lt;60,"D")</f>
        <v>B</v>
      </c>
      <c r="U562" t="str">
        <f t="shared" si="32"/>
        <v>08:48 AM</v>
      </c>
      <c r="V562" t="str">
        <f t="shared" si="33"/>
        <v>Delayed</v>
      </c>
      <c r="W562" t="str">
        <f t="shared" si="34"/>
        <v>1 Hours 17 Minutes</v>
      </c>
      <c r="X562" t="str">
        <f t="shared" si="35"/>
        <v>Short Time Login</v>
      </c>
      <c r="AA562" s="34" t="s">
        <v>836</v>
      </c>
      <c r="AB562" s="34" t="s">
        <v>91</v>
      </c>
      <c r="AC562" s="34">
        <v>76</v>
      </c>
      <c r="AD562" s="34">
        <v>98</v>
      </c>
      <c r="AE562" s="34" t="s">
        <v>45</v>
      </c>
      <c r="AF562" s="34">
        <v>2000</v>
      </c>
      <c r="AH562" s="34" t="s">
        <v>27</v>
      </c>
    </row>
    <row r="563" spans="1:34">
      <c r="A563" t="s">
        <v>837</v>
      </c>
      <c r="B563" t="s">
        <v>318</v>
      </c>
      <c r="C563">
        <v>23</v>
      </c>
      <c r="D563" t="s">
        <v>21</v>
      </c>
      <c r="E563" t="s">
        <v>73</v>
      </c>
      <c r="F563" t="s">
        <v>49</v>
      </c>
      <c r="G563" t="s">
        <v>50</v>
      </c>
      <c r="H563">
        <v>87</v>
      </c>
      <c r="I563">
        <v>78</v>
      </c>
      <c r="J563" t="s">
        <v>45</v>
      </c>
      <c r="K563">
        <v>10000</v>
      </c>
      <c r="L563">
        <v>7800</v>
      </c>
      <c r="M563">
        <v>4000</v>
      </c>
      <c r="N563" t="s">
        <v>26</v>
      </c>
      <c r="O563" t="s">
        <v>27</v>
      </c>
      <c r="P563" s="1">
        <v>45920</v>
      </c>
      <c r="Q563" s="1">
        <v>46100</v>
      </c>
      <c r="R563" s="2">
        <v>0.4236111111111111</v>
      </c>
      <c r="S563" s="2">
        <v>0.50416666666666665</v>
      </c>
      <c r="T563" t="str" cm="1">
        <f t="array" ref="T563">_xlfn.IFS(H563&gt;=90,"A",H563&gt;=75,"B",H563&gt;=60,"C",H563&lt;60,"D")</f>
        <v>B</v>
      </c>
      <c r="U563" t="str">
        <f t="shared" si="32"/>
        <v>10:10 AM</v>
      </c>
      <c r="V563" t="str">
        <f t="shared" si="33"/>
        <v>Delayed</v>
      </c>
      <c r="W563" t="str">
        <f t="shared" si="34"/>
        <v>1 Hours 56 Minutes</v>
      </c>
      <c r="X563" t="str">
        <f t="shared" si="35"/>
        <v>Long Time Login</v>
      </c>
      <c r="AA563" s="35" t="s">
        <v>837</v>
      </c>
      <c r="AB563" s="35" t="s">
        <v>318</v>
      </c>
      <c r="AC563" s="35">
        <v>87</v>
      </c>
      <c r="AD563" s="35">
        <v>78</v>
      </c>
      <c r="AE563" s="35" t="s">
        <v>45</v>
      </c>
      <c r="AF563" s="35">
        <v>4000</v>
      </c>
      <c r="AH563" s="35" t="s">
        <v>27</v>
      </c>
    </row>
    <row r="564" spans="1:34">
      <c r="A564" t="s">
        <v>838</v>
      </c>
      <c r="B564" t="s">
        <v>112</v>
      </c>
      <c r="C564">
        <v>18</v>
      </c>
      <c r="D564" t="s">
        <v>35</v>
      </c>
      <c r="E564" t="s">
        <v>73</v>
      </c>
      <c r="F564" t="s">
        <v>31</v>
      </c>
      <c r="G564" t="s">
        <v>32</v>
      </c>
      <c r="H564">
        <v>39</v>
      </c>
      <c r="I564">
        <v>73</v>
      </c>
      <c r="J564" t="s">
        <v>25</v>
      </c>
      <c r="K564">
        <v>12000</v>
      </c>
      <c r="L564">
        <v>12980</v>
      </c>
      <c r="M564">
        <v>0</v>
      </c>
      <c r="N564" t="s">
        <v>11</v>
      </c>
      <c r="O564" t="s">
        <v>127</v>
      </c>
      <c r="P564" s="1">
        <v>45828</v>
      </c>
      <c r="Q564" s="1">
        <v>46008</v>
      </c>
      <c r="R564" s="2">
        <v>0.4236111111111111</v>
      </c>
      <c r="S564" s="2">
        <v>0.56666666666666665</v>
      </c>
      <c r="T564" t="str" cm="1">
        <f t="array" ref="T564">_xlfn.IFS(H564&gt;=90,"A",H564&gt;=75,"B",H564&gt;=60,"C",H564&lt;60,"D")</f>
        <v>D</v>
      </c>
      <c r="U564" t="str">
        <f t="shared" si="32"/>
        <v>10:10 AM</v>
      </c>
      <c r="V564" t="str">
        <f t="shared" si="33"/>
        <v>Delayed</v>
      </c>
      <c r="W564" t="str">
        <f t="shared" si="34"/>
        <v>3 Hours 26 Minutes</v>
      </c>
      <c r="X564" t="str">
        <f t="shared" si="35"/>
        <v>Long Time Login</v>
      </c>
      <c r="AA564" s="34" t="s">
        <v>838</v>
      </c>
      <c r="AB564" s="34" t="s">
        <v>112</v>
      </c>
      <c r="AC564" s="34">
        <v>39</v>
      </c>
      <c r="AD564" s="34">
        <v>73</v>
      </c>
      <c r="AE564" s="34" t="s">
        <v>25</v>
      </c>
      <c r="AF564" s="34">
        <v>0</v>
      </c>
      <c r="AH564" s="34" t="s">
        <v>127</v>
      </c>
    </row>
    <row r="565" spans="1:34">
      <c r="A565" t="s">
        <v>839</v>
      </c>
      <c r="B565" t="s">
        <v>213</v>
      </c>
      <c r="C565">
        <v>27</v>
      </c>
      <c r="D565" t="s">
        <v>21</v>
      </c>
      <c r="E565" t="s">
        <v>113</v>
      </c>
      <c r="F565" t="s">
        <v>57</v>
      </c>
      <c r="G565" t="s">
        <v>58</v>
      </c>
      <c r="H565">
        <v>56</v>
      </c>
      <c r="I565">
        <v>85</v>
      </c>
      <c r="J565" t="s">
        <v>25</v>
      </c>
      <c r="K565">
        <v>18000</v>
      </c>
      <c r="L565">
        <v>18650</v>
      </c>
      <c r="M565">
        <v>2000</v>
      </c>
      <c r="N565" t="s">
        <v>26</v>
      </c>
      <c r="O565" t="s">
        <v>27</v>
      </c>
      <c r="P565" s="1">
        <v>45928</v>
      </c>
      <c r="Q565" s="1">
        <v>46048</v>
      </c>
      <c r="R565" s="2">
        <v>0.39097222222222222</v>
      </c>
      <c r="S565" s="2">
        <v>0.52222222222222225</v>
      </c>
      <c r="T565" t="str" cm="1">
        <f t="array" ref="T565">_xlfn.IFS(H565&gt;=90,"A",H565&gt;=75,"B",H565&gt;=60,"C",H565&lt;60,"D")</f>
        <v>D</v>
      </c>
      <c r="U565" t="str">
        <f t="shared" si="32"/>
        <v>09:23 AM</v>
      </c>
      <c r="V565" t="str">
        <f t="shared" si="33"/>
        <v>Delayed</v>
      </c>
      <c r="W565" t="str">
        <f t="shared" si="34"/>
        <v>3 Hours 9 Minutes</v>
      </c>
      <c r="X565" t="str">
        <f t="shared" si="35"/>
        <v>Short Time Login</v>
      </c>
      <c r="AA565" s="35" t="s">
        <v>839</v>
      </c>
      <c r="AB565" s="35" t="s">
        <v>213</v>
      </c>
      <c r="AC565" s="35">
        <v>56</v>
      </c>
      <c r="AD565" s="35">
        <v>85</v>
      </c>
      <c r="AE565" s="35" t="s">
        <v>25</v>
      </c>
      <c r="AF565" s="35">
        <v>2000</v>
      </c>
      <c r="AH565" s="35" t="s">
        <v>27</v>
      </c>
    </row>
    <row r="566" spans="1:34">
      <c r="A566" t="s">
        <v>840</v>
      </c>
      <c r="B566" t="s">
        <v>171</v>
      </c>
      <c r="C566">
        <v>26</v>
      </c>
      <c r="D566" t="s">
        <v>35</v>
      </c>
      <c r="E566" t="s">
        <v>62</v>
      </c>
      <c r="F566" t="s">
        <v>88</v>
      </c>
      <c r="G566" t="s">
        <v>89</v>
      </c>
      <c r="H566">
        <v>68</v>
      </c>
      <c r="I566">
        <v>96</v>
      </c>
      <c r="J566" t="s">
        <v>68</v>
      </c>
      <c r="K566">
        <v>10000</v>
      </c>
      <c r="L566">
        <v>6030</v>
      </c>
      <c r="M566">
        <v>4000</v>
      </c>
      <c r="N566" t="s">
        <v>26</v>
      </c>
      <c r="O566" t="s">
        <v>27</v>
      </c>
      <c r="P566" s="1">
        <v>45953</v>
      </c>
      <c r="Q566" s="1">
        <v>46073</v>
      </c>
      <c r="R566" s="2">
        <v>0.34166666666666667</v>
      </c>
      <c r="S566" s="2">
        <v>0.40347222222222223</v>
      </c>
      <c r="T566" t="str" cm="1">
        <f t="array" ref="T566">_xlfn.IFS(H566&gt;=90,"A",H566&gt;=75,"B",H566&gt;=60,"C",H566&lt;60,"D")</f>
        <v>C</v>
      </c>
      <c r="U566" t="str">
        <f t="shared" si="32"/>
        <v>08:12 AM</v>
      </c>
      <c r="V566" t="str">
        <f t="shared" si="33"/>
        <v>Delayed</v>
      </c>
      <c r="W566" t="str">
        <f t="shared" si="34"/>
        <v>1 Hours 29 Minutes</v>
      </c>
      <c r="X566" t="str">
        <f t="shared" si="35"/>
        <v>Short Time Login</v>
      </c>
      <c r="AA566" s="34" t="s">
        <v>840</v>
      </c>
      <c r="AB566" s="34" t="s">
        <v>171</v>
      </c>
      <c r="AC566" s="34">
        <v>68</v>
      </c>
      <c r="AD566" s="34">
        <v>96</v>
      </c>
      <c r="AE566" s="34" t="s">
        <v>68</v>
      </c>
      <c r="AF566" s="34">
        <v>4000</v>
      </c>
      <c r="AH566" s="34" t="s">
        <v>27</v>
      </c>
    </row>
    <row r="567" spans="1:34">
      <c r="A567" t="s">
        <v>841</v>
      </c>
      <c r="B567" t="s">
        <v>87</v>
      </c>
      <c r="C567">
        <v>18</v>
      </c>
      <c r="D567" t="s">
        <v>35</v>
      </c>
      <c r="E567" t="s">
        <v>44</v>
      </c>
      <c r="F567" t="s">
        <v>88</v>
      </c>
      <c r="G567" t="s">
        <v>89</v>
      </c>
      <c r="H567">
        <v>50</v>
      </c>
      <c r="I567">
        <v>69</v>
      </c>
      <c r="J567" t="s">
        <v>25</v>
      </c>
      <c r="K567">
        <v>15000</v>
      </c>
      <c r="L567">
        <v>11930</v>
      </c>
      <c r="M567">
        <v>4000</v>
      </c>
      <c r="N567" t="s">
        <v>26</v>
      </c>
      <c r="O567" t="s">
        <v>27</v>
      </c>
      <c r="P567" s="1">
        <v>45734</v>
      </c>
      <c r="Q567" s="1">
        <v>45854</v>
      </c>
      <c r="R567" s="2">
        <v>0.37083333333333335</v>
      </c>
      <c r="S567" s="2">
        <v>0.42986111111111114</v>
      </c>
      <c r="T567" t="str" cm="1">
        <f t="array" ref="T567">_xlfn.IFS(H567&gt;=90,"A",H567&gt;=75,"B",H567&gt;=60,"C",H567&lt;60,"D")</f>
        <v>D</v>
      </c>
      <c r="U567" t="str">
        <f t="shared" si="32"/>
        <v>08:54 AM</v>
      </c>
      <c r="V567" t="str">
        <f t="shared" si="33"/>
        <v>Delayed</v>
      </c>
      <c r="W567" t="str">
        <f t="shared" si="34"/>
        <v>1 Hours 25 Minutes</v>
      </c>
      <c r="X567" t="str">
        <f t="shared" si="35"/>
        <v>Short Time Login</v>
      </c>
      <c r="AA567" s="35" t="s">
        <v>841</v>
      </c>
      <c r="AB567" s="35" t="s">
        <v>87</v>
      </c>
      <c r="AC567" s="35">
        <v>50</v>
      </c>
      <c r="AD567" s="35">
        <v>69</v>
      </c>
      <c r="AE567" s="35" t="s">
        <v>25</v>
      </c>
      <c r="AF567" s="35">
        <v>4000</v>
      </c>
      <c r="AH567" s="35" t="s">
        <v>27</v>
      </c>
    </row>
    <row r="568" spans="1:34">
      <c r="A568" t="s">
        <v>842</v>
      </c>
      <c r="B568" t="s">
        <v>539</v>
      </c>
      <c r="C568">
        <v>21</v>
      </c>
      <c r="D568" t="s">
        <v>35</v>
      </c>
      <c r="E568" t="s">
        <v>22</v>
      </c>
      <c r="F568" t="s">
        <v>88</v>
      </c>
      <c r="G568" t="s">
        <v>89</v>
      </c>
      <c r="H568">
        <v>80</v>
      </c>
      <c r="I568">
        <v>73</v>
      </c>
      <c r="J568" t="s">
        <v>45</v>
      </c>
      <c r="K568">
        <v>10000</v>
      </c>
      <c r="L568">
        <v>8620</v>
      </c>
      <c r="M568">
        <v>2000</v>
      </c>
      <c r="N568" t="s">
        <v>26</v>
      </c>
      <c r="O568" t="s">
        <v>27</v>
      </c>
      <c r="P568" s="1">
        <v>45670</v>
      </c>
      <c r="Q568" s="1">
        <v>45850</v>
      </c>
      <c r="R568" s="2">
        <v>0.33819444444444446</v>
      </c>
      <c r="S568" s="2">
        <v>0.4777777777777778</v>
      </c>
      <c r="T568" t="str" cm="1">
        <f t="array" ref="T568">_xlfn.IFS(H568&gt;=90,"A",H568&gt;=75,"B",H568&gt;=60,"C",H568&lt;60,"D")</f>
        <v>B</v>
      </c>
      <c r="U568" t="str">
        <f t="shared" si="32"/>
        <v>08:07 AM</v>
      </c>
      <c r="V568" t="str">
        <f t="shared" si="33"/>
        <v>Delayed</v>
      </c>
      <c r="W568" t="str">
        <f t="shared" si="34"/>
        <v>3 Hours 21 Minutes</v>
      </c>
      <c r="X568" t="str">
        <f t="shared" si="35"/>
        <v>Short Time Login</v>
      </c>
      <c r="AA568" s="34" t="s">
        <v>842</v>
      </c>
      <c r="AB568" s="34" t="s">
        <v>539</v>
      </c>
      <c r="AC568" s="34">
        <v>80</v>
      </c>
      <c r="AD568" s="34">
        <v>73</v>
      </c>
      <c r="AE568" s="34" t="s">
        <v>45</v>
      </c>
      <c r="AF568" s="34">
        <v>2000</v>
      </c>
      <c r="AH568" s="34" t="s">
        <v>27</v>
      </c>
    </row>
    <row r="569" spans="1:34">
      <c r="A569" t="s">
        <v>843</v>
      </c>
      <c r="B569" t="s">
        <v>630</v>
      </c>
      <c r="C569">
        <v>25</v>
      </c>
      <c r="D569" t="s">
        <v>21</v>
      </c>
      <c r="E569" t="s">
        <v>62</v>
      </c>
      <c r="F569" t="s">
        <v>23</v>
      </c>
      <c r="G569" t="s">
        <v>24</v>
      </c>
      <c r="H569">
        <v>87</v>
      </c>
      <c r="I569">
        <v>92</v>
      </c>
      <c r="J569" t="s">
        <v>45</v>
      </c>
      <c r="K569">
        <v>18000</v>
      </c>
      <c r="L569">
        <v>16060</v>
      </c>
      <c r="M569">
        <v>4000</v>
      </c>
      <c r="N569" t="s">
        <v>26</v>
      </c>
      <c r="O569" t="s">
        <v>27</v>
      </c>
      <c r="P569" s="1">
        <v>45817</v>
      </c>
      <c r="Q569" s="1">
        <v>45877</v>
      </c>
      <c r="R569" s="2">
        <v>0.41944444444444445</v>
      </c>
      <c r="S569" s="2">
        <v>0.55069444444444449</v>
      </c>
      <c r="T569" t="str" cm="1">
        <f t="array" ref="T569">_xlfn.IFS(H569&gt;=90,"A",H569&gt;=75,"B",H569&gt;=60,"C",H569&lt;60,"D")</f>
        <v>B</v>
      </c>
      <c r="U569" t="str">
        <f t="shared" si="32"/>
        <v>10:04 AM</v>
      </c>
      <c r="V569" t="str">
        <f t="shared" si="33"/>
        <v>On Time</v>
      </c>
      <c r="W569" t="str">
        <f t="shared" si="34"/>
        <v>3 Hours 9 Minutes</v>
      </c>
      <c r="X569" t="str">
        <f t="shared" si="35"/>
        <v>Long Time Login</v>
      </c>
      <c r="AA569" s="35" t="s">
        <v>843</v>
      </c>
      <c r="AB569" s="35" t="s">
        <v>630</v>
      </c>
      <c r="AC569" s="35">
        <v>87</v>
      </c>
      <c r="AD569" s="35">
        <v>92</v>
      </c>
      <c r="AE569" s="35" t="s">
        <v>45</v>
      </c>
      <c r="AF569" s="35">
        <v>4000</v>
      </c>
      <c r="AH569" s="35" t="s">
        <v>27</v>
      </c>
    </row>
    <row r="570" spans="1:34">
      <c r="A570" t="s">
        <v>844</v>
      </c>
      <c r="B570" t="s">
        <v>500</v>
      </c>
      <c r="C570">
        <v>25</v>
      </c>
      <c r="D570" t="s">
        <v>35</v>
      </c>
      <c r="E570" t="s">
        <v>62</v>
      </c>
      <c r="F570" t="s">
        <v>31</v>
      </c>
      <c r="G570" t="s">
        <v>32</v>
      </c>
      <c r="H570">
        <v>74</v>
      </c>
      <c r="I570">
        <v>63</v>
      </c>
      <c r="J570" t="s">
        <v>68</v>
      </c>
      <c r="K570">
        <v>15000</v>
      </c>
      <c r="L570">
        <v>16520</v>
      </c>
      <c r="M570">
        <v>0</v>
      </c>
      <c r="N570" t="s">
        <v>11</v>
      </c>
      <c r="O570" t="s">
        <v>27</v>
      </c>
      <c r="P570" s="1">
        <v>45948</v>
      </c>
      <c r="Q570" s="1">
        <v>46128</v>
      </c>
      <c r="R570" s="2">
        <v>0.36805555555555558</v>
      </c>
      <c r="S570" s="2">
        <v>0.48958333333333331</v>
      </c>
      <c r="T570" t="str" cm="1">
        <f t="array" ref="T570">_xlfn.IFS(H570&gt;=90,"A",H570&gt;=75,"B",H570&gt;=60,"C",H570&lt;60,"D")</f>
        <v>C</v>
      </c>
      <c r="U570" t="str">
        <f t="shared" si="32"/>
        <v>08:50 AM</v>
      </c>
      <c r="V570" t="str">
        <f t="shared" si="33"/>
        <v>Delayed</v>
      </c>
      <c r="W570" t="str">
        <f t="shared" si="34"/>
        <v>2 Hours 55 Minutes</v>
      </c>
      <c r="X570" t="str">
        <f t="shared" si="35"/>
        <v>Short Time Login</v>
      </c>
      <c r="AA570" s="34" t="s">
        <v>844</v>
      </c>
      <c r="AB570" s="34" t="s">
        <v>500</v>
      </c>
      <c r="AC570" s="34">
        <v>74</v>
      </c>
      <c r="AD570" s="34">
        <v>63</v>
      </c>
      <c r="AE570" s="34" t="s">
        <v>68</v>
      </c>
      <c r="AF570" s="34">
        <v>0</v>
      </c>
      <c r="AH570" s="34" t="s">
        <v>27</v>
      </c>
    </row>
    <row r="571" spans="1:34">
      <c r="A571" t="s">
        <v>845</v>
      </c>
      <c r="B571" t="s">
        <v>187</v>
      </c>
      <c r="C571">
        <v>21</v>
      </c>
      <c r="D571" t="s">
        <v>21</v>
      </c>
      <c r="E571" t="s">
        <v>113</v>
      </c>
      <c r="F571" t="s">
        <v>31</v>
      </c>
      <c r="G571" t="s">
        <v>32</v>
      </c>
      <c r="H571">
        <v>99</v>
      </c>
      <c r="I571">
        <v>77</v>
      </c>
      <c r="J571" t="s">
        <v>59</v>
      </c>
      <c r="K571">
        <v>20000</v>
      </c>
      <c r="L571">
        <v>18420</v>
      </c>
      <c r="M571">
        <v>4000</v>
      </c>
      <c r="N571" t="s">
        <v>26</v>
      </c>
      <c r="O571" t="s">
        <v>27</v>
      </c>
      <c r="P571" s="1">
        <v>46004</v>
      </c>
      <c r="Q571" s="1">
        <v>46094</v>
      </c>
      <c r="R571" s="2">
        <v>0.4465277777777778</v>
      </c>
      <c r="S571" s="2">
        <v>0.63680555555555551</v>
      </c>
      <c r="T571" t="str" cm="1">
        <f t="array" ref="T571">_xlfn.IFS(H571&gt;=90,"A",H571&gt;=75,"B",H571&gt;=60,"C",H571&lt;60,"D")</f>
        <v>A</v>
      </c>
      <c r="U571" t="str">
        <f t="shared" si="32"/>
        <v>10:43 AM</v>
      </c>
      <c r="V571" t="str">
        <f t="shared" si="33"/>
        <v>On Time</v>
      </c>
      <c r="W571" t="str">
        <f t="shared" si="34"/>
        <v>4 Hours 34 Minutes</v>
      </c>
      <c r="X571" t="str">
        <f t="shared" si="35"/>
        <v>Long Time Login</v>
      </c>
      <c r="AA571" s="35" t="s">
        <v>845</v>
      </c>
      <c r="AB571" s="35" t="s">
        <v>187</v>
      </c>
      <c r="AC571" s="35">
        <v>99</v>
      </c>
      <c r="AD571" s="35">
        <v>77</v>
      </c>
      <c r="AE571" s="35" t="s">
        <v>59</v>
      </c>
      <c r="AF571" s="35">
        <v>4000</v>
      </c>
      <c r="AH571" s="35" t="s">
        <v>27</v>
      </c>
    </row>
    <row r="572" spans="1:34">
      <c r="A572" t="s">
        <v>846</v>
      </c>
      <c r="B572" t="s">
        <v>847</v>
      </c>
      <c r="C572">
        <v>26</v>
      </c>
      <c r="D572" t="s">
        <v>21</v>
      </c>
      <c r="E572" t="s">
        <v>67</v>
      </c>
      <c r="F572" t="s">
        <v>53</v>
      </c>
      <c r="G572" t="s">
        <v>54</v>
      </c>
      <c r="H572">
        <v>57</v>
      </c>
      <c r="I572">
        <v>66</v>
      </c>
      <c r="J572" t="s">
        <v>25</v>
      </c>
      <c r="K572">
        <v>10000</v>
      </c>
      <c r="L572">
        <v>11210</v>
      </c>
      <c r="M572">
        <v>0</v>
      </c>
      <c r="N572" t="s">
        <v>11</v>
      </c>
      <c r="O572" t="s">
        <v>27</v>
      </c>
      <c r="P572" s="1">
        <v>45926</v>
      </c>
      <c r="Q572" s="1">
        <v>45986</v>
      </c>
      <c r="R572" s="2">
        <v>0.34236111111111112</v>
      </c>
      <c r="S572" s="2">
        <v>0.46250000000000002</v>
      </c>
      <c r="T572" t="str" cm="1">
        <f t="array" ref="T572">_xlfn.IFS(H572&gt;=90,"A",H572&gt;=75,"B",H572&gt;=60,"C",H572&lt;60,"D")</f>
        <v>D</v>
      </c>
      <c r="U572" t="str">
        <f t="shared" si="32"/>
        <v>08:13 AM</v>
      </c>
      <c r="V572" t="str">
        <f t="shared" si="33"/>
        <v>On Time</v>
      </c>
      <c r="W572" t="str">
        <f t="shared" si="34"/>
        <v>2 Hours 53 Minutes</v>
      </c>
      <c r="X572" t="str">
        <f t="shared" si="35"/>
        <v>Short Time Login</v>
      </c>
      <c r="AA572" s="34" t="s">
        <v>846</v>
      </c>
      <c r="AB572" s="34" t="s">
        <v>847</v>
      </c>
      <c r="AC572" s="34">
        <v>57</v>
      </c>
      <c r="AD572" s="34">
        <v>66</v>
      </c>
      <c r="AE572" s="34" t="s">
        <v>25</v>
      </c>
      <c r="AF572" s="34">
        <v>0</v>
      </c>
      <c r="AH572" s="34" t="s">
        <v>27</v>
      </c>
    </row>
    <row r="573" spans="1:34">
      <c r="A573" t="s">
        <v>848</v>
      </c>
      <c r="B573" t="s">
        <v>503</v>
      </c>
      <c r="C573">
        <v>25</v>
      </c>
      <c r="D573" t="s">
        <v>21</v>
      </c>
      <c r="E573" t="s">
        <v>36</v>
      </c>
      <c r="F573" t="s">
        <v>57</v>
      </c>
      <c r="G573" t="s">
        <v>58</v>
      </c>
      <c r="H573">
        <v>53</v>
      </c>
      <c r="I573">
        <v>91</v>
      </c>
      <c r="J573" t="s">
        <v>25</v>
      </c>
      <c r="K573">
        <v>18000</v>
      </c>
      <c r="L573">
        <v>19470</v>
      </c>
      <c r="M573">
        <v>0</v>
      </c>
      <c r="N573" t="s">
        <v>11</v>
      </c>
      <c r="O573" t="s">
        <v>27</v>
      </c>
      <c r="P573" s="1">
        <v>45970</v>
      </c>
      <c r="Q573" s="1">
        <v>46060</v>
      </c>
      <c r="R573" s="2">
        <v>0.43055555555555558</v>
      </c>
      <c r="S573" s="2">
        <v>0.56041666666666667</v>
      </c>
      <c r="T573" t="str" cm="1">
        <f t="array" ref="T573">_xlfn.IFS(H573&gt;=90,"A",H573&gt;=75,"B",H573&gt;=60,"C",H573&lt;60,"D")</f>
        <v>D</v>
      </c>
      <c r="U573" t="str">
        <f t="shared" si="32"/>
        <v>10:20 AM</v>
      </c>
      <c r="V573" t="str">
        <f t="shared" si="33"/>
        <v>On Time</v>
      </c>
      <c r="W573" t="str">
        <f t="shared" si="34"/>
        <v>3 Hours 7 Minutes</v>
      </c>
      <c r="X573" t="str">
        <f t="shared" si="35"/>
        <v>Long Time Login</v>
      </c>
      <c r="AA573" s="35" t="s">
        <v>848</v>
      </c>
      <c r="AB573" s="35" t="s">
        <v>503</v>
      </c>
      <c r="AC573" s="35">
        <v>53</v>
      </c>
      <c r="AD573" s="35">
        <v>91</v>
      </c>
      <c r="AE573" s="35" t="s">
        <v>25</v>
      </c>
      <c r="AF573" s="35">
        <v>0</v>
      </c>
      <c r="AH573" s="35" t="s">
        <v>27</v>
      </c>
    </row>
    <row r="574" spans="1:34">
      <c r="A574" t="s">
        <v>849</v>
      </c>
      <c r="B574" t="s">
        <v>850</v>
      </c>
      <c r="C574">
        <v>23</v>
      </c>
      <c r="D574" t="s">
        <v>35</v>
      </c>
      <c r="E574" t="s">
        <v>48</v>
      </c>
      <c r="F574" t="s">
        <v>53</v>
      </c>
      <c r="G574" t="s">
        <v>54</v>
      </c>
      <c r="H574">
        <v>57</v>
      </c>
      <c r="I574">
        <v>69</v>
      </c>
      <c r="J574" t="s">
        <v>25</v>
      </c>
      <c r="K574">
        <v>10000</v>
      </c>
      <c r="L574">
        <v>6030</v>
      </c>
      <c r="M574">
        <v>4000</v>
      </c>
      <c r="N574" t="s">
        <v>26</v>
      </c>
      <c r="O574" t="s">
        <v>27</v>
      </c>
      <c r="P574" s="1">
        <v>45787</v>
      </c>
      <c r="Q574" s="1">
        <v>45817</v>
      </c>
      <c r="R574" s="2">
        <v>0.38541666666666669</v>
      </c>
      <c r="S574" s="2">
        <v>0.56388888888888888</v>
      </c>
      <c r="T574" t="str" cm="1">
        <f t="array" ref="T574">_xlfn.IFS(H574&gt;=90,"A",H574&gt;=75,"B",H574&gt;=60,"C",H574&lt;60,"D")</f>
        <v>D</v>
      </c>
      <c r="U574" t="str">
        <f t="shared" si="32"/>
        <v>09:15 AM</v>
      </c>
      <c r="V574" t="str">
        <f t="shared" si="33"/>
        <v>On Time</v>
      </c>
      <c r="W574" t="str">
        <f t="shared" si="34"/>
        <v>4 Hours 17 Minutes</v>
      </c>
      <c r="X574" t="str">
        <f t="shared" si="35"/>
        <v>Short Time Login</v>
      </c>
      <c r="AA574" s="34" t="s">
        <v>849</v>
      </c>
      <c r="AB574" s="34" t="s">
        <v>850</v>
      </c>
      <c r="AC574" s="34">
        <v>57</v>
      </c>
      <c r="AD574" s="34">
        <v>69</v>
      </c>
      <c r="AE574" s="34" t="s">
        <v>25</v>
      </c>
      <c r="AF574" s="34">
        <v>4000</v>
      </c>
      <c r="AH574" s="34" t="s">
        <v>27</v>
      </c>
    </row>
    <row r="575" spans="1:34">
      <c r="A575" t="s">
        <v>851</v>
      </c>
      <c r="B575" t="s">
        <v>852</v>
      </c>
      <c r="C575">
        <v>25</v>
      </c>
      <c r="D575" t="s">
        <v>35</v>
      </c>
      <c r="E575" t="s">
        <v>48</v>
      </c>
      <c r="F575" t="s">
        <v>63</v>
      </c>
      <c r="G575" t="s">
        <v>64</v>
      </c>
      <c r="H575">
        <v>82</v>
      </c>
      <c r="I575">
        <v>77</v>
      </c>
      <c r="J575" t="s">
        <v>45</v>
      </c>
      <c r="K575">
        <v>20000</v>
      </c>
      <c r="L575">
        <v>19830</v>
      </c>
      <c r="M575">
        <v>2000</v>
      </c>
      <c r="N575" t="s">
        <v>26</v>
      </c>
      <c r="O575" t="s">
        <v>27</v>
      </c>
      <c r="P575" s="1">
        <v>45830</v>
      </c>
      <c r="Q575" s="1">
        <v>45920</v>
      </c>
      <c r="R575" s="2">
        <v>0.45624999999999999</v>
      </c>
      <c r="S575" s="2">
        <v>0.51180555555555551</v>
      </c>
      <c r="T575" t="str" cm="1">
        <f t="array" ref="T575">_xlfn.IFS(H575&gt;=90,"A",H575&gt;=75,"B",H575&gt;=60,"C",H575&lt;60,"D")</f>
        <v>B</v>
      </c>
      <c r="U575" t="str">
        <f t="shared" si="32"/>
        <v>10:57 AM</v>
      </c>
      <c r="V575" t="str">
        <f t="shared" si="33"/>
        <v>On Time</v>
      </c>
      <c r="W575" t="str">
        <f t="shared" si="34"/>
        <v>1 Hours 20 Minutes</v>
      </c>
      <c r="X575" t="str">
        <f t="shared" si="35"/>
        <v>Long Time Login</v>
      </c>
      <c r="AA575" s="35" t="s">
        <v>851</v>
      </c>
      <c r="AB575" s="35" t="s">
        <v>852</v>
      </c>
      <c r="AC575" s="35">
        <v>82</v>
      </c>
      <c r="AD575" s="35">
        <v>77</v>
      </c>
      <c r="AE575" s="35" t="s">
        <v>45</v>
      </c>
      <c r="AF575" s="35">
        <v>2000</v>
      </c>
      <c r="AH575" s="35" t="s">
        <v>27</v>
      </c>
    </row>
    <row r="576" spans="1:34">
      <c r="A576" t="s">
        <v>853</v>
      </c>
      <c r="B576" t="s">
        <v>83</v>
      </c>
      <c r="C576">
        <v>18</v>
      </c>
      <c r="D576" t="s">
        <v>35</v>
      </c>
      <c r="E576" t="s">
        <v>96</v>
      </c>
      <c r="F576" t="s">
        <v>40</v>
      </c>
      <c r="G576" t="s">
        <v>41</v>
      </c>
      <c r="H576">
        <v>71</v>
      </c>
      <c r="I576">
        <v>75</v>
      </c>
      <c r="J576" t="s">
        <v>68</v>
      </c>
      <c r="K576">
        <v>10000</v>
      </c>
      <c r="L576">
        <v>11210</v>
      </c>
      <c r="M576">
        <v>0</v>
      </c>
      <c r="N576" t="s">
        <v>11</v>
      </c>
      <c r="O576" t="s">
        <v>27</v>
      </c>
      <c r="P576" s="1">
        <v>45723</v>
      </c>
      <c r="Q576" s="1">
        <v>45753</v>
      </c>
      <c r="R576" s="2">
        <v>0.37638888888888888</v>
      </c>
      <c r="S576" s="2">
        <v>0.55833333333333335</v>
      </c>
      <c r="T576" t="str" cm="1">
        <f t="array" ref="T576">_xlfn.IFS(H576&gt;=90,"A",H576&gt;=75,"B",H576&gt;=60,"C",H576&lt;60,"D")</f>
        <v>C</v>
      </c>
      <c r="U576" t="str">
        <f t="shared" si="32"/>
        <v>09:02 AM</v>
      </c>
      <c r="V576" t="str">
        <f t="shared" si="33"/>
        <v>On Time</v>
      </c>
      <c r="W576" t="str">
        <f t="shared" si="34"/>
        <v>4 Hours 22 Minutes</v>
      </c>
      <c r="X576" t="str">
        <f t="shared" si="35"/>
        <v>Short Time Login</v>
      </c>
      <c r="AA576" s="34" t="s">
        <v>853</v>
      </c>
      <c r="AB576" s="34" t="s">
        <v>83</v>
      </c>
      <c r="AC576" s="34">
        <v>71</v>
      </c>
      <c r="AD576" s="34">
        <v>75</v>
      </c>
      <c r="AE576" s="34" t="s">
        <v>68</v>
      </c>
      <c r="AF576" s="34">
        <v>0</v>
      </c>
      <c r="AH576" s="34" t="s">
        <v>27</v>
      </c>
    </row>
    <row r="577" spans="1:34">
      <c r="A577" t="s">
        <v>854</v>
      </c>
      <c r="B577" t="s">
        <v>83</v>
      </c>
      <c r="C577">
        <v>20</v>
      </c>
      <c r="D577" t="s">
        <v>35</v>
      </c>
      <c r="E577" t="s">
        <v>30</v>
      </c>
      <c r="F577" t="s">
        <v>49</v>
      </c>
      <c r="G577" t="s">
        <v>50</v>
      </c>
      <c r="H577">
        <v>78</v>
      </c>
      <c r="I577">
        <v>93</v>
      </c>
      <c r="J577" t="s">
        <v>45</v>
      </c>
      <c r="K577">
        <v>12000</v>
      </c>
      <c r="L577">
        <v>8980</v>
      </c>
      <c r="M577">
        <v>4000</v>
      </c>
      <c r="N577" t="s">
        <v>26</v>
      </c>
      <c r="O577" t="s">
        <v>27</v>
      </c>
      <c r="P577" s="1">
        <v>45936</v>
      </c>
      <c r="Q577" s="1">
        <v>46026</v>
      </c>
      <c r="R577" s="2">
        <v>0.35416666666666669</v>
      </c>
      <c r="S577" s="2">
        <v>0.39791666666666664</v>
      </c>
      <c r="T577" t="str" cm="1">
        <f t="array" ref="T577">_xlfn.IFS(H577&gt;=90,"A",H577&gt;=75,"B",H577&gt;=60,"C",H577&lt;60,"D")</f>
        <v>B</v>
      </c>
      <c r="U577" t="str">
        <f t="shared" si="32"/>
        <v>08:30 AM</v>
      </c>
      <c r="V577" t="str">
        <f t="shared" si="33"/>
        <v>On Time</v>
      </c>
      <c r="W577" t="str">
        <f t="shared" si="34"/>
        <v>1 Hours 3 Minutes</v>
      </c>
      <c r="X577" t="str">
        <f t="shared" si="35"/>
        <v>Short Time Login</v>
      </c>
      <c r="AA577" s="35" t="s">
        <v>854</v>
      </c>
      <c r="AB577" s="35" t="s">
        <v>83</v>
      </c>
      <c r="AC577" s="35">
        <v>78</v>
      </c>
      <c r="AD577" s="35">
        <v>93</v>
      </c>
      <c r="AE577" s="35" t="s">
        <v>45</v>
      </c>
      <c r="AF577" s="35">
        <v>4000</v>
      </c>
      <c r="AH577" s="35" t="s">
        <v>27</v>
      </c>
    </row>
    <row r="578" spans="1:34">
      <c r="A578" t="s">
        <v>855</v>
      </c>
      <c r="B578" t="s">
        <v>207</v>
      </c>
      <c r="C578">
        <v>25</v>
      </c>
      <c r="D578" t="s">
        <v>21</v>
      </c>
      <c r="E578" t="s">
        <v>113</v>
      </c>
      <c r="F578" t="s">
        <v>57</v>
      </c>
      <c r="G578" t="s">
        <v>58</v>
      </c>
      <c r="H578">
        <v>60</v>
      </c>
      <c r="I578">
        <v>70</v>
      </c>
      <c r="J578" t="s">
        <v>68</v>
      </c>
      <c r="K578">
        <v>20000</v>
      </c>
      <c r="L578">
        <v>18420</v>
      </c>
      <c r="M578">
        <v>4000</v>
      </c>
      <c r="N578" t="s">
        <v>26</v>
      </c>
      <c r="O578" t="s">
        <v>27</v>
      </c>
      <c r="P578" s="1">
        <v>45876</v>
      </c>
      <c r="Q578" s="1">
        <v>45906</v>
      </c>
      <c r="R578" s="2">
        <v>0.35972222222222222</v>
      </c>
      <c r="S578" s="2">
        <v>0.45</v>
      </c>
      <c r="T578" t="str" cm="1">
        <f t="array" ref="T578">_xlfn.IFS(H578&gt;=90,"A",H578&gt;=75,"B",H578&gt;=60,"C",H578&lt;60,"D")</f>
        <v>C</v>
      </c>
      <c r="U578" t="str">
        <f t="shared" ref="U578:U641" si="36">TEXT(R578,"hh:mm AM/PM")</f>
        <v>08:38 AM</v>
      </c>
      <c r="V578" t="str">
        <f t="shared" ref="V578:V641" si="37">IF(_xlfn.DAYS(Q578,P578)&lt;=90,"On Time","Delayed")</f>
        <v>On Time</v>
      </c>
      <c r="W578" t="str">
        <f t="shared" ref="W578:W641" si="38">HOUR(S578-R578)&amp;" Hours "&amp;MINUTE(S578-R578)&amp;" Minutes"</f>
        <v>2 Hours 10 Minutes</v>
      </c>
      <c r="X578" t="str">
        <f t="shared" ref="X578:X641" si="39">IF(R578&gt;TIME(10,0,0),"Long Time Login","Short Time Login")</f>
        <v>Short Time Login</v>
      </c>
      <c r="AA578" s="34" t="s">
        <v>855</v>
      </c>
      <c r="AB578" s="34" t="s">
        <v>207</v>
      </c>
      <c r="AC578" s="34">
        <v>60</v>
      </c>
      <c r="AD578" s="34">
        <v>70</v>
      </c>
      <c r="AE578" s="34" t="s">
        <v>68</v>
      </c>
      <c r="AF578" s="34">
        <v>4000</v>
      </c>
      <c r="AH578" s="34" t="s">
        <v>27</v>
      </c>
    </row>
    <row r="579" spans="1:34">
      <c r="A579" t="s">
        <v>856</v>
      </c>
      <c r="B579" t="s">
        <v>20</v>
      </c>
      <c r="C579">
        <v>27</v>
      </c>
      <c r="D579" t="s">
        <v>35</v>
      </c>
      <c r="E579" t="s">
        <v>44</v>
      </c>
      <c r="F579" t="s">
        <v>23</v>
      </c>
      <c r="G579" t="s">
        <v>24</v>
      </c>
      <c r="H579">
        <v>36</v>
      </c>
      <c r="I579">
        <v>87</v>
      </c>
      <c r="J579" t="s">
        <v>25</v>
      </c>
      <c r="K579">
        <v>20000</v>
      </c>
      <c r="L579">
        <v>22420</v>
      </c>
      <c r="M579">
        <v>0</v>
      </c>
      <c r="N579" t="s">
        <v>11</v>
      </c>
      <c r="O579" t="s">
        <v>27</v>
      </c>
      <c r="P579" s="1">
        <v>45715</v>
      </c>
      <c r="Q579" s="1">
        <v>45775</v>
      </c>
      <c r="R579" s="2">
        <v>0.35833333333333334</v>
      </c>
      <c r="S579" s="2">
        <v>0.4465277777777778</v>
      </c>
      <c r="T579" t="str" cm="1">
        <f t="array" ref="T579">_xlfn.IFS(H579&gt;=90,"A",H579&gt;=75,"B",H579&gt;=60,"C",H579&lt;60,"D")</f>
        <v>D</v>
      </c>
      <c r="U579" t="str">
        <f t="shared" si="36"/>
        <v>08:36 AM</v>
      </c>
      <c r="V579" t="str">
        <f t="shared" si="37"/>
        <v>On Time</v>
      </c>
      <c r="W579" t="str">
        <f t="shared" si="38"/>
        <v>2 Hours 7 Minutes</v>
      </c>
      <c r="X579" t="str">
        <f t="shared" si="39"/>
        <v>Short Time Login</v>
      </c>
      <c r="AA579" s="35" t="s">
        <v>856</v>
      </c>
      <c r="AB579" s="35" t="s">
        <v>20</v>
      </c>
      <c r="AC579" s="35">
        <v>36</v>
      </c>
      <c r="AD579" s="35">
        <v>87</v>
      </c>
      <c r="AE579" s="35" t="s">
        <v>25</v>
      </c>
      <c r="AF579" s="35">
        <v>0</v>
      </c>
      <c r="AH579" s="35" t="s">
        <v>27</v>
      </c>
    </row>
    <row r="580" spans="1:34">
      <c r="A580" t="s">
        <v>857</v>
      </c>
      <c r="B580" t="s">
        <v>331</v>
      </c>
      <c r="C580">
        <v>25</v>
      </c>
      <c r="D580" t="s">
        <v>21</v>
      </c>
      <c r="E580" t="s">
        <v>22</v>
      </c>
      <c r="F580" t="s">
        <v>53</v>
      </c>
      <c r="G580" t="s">
        <v>54</v>
      </c>
      <c r="H580">
        <v>84</v>
      </c>
      <c r="I580">
        <v>67</v>
      </c>
      <c r="J580" t="s">
        <v>45</v>
      </c>
      <c r="K580">
        <v>10000</v>
      </c>
      <c r="L580">
        <v>10030</v>
      </c>
      <c r="M580">
        <v>0</v>
      </c>
      <c r="N580" t="s">
        <v>11</v>
      </c>
      <c r="O580" t="s">
        <v>27</v>
      </c>
      <c r="P580" s="1">
        <v>45940</v>
      </c>
      <c r="Q580" s="1">
        <v>46000</v>
      </c>
      <c r="R580" s="2">
        <v>0.3611111111111111</v>
      </c>
      <c r="S580" s="2">
        <v>0.4152777777777778</v>
      </c>
      <c r="T580" t="str" cm="1">
        <f t="array" ref="T580">_xlfn.IFS(H580&gt;=90,"A",H580&gt;=75,"B",H580&gt;=60,"C",H580&lt;60,"D")</f>
        <v>B</v>
      </c>
      <c r="U580" t="str">
        <f t="shared" si="36"/>
        <v>08:40 AM</v>
      </c>
      <c r="V580" t="str">
        <f t="shared" si="37"/>
        <v>On Time</v>
      </c>
      <c r="W580" t="str">
        <f t="shared" si="38"/>
        <v>1 Hours 18 Minutes</v>
      </c>
      <c r="X580" t="str">
        <f t="shared" si="39"/>
        <v>Short Time Login</v>
      </c>
      <c r="AA580" s="34" t="s">
        <v>857</v>
      </c>
      <c r="AB580" s="34" t="s">
        <v>331</v>
      </c>
      <c r="AC580" s="34">
        <v>84</v>
      </c>
      <c r="AD580" s="34">
        <v>67</v>
      </c>
      <c r="AE580" s="34" t="s">
        <v>45</v>
      </c>
      <c r="AF580" s="34">
        <v>0</v>
      </c>
      <c r="AH580" s="34" t="s">
        <v>27</v>
      </c>
    </row>
    <row r="581" spans="1:34">
      <c r="A581" t="s">
        <v>858</v>
      </c>
      <c r="B581" t="s">
        <v>150</v>
      </c>
      <c r="C581">
        <v>23</v>
      </c>
      <c r="D581" t="s">
        <v>35</v>
      </c>
      <c r="E581" t="s">
        <v>39</v>
      </c>
      <c r="F581" t="s">
        <v>31</v>
      </c>
      <c r="G581" t="s">
        <v>32</v>
      </c>
      <c r="H581">
        <v>86</v>
      </c>
      <c r="I581">
        <v>60</v>
      </c>
      <c r="J581" t="s">
        <v>45</v>
      </c>
      <c r="K581">
        <v>10000</v>
      </c>
      <c r="L581">
        <v>8030</v>
      </c>
      <c r="M581">
        <v>2000</v>
      </c>
      <c r="N581" t="s">
        <v>26</v>
      </c>
      <c r="O581" t="s">
        <v>27</v>
      </c>
      <c r="P581" s="1">
        <v>46006</v>
      </c>
      <c r="Q581" s="1">
        <v>46036</v>
      </c>
      <c r="R581" s="2">
        <v>0.34930555555555554</v>
      </c>
      <c r="S581" s="2">
        <v>0.41875000000000001</v>
      </c>
      <c r="T581" t="str" cm="1">
        <f t="array" ref="T581">_xlfn.IFS(H581&gt;=90,"A",H581&gt;=75,"B",H581&gt;=60,"C",H581&lt;60,"D")</f>
        <v>B</v>
      </c>
      <c r="U581" t="str">
        <f t="shared" si="36"/>
        <v>08:23 AM</v>
      </c>
      <c r="V581" t="str">
        <f t="shared" si="37"/>
        <v>On Time</v>
      </c>
      <c r="W581" t="str">
        <f t="shared" si="38"/>
        <v>1 Hours 40 Minutes</v>
      </c>
      <c r="X581" t="str">
        <f t="shared" si="39"/>
        <v>Short Time Login</v>
      </c>
      <c r="AA581" s="35" t="s">
        <v>858</v>
      </c>
      <c r="AB581" s="35" t="s">
        <v>150</v>
      </c>
      <c r="AC581" s="35">
        <v>86</v>
      </c>
      <c r="AD581" s="35">
        <v>60</v>
      </c>
      <c r="AE581" s="35" t="s">
        <v>45</v>
      </c>
      <c r="AF581" s="35">
        <v>2000</v>
      </c>
      <c r="AH581" s="35" t="s">
        <v>27</v>
      </c>
    </row>
    <row r="582" spans="1:34">
      <c r="A582" t="s">
        <v>859</v>
      </c>
      <c r="B582" t="s">
        <v>119</v>
      </c>
      <c r="C582">
        <v>28</v>
      </c>
      <c r="D582" t="s">
        <v>21</v>
      </c>
      <c r="E582" t="s">
        <v>22</v>
      </c>
      <c r="F582" t="s">
        <v>23</v>
      </c>
      <c r="G582" t="s">
        <v>24</v>
      </c>
      <c r="H582">
        <v>44</v>
      </c>
      <c r="I582">
        <v>80</v>
      </c>
      <c r="J582" t="s">
        <v>25</v>
      </c>
      <c r="K582">
        <v>15000</v>
      </c>
      <c r="L582">
        <v>17700</v>
      </c>
      <c r="M582">
        <v>0</v>
      </c>
      <c r="N582" t="s">
        <v>11</v>
      </c>
      <c r="O582" t="s">
        <v>27</v>
      </c>
      <c r="P582" s="1">
        <v>45965</v>
      </c>
      <c r="Q582" s="1">
        <v>46145</v>
      </c>
      <c r="R582" s="2">
        <v>0.4284722222222222</v>
      </c>
      <c r="S582" s="2">
        <v>0.59652777777777777</v>
      </c>
      <c r="T582" t="str" cm="1">
        <f t="array" ref="T582">_xlfn.IFS(H582&gt;=90,"A",H582&gt;=75,"B",H582&gt;=60,"C",H582&lt;60,"D")</f>
        <v>D</v>
      </c>
      <c r="U582" t="str">
        <f t="shared" si="36"/>
        <v>10:17 AM</v>
      </c>
      <c r="V582" t="str">
        <f t="shared" si="37"/>
        <v>Delayed</v>
      </c>
      <c r="W582" t="str">
        <f t="shared" si="38"/>
        <v>4 Hours 2 Minutes</v>
      </c>
      <c r="X582" t="str">
        <f t="shared" si="39"/>
        <v>Long Time Login</v>
      </c>
      <c r="AA582" s="34" t="s">
        <v>859</v>
      </c>
      <c r="AB582" s="34" t="s">
        <v>119</v>
      </c>
      <c r="AC582" s="34">
        <v>44</v>
      </c>
      <c r="AD582" s="34">
        <v>80</v>
      </c>
      <c r="AE582" s="34" t="s">
        <v>25</v>
      </c>
      <c r="AF582" s="34">
        <v>0</v>
      </c>
      <c r="AH582" s="34" t="s">
        <v>27</v>
      </c>
    </row>
    <row r="583" spans="1:34">
      <c r="A583" t="s">
        <v>860</v>
      </c>
      <c r="B583" t="s">
        <v>766</v>
      </c>
      <c r="C583">
        <v>23</v>
      </c>
      <c r="D583" t="s">
        <v>21</v>
      </c>
      <c r="E583" t="s">
        <v>22</v>
      </c>
      <c r="F583" t="s">
        <v>63</v>
      </c>
      <c r="G583" t="s">
        <v>64</v>
      </c>
      <c r="H583">
        <v>55</v>
      </c>
      <c r="I583">
        <v>75</v>
      </c>
      <c r="J583" t="s">
        <v>25</v>
      </c>
      <c r="K583">
        <v>12000</v>
      </c>
      <c r="L583">
        <v>13570</v>
      </c>
      <c r="M583">
        <v>0</v>
      </c>
      <c r="N583" t="s">
        <v>11</v>
      </c>
      <c r="O583" t="s">
        <v>27</v>
      </c>
      <c r="P583" s="1">
        <v>45669</v>
      </c>
      <c r="Q583" s="1">
        <v>45849</v>
      </c>
      <c r="R583" s="2">
        <v>0.4465277777777778</v>
      </c>
      <c r="S583" s="2">
        <v>0.60347222222222219</v>
      </c>
      <c r="T583" t="str" cm="1">
        <f t="array" ref="T583">_xlfn.IFS(H583&gt;=90,"A",H583&gt;=75,"B",H583&gt;=60,"C",H583&lt;60,"D")</f>
        <v>D</v>
      </c>
      <c r="U583" t="str">
        <f t="shared" si="36"/>
        <v>10:43 AM</v>
      </c>
      <c r="V583" t="str">
        <f t="shared" si="37"/>
        <v>Delayed</v>
      </c>
      <c r="W583" t="str">
        <f t="shared" si="38"/>
        <v>3 Hours 46 Minutes</v>
      </c>
      <c r="X583" t="str">
        <f t="shared" si="39"/>
        <v>Long Time Login</v>
      </c>
      <c r="AA583" s="35" t="s">
        <v>860</v>
      </c>
      <c r="AB583" s="35" t="s">
        <v>766</v>
      </c>
      <c r="AC583" s="35">
        <v>55</v>
      </c>
      <c r="AD583" s="35">
        <v>75</v>
      </c>
      <c r="AE583" s="35" t="s">
        <v>25</v>
      </c>
      <c r="AF583" s="35">
        <v>0</v>
      </c>
      <c r="AH583" s="35" t="s">
        <v>27</v>
      </c>
    </row>
    <row r="584" spans="1:34">
      <c r="A584" t="s">
        <v>861</v>
      </c>
      <c r="B584" t="s">
        <v>179</v>
      </c>
      <c r="C584">
        <v>23</v>
      </c>
      <c r="D584" t="s">
        <v>35</v>
      </c>
      <c r="E584" t="s">
        <v>36</v>
      </c>
      <c r="F584" t="s">
        <v>57</v>
      </c>
      <c r="G584" t="s">
        <v>58</v>
      </c>
      <c r="H584">
        <v>46</v>
      </c>
      <c r="I584">
        <v>68</v>
      </c>
      <c r="J584" t="s">
        <v>25</v>
      </c>
      <c r="K584">
        <v>18000</v>
      </c>
      <c r="L584">
        <v>17470</v>
      </c>
      <c r="M584">
        <v>2000</v>
      </c>
      <c r="N584" t="s">
        <v>26</v>
      </c>
      <c r="O584" t="s">
        <v>27</v>
      </c>
      <c r="P584" s="1">
        <v>45979</v>
      </c>
      <c r="Q584" s="1">
        <v>46039</v>
      </c>
      <c r="R584" s="2">
        <v>0.39444444444444443</v>
      </c>
      <c r="S584" s="2">
        <v>0.50138888888888888</v>
      </c>
      <c r="T584" t="str" cm="1">
        <f t="array" ref="T584">_xlfn.IFS(H584&gt;=90,"A",H584&gt;=75,"B",H584&gt;=60,"C",H584&lt;60,"D")</f>
        <v>D</v>
      </c>
      <c r="U584" t="str">
        <f t="shared" si="36"/>
        <v>09:28 AM</v>
      </c>
      <c r="V584" t="str">
        <f t="shared" si="37"/>
        <v>On Time</v>
      </c>
      <c r="W584" t="str">
        <f t="shared" si="38"/>
        <v>2 Hours 34 Minutes</v>
      </c>
      <c r="X584" t="str">
        <f t="shared" si="39"/>
        <v>Short Time Login</v>
      </c>
      <c r="AA584" s="34" t="s">
        <v>861</v>
      </c>
      <c r="AB584" s="34" t="s">
        <v>179</v>
      </c>
      <c r="AC584" s="34">
        <v>46</v>
      </c>
      <c r="AD584" s="34">
        <v>68</v>
      </c>
      <c r="AE584" s="34" t="s">
        <v>25</v>
      </c>
      <c r="AF584" s="34">
        <v>2000</v>
      </c>
      <c r="AH584" s="34" t="s">
        <v>27</v>
      </c>
    </row>
    <row r="585" spans="1:34">
      <c r="A585" t="s">
        <v>862</v>
      </c>
      <c r="B585" t="s">
        <v>331</v>
      </c>
      <c r="C585">
        <v>22</v>
      </c>
      <c r="D585" t="s">
        <v>35</v>
      </c>
      <c r="E585" t="s">
        <v>73</v>
      </c>
      <c r="F585" t="s">
        <v>31</v>
      </c>
      <c r="G585" t="s">
        <v>32</v>
      </c>
      <c r="H585">
        <v>57</v>
      </c>
      <c r="I585">
        <v>68</v>
      </c>
      <c r="J585" t="s">
        <v>25</v>
      </c>
      <c r="K585">
        <v>12000</v>
      </c>
      <c r="L585">
        <v>9570</v>
      </c>
      <c r="M585">
        <v>4000</v>
      </c>
      <c r="N585" t="s">
        <v>26</v>
      </c>
      <c r="O585" t="s">
        <v>27</v>
      </c>
      <c r="P585" s="1">
        <v>45960</v>
      </c>
      <c r="Q585" s="1">
        <v>46140</v>
      </c>
      <c r="R585" s="2">
        <v>0.35</v>
      </c>
      <c r="S585" s="2">
        <v>0.49166666666666664</v>
      </c>
      <c r="T585" t="str" cm="1">
        <f t="array" ref="T585">_xlfn.IFS(H585&gt;=90,"A",H585&gt;=75,"B",H585&gt;=60,"C",H585&lt;60,"D")</f>
        <v>D</v>
      </c>
      <c r="U585" t="str">
        <f t="shared" si="36"/>
        <v>08:24 AM</v>
      </c>
      <c r="V585" t="str">
        <f t="shared" si="37"/>
        <v>Delayed</v>
      </c>
      <c r="W585" t="str">
        <f t="shared" si="38"/>
        <v>3 Hours 24 Minutes</v>
      </c>
      <c r="X585" t="str">
        <f t="shared" si="39"/>
        <v>Short Time Login</v>
      </c>
      <c r="AA585" s="35" t="s">
        <v>862</v>
      </c>
      <c r="AB585" s="35" t="s">
        <v>331</v>
      </c>
      <c r="AC585" s="35">
        <v>57</v>
      </c>
      <c r="AD585" s="35">
        <v>68</v>
      </c>
      <c r="AE585" s="35" t="s">
        <v>25</v>
      </c>
      <c r="AF585" s="35">
        <v>4000</v>
      </c>
      <c r="AH585" s="35" t="s">
        <v>27</v>
      </c>
    </row>
    <row r="586" spans="1:34">
      <c r="A586" t="s">
        <v>863</v>
      </c>
      <c r="B586" t="s">
        <v>134</v>
      </c>
      <c r="C586">
        <v>25</v>
      </c>
      <c r="D586" t="s">
        <v>21</v>
      </c>
      <c r="E586" t="s">
        <v>67</v>
      </c>
      <c r="F586" t="s">
        <v>31</v>
      </c>
      <c r="G586" t="s">
        <v>32</v>
      </c>
      <c r="H586">
        <v>66</v>
      </c>
      <c r="I586">
        <v>98</v>
      </c>
      <c r="J586" t="s">
        <v>68</v>
      </c>
      <c r="K586">
        <v>10000</v>
      </c>
      <c r="L586">
        <v>8620</v>
      </c>
      <c r="M586">
        <v>2000</v>
      </c>
      <c r="N586" t="s">
        <v>26</v>
      </c>
      <c r="O586" t="s">
        <v>27</v>
      </c>
      <c r="P586" s="1">
        <v>45825</v>
      </c>
      <c r="Q586" s="1">
        <v>46005</v>
      </c>
      <c r="R586" s="2">
        <v>0.44722222222222224</v>
      </c>
      <c r="S586" s="2">
        <v>0.63263888888888886</v>
      </c>
      <c r="T586" t="str" cm="1">
        <f t="array" ref="T586">_xlfn.IFS(H586&gt;=90,"A",H586&gt;=75,"B",H586&gt;=60,"C",H586&lt;60,"D")</f>
        <v>C</v>
      </c>
      <c r="U586" t="str">
        <f t="shared" si="36"/>
        <v>10:44 AM</v>
      </c>
      <c r="V586" t="str">
        <f t="shared" si="37"/>
        <v>Delayed</v>
      </c>
      <c r="W586" t="str">
        <f t="shared" si="38"/>
        <v>4 Hours 27 Minutes</v>
      </c>
      <c r="X586" t="str">
        <f t="shared" si="39"/>
        <v>Long Time Login</v>
      </c>
      <c r="AA586" s="34" t="s">
        <v>863</v>
      </c>
      <c r="AB586" s="34" t="s">
        <v>134</v>
      </c>
      <c r="AC586" s="34">
        <v>66</v>
      </c>
      <c r="AD586" s="34">
        <v>98</v>
      </c>
      <c r="AE586" s="34" t="s">
        <v>68</v>
      </c>
      <c r="AF586" s="34">
        <v>2000</v>
      </c>
      <c r="AH586" s="34" t="s">
        <v>27</v>
      </c>
    </row>
    <row r="587" spans="1:34">
      <c r="A587" t="s">
        <v>864</v>
      </c>
      <c r="B587" t="s">
        <v>493</v>
      </c>
      <c r="C587">
        <v>23</v>
      </c>
      <c r="D587" t="s">
        <v>21</v>
      </c>
      <c r="E587" t="s">
        <v>62</v>
      </c>
      <c r="F587" t="s">
        <v>40</v>
      </c>
      <c r="G587" t="s">
        <v>41</v>
      </c>
      <c r="H587">
        <v>85</v>
      </c>
      <c r="I587">
        <v>68</v>
      </c>
      <c r="J587" t="s">
        <v>45</v>
      </c>
      <c r="K587">
        <v>12000</v>
      </c>
      <c r="L587">
        <v>12980</v>
      </c>
      <c r="M587">
        <v>0</v>
      </c>
      <c r="N587" t="s">
        <v>11</v>
      </c>
      <c r="O587" t="s">
        <v>127</v>
      </c>
      <c r="P587" s="1">
        <v>45921</v>
      </c>
      <c r="Q587" s="1">
        <v>46041</v>
      </c>
      <c r="R587" s="2">
        <v>0.43888888888888888</v>
      </c>
      <c r="S587" s="2">
        <v>0.59791666666666665</v>
      </c>
      <c r="T587" t="str" cm="1">
        <f t="array" ref="T587">_xlfn.IFS(H587&gt;=90,"A",H587&gt;=75,"B",H587&gt;=60,"C",H587&lt;60,"D")</f>
        <v>B</v>
      </c>
      <c r="U587" t="str">
        <f t="shared" si="36"/>
        <v>10:32 AM</v>
      </c>
      <c r="V587" t="str">
        <f t="shared" si="37"/>
        <v>Delayed</v>
      </c>
      <c r="W587" t="str">
        <f t="shared" si="38"/>
        <v>3 Hours 49 Minutes</v>
      </c>
      <c r="X587" t="str">
        <f t="shared" si="39"/>
        <v>Long Time Login</v>
      </c>
      <c r="AA587" s="35" t="s">
        <v>864</v>
      </c>
      <c r="AB587" s="35" t="s">
        <v>493</v>
      </c>
      <c r="AC587" s="35">
        <v>85</v>
      </c>
      <c r="AD587" s="35">
        <v>68</v>
      </c>
      <c r="AE587" s="35" t="s">
        <v>45</v>
      </c>
      <c r="AF587" s="35">
        <v>0</v>
      </c>
      <c r="AH587" s="35" t="s">
        <v>127</v>
      </c>
    </row>
    <row r="588" spans="1:34">
      <c r="A588" t="s">
        <v>865</v>
      </c>
      <c r="B588" t="s">
        <v>628</v>
      </c>
      <c r="C588">
        <v>25</v>
      </c>
      <c r="D588" t="s">
        <v>35</v>
      </c>
      <c r="E588" t="s">
        <v>30</v>
      </c>
      <c r="F588" t="s">
        <v>23</v>
      </c>
      <c r="G588" t="s">
        <v>24</v>
      </c>
      <c r="H588">
        <v>65</v>
      </c>
      <c r="I588">
        <v>73</v>
      </c>
      <c r="J588" t="s">
        <v>68</v>
      </c>
      <c r="K588">
        <v>10000</v>
      </c>
      <c r="L588">
        <v>8620</v>
      </c>
      <c r="M588">
        <v>2000</v>
      </c>
      <c r="N588" t="s">
        <v>26</v>
      </c>
      <c r="O588" t="s">
        <v>27</v>
      </c>
      <c r="P588" s="1">
        <v>46006</v>
      </c>
      <c r="Q588" s="1">
        <v>46036</v>
      </c>
      <c r="R588" s="2">
        <v>0.34722222222222221</v>
      </c>
      <c r="S588" s="2">
        <v>0.39513888888888887</v>
      </c>
      <c r="T588" t="str" cm="1">
        <f t="array" ref="T588">_xlfn.IFS(H588&gt;=90,"A",H588&gt;=75,"B",H588&gt;=60,"C",H588&lt;60,"D")</f>
        <v>C</v>
      </c>
      <c r="U588" t="str">
        <f t="shared" si="36"/>
        <v>08:20 AM</v>
      </c>
      <c r="V588" t="str">
        <f t="shared" si="37"/>
        <v>On Time</v>
      </c>
      <c r="W588" t="str">
        <f t="shared" si="38"/>
        <v>1 Hours 9 Minutes</v>
      </c>
      <c r="X588" t="str">
        <f t="shared" si="39"/>
        <v>Short Time Login</v>
      </c>
      <c r="AA588" s="34" t="s">
        <v>865</v>
      </c>
      <c r="AB588" s="34" t="s">
        <v>628</v>
      </c>
      <c r="AC588" s="34">
        <v>65</v>
      </c>
      <c r="AD588" s="34">
        <v>73</v>
      </c>
      <c r="AE588" s="34" t="s">
        <v>68</v>
      </c>
      <c r="AF588" s="34">
        <v>2000</v>
      </c>
      <c r="AH588" s="34" t="s">
        <v>27</v>
      </c>
    </row>
    <row r="589" spans="1:34">
      <c r="A589" t="s">
        <v>866</v>
      </c>
      <c r="B589" t="s">
        <v>132</v>
      </c>
      <c r="C589">
        <v>19</v>
      </c>
      <c r="D589" t="s">
        <v>35</v>
      </c>
      <c r="E589" t="s">
        <v>62</v>
      </c>
      <c r="F589" t="s">
        <v>53</v>
      </c>
      <c r="G589" t="s">
        <v>54</v>
      </c>
      <c r="H589">
        <v>76</v>
      </c>
      <c r="I589">
        <v>71</v>
      </c>
      <c r="J589" t="s">
        <v>45</v>
      </c>
      <c r="K589">
        <v>12000</v>
      </c>
      <c r="L589">
        <v>10390</v>
      </c>
      <c r="M589">
        <v>2000</v>
      </c>
      <c r="N589" t="s">
        <v>26</v>
      </c>
      <c r="O589" t="s">
        <v>27</v>
      </c>
      <c r="P589" s="1">
        <v>45829</v>
      </c>
      <c r="Q589" s="1">
        <v>45919</v>
      </c>
      <c r="R589" s="2">
        <v>0.45277777777777778</v>
      </c>
      <c r="S589" s="2">
        <v>0.52847222222222223</v>
      </c>
      <c r="T589" t="str" cm="1">
        <f t="array" ref="T589">_xlfn.IFS(H589&gt;=90,"A",H589&gt;=75,"B",H589&gt;=60,"C",H589&lt;60,"D")</f>
        <v>B</v>
      </c>
      <c r="U589" t="str">
        <f t="shared" si="36"/>
        <v>10:52 AM</v>
      </c>
      <c r="V589" t="str">
        <f t="shared" si="37"/>
        <v>On Time</v>
      </c>
      <c r="W589" t="str">
        <f t="shared" si="38"/>
        <v>1 Hours 49 Minutes</v>
      </c>
      <c r="X589" t="str">
        <f t="shared" si="39"/>
        <v>Long Time Login</v>
      </c>
      <c r="AA589" s="35" t="s">
        <v>866</v>
      </c>
      <c r="AB589" s="35" t="s">
        <v>132</v>
      </c>
      <c r="AC589" s="35">
        <v>76</v>
      </c>
      <c r="AD589" s="35">
        <v>71</v>
      </c>
      <c r="AE589" s="35" t="s">
        <v>45</v>
      </c>
      <c r="AF589" s="35">
        <v>2000</v>
      </c>
      <c r="AH589" s="35" t="s">
        <v>27</v>
      </c>
    </row>
    <row r="590" spans="1:34">
      <c r="A590" t="s">
        <v>867</v>
      </c>
      <c r="B590" t="s">
        <v>642</v>
      </c>
      <c r="C590">
        <v>19</v>
      </c>
      <c r="D590" t="s">
        <v>21</v>
      </c>
      <c r="E590" t="s">
        <v>22</v>
      </c>
      <c r="F590" t="s">
        <v>63</v>
      </c>
      <c r="G590" t="s">
        <v>64</v>
      </c>
      <c r="H590">
        <v>73</v>
      </c>
      <c r="I590">
        <v>73</v>
      </c>
      <c r="J590" t="s">
        <v>68</v>
      </c>
      <c r="K590">
        <v>20000</v>
      </c>
      <c r="L590">
        <v>19600</v>
      </c>
      <c r="M590">
        <v>4000</v>
      </c>
      <c r="N590" t="s">
        <v>26</v>
      </c>
      <c r="O590" t="s">
        <v>27</v>
      </c>
      <c r="P590" s="1">
        <v>46000</v>
      </c>
      <c r="Q590" s="1">
        <v>46060</v>
      </c>
      <c r="R590" s="2">
        <v>0.43888888888888888</v>
      </c>
      <c r="S590" s="2">
        <v>0.5541666666666667</v>
      </c>
      <c r="T590" t="str" cm="1">
        <f t="array" ref="T590">_xlfn.IFS(H590&gt;=90,"A",H590&gt;=75,"B",H590&gt;=60,"C",H590&lt;60,"D")</f>
        <v>C</v>
      </c>
      <c r="U590" t="str">
        <f t="shared" si="36"/>
        <v>10:32 AM</v>
      </c>
      <c r="V590" t="str">
        <f t="shared" si="37"/>
        <v>On Time</v>
      </c>
      <c r="W590" t="str">
        <f t="shared" si="38"/>
        <v>2 Hours 46 Minutes</v>
      </c>
      <c r="X590" t="str">
        <f t="shared" si="39"/>
        <v>Long Time Login</v>
      </c>
      <c r="AA590" s="34" t="s">
        <v>867</v>
      </c>
      <c r="AB590" s="34" t="s">
        <v>642</v>
      </c>
      <c r="AC590" s="34">
        <v>73</v>
      </c>
      <c r="AD590" s="34">
        <v>73</v>
      </c>
      <c r="AE590" s="34" t="s">
        <v>68</v>
      </c>
      <c r="AF590" s="34">
        <v>4000</v>
      </c>
      <c r="AH590" s="34" t="s">
        <v>27</v>
      </c>
    </row>
    <row r="591" spans="1:34">
      <c r="A591" t="s">
        <v>868</v>
      </c>
      <c r="B591" t="s">
        <v>399</v>
      </c>
      <c r="C591">
        <v>21</v>
      </c>
      <c r="D591" t="s">
        <v>35</v>
      </c>
      <c r="E591" t="s">
        <v>39</v>
      </c>
      <c r="F591" t="s">
        <v>57</v>
      </c>
      <c r="G591" t="s">
        <v>58</v>
      </c>
      <c r="H591">
        <v>82</v>
      </c>
      <c r="I591">
        <v>67</v>
      </c>
      <c r="J591" t="s">
        <v>45</v>
      </c>
      <c r="K591">
        <v>18000</v>
      </c>
      <c r="L591">
        <v>18650</v>
      </c>
      <c r="M591">
        <v>2000</v>
      </c>
      <c r="N591" t="s">
        <v>26</v>
      </c>
      <c r="O591" t="s">
        <v>127</v>
      </c>
      <c r="P591" s="1">
        <v>45676</v>
      </c>
      <c r="Q591" s="1">
        <v>45766</v>
      </c>
      <c r="R591" s="2">
        <v>0.39930555555555558</v>
      </c>
      <c r="S591" s="2">
        <v>0.60486111111111107</v>
      </c>
      <c r="T591" t="str" cm="1">
        <f t="array" ref="T591">_xlfn.IFS(H591&gt;=90,"A",H591&gt;=75,"B",H591&gt;=60,"C",H591&lt;60,"D")</f>
        <v>B</v>
      </c>
      <c r="U591" t="str">
        <f t="shared" si="36"/>
        <v>09:35 AM</v>
      </c>
      <c r="V591" t="str">
        <f t="shared" si="37"/>
        <v>On Time</v>
      </c>
      <c r="W591" t="str">
        <f t="shared" si="38"/>
        <v>4 Hours 56 Minutes</v>
      </c>
      <c r="X591" t="str">
        <f t="shared" si="39"/>
        <v>Short Time Login</v>
      </c>
      <c r="AA591" s="35" t="s">
        <v>868</v>
      </c>
      <c r="AB591" s="35" t="s">
        <v>399</v>
      </c>
      <c r="AC591" s="35">
        <v>82</v>
      </c>
      <c r="AD591" s="35">
        <v>67</v>
      </c>
      <c r="AE591" s="35" t="s">
        <v>45</v>
      </c>
      <c r="AF591" s="35">
        <v>2000</v>
      </c>
      <c r="AH591" s="35" t="s">
        <v>127</v>
      </c>
    </row>
    <row r="592" spans="1:34">
      <c r="A592" t="s">
        <v>869</v>
      </c>
      <c r="B592" t="s">
        <v>197</v>
      </c>
      <c r="C592">
        <v>25</v>
      </c>
      <c r="D592" t="s">
        <v>21</v>
      </c>
      <c r="E592" t="s">
        <v>22</v>
      </c>
      <c r="F592" t="s">
        <v>63</v>
      </c>
      <c r="G592" t="s">
        <v>64</v>
      </c>
      <c r="H592">
        <v>90</v>
      </c>
      <c r="I592">
        <v>72</v>
      </c>
      <c r="J592" t="s">
        <v>59</v>
      </c>
      <c r="K592">
        <v>10000</v>
      </c>
      <c r="L592">
        <v>9800</v>
      </c>
      <c r="M592">
        <v>2000</v>
      </c>
      <c r="N592" t="s">
        <v>26</v>
      </c>
      <c r="O592" t="s">
        <v>27</v>
      </c>
      <c r="P592" s="1">
        <v>45734</v>
      </c>
      <c r="Q592" s="1">
        <v>45854</v>
      </c>
      <c r="R592" s="2">
        <v>0.4152777777777778</v>
      </c>
      <c r="S592" s="2">
        <v>0.55486111111111114</v>
      </c>
      <c r="T592" t="str" cm="1">
        <f t="array" ref="T592">_xlfn.IFS(H592&gt;=90,"A",H592&gt;=75,"B",H592&gt;=60,"C",H592&lt;60,"D")</f>
        <v>A</v>
      </c>
      <c r="U592" t="str">
        <f t="shared" si="36"/>
        <v>09:58 AM</v>
      </c>
      <c r="V592" t="str">
        <f t="shared" si="37"/>
        <v>Delayed</v>
      </c>
      <c r="W592" t="str">
        <f t="shared" si="38"/>
        <v>3 Hours 21 Minutes</v>
      </c>
      <c r="X592" t="str">
        <f t="shared" si="39"/>
        <v>Short Time Login</v>
      </c>
      <c r="AA592" s="34" t="s">
        <v>869</v>
      </c>
      <c r="AB592" s="34" t="s">
        <v>197</v>
      </c>
      <c r="AC592" s="34">
        <v>90</v>
      </c>
      <c r="AD592" s="34">
        <v>72</v>
      </c>
      <c r="AE592" s="34" t="s">
        <v>59</v>
      </c>
      <c r="AF592" s="34">
        <v>2000</v>
      </c>
      <c r="AH592" s="34" t="s">
        <v>27</v>
      </c>
    </row>
    <row r="593" spans="1:34">
      <c r="A593" t="s">
        <v>870</v>
      </c>
      <c r="B593" t="s">
        <v>121</v>
      </c>
      <c r="C593">
        <v>22</v>
      </c>
      <c r="D593" t="s">
        <v>35</v>
      </c>
      <c r="E593" t="s">
        <v>48</v>
      </c>
      <c r="F593" t="s">
        <v>88</v>
      </c>
      <c r="G593" t="s">
        <v>89</v>
      </c>
      <c r="H593">
        <v>40</v>
      </c>
      <c r="I593">
        <v>75</v>
      </c>
      <c r="J593" t="s">
        <v>25</v>
      </c>
      <c r="K593">
        <v>12000</v>
      </c>
      <c r="L593">
        <v>12160</v>
      </c>
      <c r="M593">
        <v>2000</v>
      </c>
      <c r="N593" t="s">
        <v>26</v>
      </c>
      <c r="O593" t="s">
        <v>27</v>
      </c>
      <c r="P593" s="1">
        <v>45733</v>
      </c>
      <c r="Q593" s="1">
        <v>45793</v>
      </c>
      <c r="R593" s="2">
        <v>0.38194444444444442</v>
      </c>
      <c r="S593" s="2">
        <v>0.43402777777777779</v>
      </c>
      <c r="T593" t="str" cm="1">
        <f t="array" ref="T593">_xlfn.IFS(H593&gt;=90,"A",H593&gt;=75,"B",H593&gt;=60,"C",H593&lt;60,"D")</f>
        <v>D</v>
      </c>
      <c r="U593" t="str">
        <f t="shared" si="36"/>
        <v>09:10 AM</v>
      </c>
      <c r="V593" t="str">
        <f t="shared" si="37"/>
        <v>On Time</v>
      </c>
      <c r="W593" t="str">
        <f t="shared" si="38"/>
        <v>1 Hours 15 Minutes</v>
      </c>
      <c r="X593" t="str">
        <f t="shared" si="39"/>
        <v>Short Time Login</v>
      </c>
      <c r="AA593" s="35" t="s">
        <v>870</v>
      </c>
      <c r="AB593" s="35" t="s">
        <v>121</v>
      </c>
      <c r="AC593" s="35">
        <v>40</v>
      </c>
      <c r="AD593" s="35">
        <v>75</v>
      </c>
      <c r="AE593" s="35" t="s">
        <v>25</v>
      </c>
      <c r="AF593" s="35">
        <v>2000</v>
      </c>
      <c r="AH593" s="35" t="s">
        <v>27</v>
      </c>
    </row>
    <row r="594" spans="1:34">
      <c r="A594" t="s">
        <v>871</v>
      </c>
      <c r="B594" t="s">
        <v>483</v>
      </c>
      <c r="C594">
        <v>24</v>
      </c>
      <c r="D594" t="s">
        <v>35</v>
      </c>
      <c r="E594" t="s">
        <v>62</v>
      </c>
      <c r="F594" t="s">
        <v>31</v>
      </c>
      <c r="G594" t="s">
        <v>32</v>
      </c>
      <c r="H594">
        <v>41</v>
      </c>
      <c r="I594">
        <v>92</v>
      </c>
      <c r="J594" t="s">
        <v>25</v>
      </c>
      <c r="K594">
        <v>18000</v>
      </c>
      <c r="L594">
        <v>17470</v>
      </c>
      <c r="M594">
        <v>2000</v>
      </c>
      <c r="N594" t="s">
        <v>26</v>
      </c>
      <c r="O594" t="s">
        <v>27</v>
      </c>
      <c r="P594" s="1">
        <v>45892</v>
      </c>
      <c r="Q594" s="1">
        <v>45922</v>
      </c>
      <c r="R594" s="2">
        <v>0.35138888888888886</v>
      </c>
      <c r="S594" s="2">
        <v>0.51944444444444449</v>
      </c>
      <c r="T594" t="str" cm="1">
        <f t="array" ref="T594">_xlfn.IFS(H594&gt;=90,"A",H594&gt;=75,"B",H594&gt;=60,"C",H594&lt;60,"D")</f>
        <v>D</v>
      </c>
      <c r="U594" t="str">
        <f t="shared" si="36"/>
        <v>08:26 AM</v>
      </c>
      <c r="V594" t="str">
        <f t="shared" si="37"/>
        <v>On Time</v>
      </c>
      <c r="W594" t="str">
        <f t="shared" si="38"/>
        <v>4 Hours 2 Minutes</v>
      </c>
      <c r="X594" t="str">
        <f t="shared" si="39"/>
        <v>Short Time Login</v>
      </c>
      <c r="AA594" s="34" t="s">
        <v>871</v>
      </c>
      <c r="AB594" s="34" t="s">
        <v>483</v>
      </c>
      <c r="AC594" s="34">
        <v>41</v>
      </c>
      <c r="AD594" s="34">
        <v>92</v>
      </c>
      <c r="AE594" s="34" t="s">
        <v>25</v>
      </c>
      <c r="AF594" s="34">
        <v>2000</v>
      </c>
      <c r="AH594" s="34" t="s">
        <v>27</v>
      </c>
    </row>
    <row r="595" spans="1:34">
      <c r="A595" t="s">
        <v>872</v>
      </c>
      <c r="B595" t="s">
        <v>43</v>
      </c>
      <c r="C595">
        <v>23</v>
      </c>
      <c r="D595" t="s">
        <v>35</v>
      </c>
      <c r="E595" t="s">
        <v>96</v>
      </c>
      <c r="F595" t="s">
        <v>57</v>
      </c>
      <c r="G595" t="s">
        <v>58</v>
      </c>
      <c r="H595">
        <v>73</v>
      </c>
      <c r="I595">
        <v>87</v>
      </c>
      <c r="J595" t="s">
        <v>68</v>
      </c>
      <c r="K595">
        <v>15000</v>
      </c>
      <c r="L595">
        <v>13700</v>
      </c>
      <c r="M595">
        <v>4000</v>
      </c>
      <c r="N595" t="s">
        <v>26</v>
      </c>
      <c r="O595" t="s">
        <v>27</v>
      </c>
      <c r="P595" s="1">
        <v>45693</v>
      </c>
      <c r="Q595" s="1">
        <v>45753</v>
      </c>
      <c r="R595" s="2">
        <v>0.33888888888888891</v>
      </c>
      <c r="S595" s="2">
        <v>0.46388888888888891</v>
      </c>
      <c r="T595" t="str" cm="1">
        <f t="array" ref="T595">_xlfn.IFS(H595&gt;=90,"A",H595&gt;=75,"B",H595&gt;=60,"C",H595&lt;60,"D")</f>
        <v>C</v>
      </c>
      <c r="U595" t="str">
        <f t="shared" si="36"/>
        <v>08:08 AM</v>
      </c>
      <c r="V595" t="str">
        <f t="shared" si="37"/>
        <v>On Time</v>
      </c>
      <c r="W595" t="str">
        <f t="shared" si="38"/>
        <v>3 Hours 0 Minutes</v>
      </c>
      <c r="X595" t="str">
        <f t="shared" si="39"/>
        <v>Short Time Login</v>
      </c>
      <c r="AA595" s="35" t="s">
        <v>872</v>
      </c>
      <c r="AB595" s="35" t="s">
        <v>43</v>
      </c>
      <c r="AC595" s="35">
        <v>73</v>
      </c>
      <c r="AD595" s="35">
        <v>87</v>
      </c>
      <c r="AE595" s="35" t="s">
        <v>68</v>
      </c>
      <c r="AF595" s="35">
        <v>4000</v>
      </c>
      <c r="AH595" s="35" t="s">
        <v>27</v>
      </c>
    </row>
    <row r="596" spans="1:34">
      <c r="A596" t="s">
        <v>873</v>
      </c>
      <c r="B596" t="s">
        <v>642</v>
      </c>
      <c r="C596">
        <v>26</v>
      </c>
      <c r="D596" t="s">
        <v>21</v>
      </c>
      <c r="E596" t="s">
        <v>113</v>
      </c>
      <c r="F596" t="s">
        <v>63</v>
      </c>
      <c r="G596" t="s">
        <v>64</v>
      </c>
      <c r="H596">
        <v>55</v>
      </c>
      <c r="I596">
        <v>71</v>
      </c>
      <c r="J596" t="s">
        <v>25</v>
      </c>
      <c r="K596">
        <v>12000</v>
      </c>
      <c r="L596">
        <v>12390</v>
      </c>
      <c r="M596">
        <v>0</v>
      </c>
      <c r="N596" t="s">
        <v>11</v>
      </c>
      <c r="O596" t="s">
        <v>27</v>
      </c>
      <c r="P596" s="1">
        <v>45761</v>
      </c>
      <c r="Q596" s="1">
        <v>45821</v>
      </c>
      <c r="R596" s="2">
        <v>0.3347222222222222</v>
      </c>
      <c r="S596" s="2">
        <v>0.39166666666666666</v>
      </c>
      <c r="T596" t="str" cm="1">
        <f t="array" ref="T596">_xlfn.IFS(H596&gt;=90,"A",H596&gt;=75,"B",H596&gt;=60,"C",H596&lt;60,"D")</f>
        <v>D</v>
      </c>
      <c r="U596" t="str">
        <f t="shared" si="36"/>
        <v>08:02 AM</v>
      </c>
      <c r="V596" t="str">
        <f t="shared" si="37"/>
        <v>On Time</v>
      </c>
      <c r="W596" t="str">
        <f t="shared" si="38"/>
        <v>1 Hours 22 Minutes</v>
      </c>
      <c r="X596" t="str">
        <f t="shared" si="39"/>
        <v>Short Time Login</v>
      </c>
      <c r="AA596" s="34" t="s">
        <v>873</v>
      </c>
      <c r="AB596" s="34" t="s">
        <v>642</v>
      </c>
      <c r="AC596" s="34">
        <v>55</v>
      </c>
      <c r="AD596" s="34">
        <v>71</v>
      </c>
      <c r="AE596" s="34" t="s">
        <v>25</v>
      </c>
      <c r="AF596" s="34">
        <v>0</v>
      </c>
      <c r="AH596" s="34" t="s">
        <v>27</v>
      </c>
    </row>
    <row r="597" spans="1:34">
      <c r="A597" t="s">
        <v>874</v>
      </c>
      <c r="B597" t="s">
        <v>683</v>
      </c>
      <c r="C597">
        <v>20</v>
      </c>
      <c r="D597" t="s">
        <v>21</v>
      </c>
      <c r="E597" t="s">
        <v>30</v>
      </c>
      <c r="F597" t="s">
        <v>63</v>
      </c>
      <c r="G597" t="s">
        <v>64</v>
      </c>
      <c r="H597">
        <v>87</v>
      </c>
      <c r="I597">
        <v>77</v>
      </c>
      <c r="J597" t="s">
        <v>45</v>
      </c>
      <c r="K597">
        <v>12000</v>
      </c>
      <c r="L597">
        <v>12980</v>
      </c>
      <c r="M597">
        <v>0</v>
      </c>
      <c r="N597" t="s">
        <v>11</v>
      </c>
      <c r="O597" t="s">
        <v>27</v>
      </c>
      <c r="P597" s="1">
        <v>45857</v>
      </c>
      <c r="Q597" s="1">
        <v>45887</v>
      </c>
      <c r="R597" s="2">
        <v>0.37708333333333333</v>
      </c>
      <c r="S597" s="2">
        <v>0.51944444444444449</v>
      </c>
      <c r="T597" t="str" cm="1">
        <f t="array" ref="T597">_xlfn.IFS(H597&gt;=90,"A",H597&gt;=75,"B",H597&gt;=60,"C",H597&lt;60,"D")</f>
        <v>B</v>
      </c>
      <c r="U597" t="str">
        <f t="shared" si="36"/>
        <v>09:03 AM</v>
      </c>
      <c r="V597" t="str">
        <f t="shared" si="37"/>
        <v>On Time</v>
      </c>
      <c r="W597" t="str">
        <f t="shared" si="38"/>
        <v>3 Hours 25 Minutes</v>
      </c>
      <c r="X597" t="str">
        <f t="shared" si="39"/>
        <v>Short Time Login</v>
      </c>
      <c r="AA597" s="35" t="s">
        <v>874</v>
      </c>
      <c r="AB597" s="35" t="s">
        <v>683</v>
      </c>
      <c r="AC597" s="35">
        <v>87</v>
      </c>
      <c r="AD597" s="35">
        <v>77</v>
      </c>
      <c r="AE597" s="35" t="s">
        <v>45</v>
      </c>
      <c r="AF597" s="35">
        <v>0</v>
      </c>
      <c r="AH597" s="35" t="s">
        <v>27</v>
      </c>
    </row>
    <row r="598" spans="1:34">
      <c r="A598" t="s">
        <v>875</v>
      </c>
      <c r="B598" t="s">
        <v>650</v>
      </c>
      <c r="C598">
        <v>18</v>
      </c>
      <c r="D598" t="s">
        <v>35</v>
      </c>
      <c r="E598" t="s">
        <v>48</v>
      </c>
      <c r="F598" t="s">
        <v>53</v>
      </c>
      <c r="G598" t="s">
        <v>54</v>
      </c>
      <c r="H598">
        <v>35</v>
      </c>
      <c r="I598">
        <v>75</v>
      </c>
      <c r="J598" t="s">
        <v>25</v>
      </c>
      <c r="K598">
        <v>18000</v>
      </c>
      <c r="L598">
        <v>18060</v>
      </c>
      <c r="M598">
        <v>2000</v>
      </c>
      <c r="N598" t="s">
        <v>26</v>
      </c>
      <c r="O598" t="s">
        <v>27</v>
      </c>
      <c r="P598" s="1">
        <v>45964</v>
      </c>
      <c r="Q598" s="1">
        <v>46084</v>
      </c>
      <c r="R598" s="2">
        <v>0.33958333333333335</v>
      </c>
      <c r="S598" s="2">
        <v>0.5131944444444444</v>
      </c>
      <c r="T598" t="str" cm="1">
        <f t="array" ref="T598">_xlfn.IFS(H598&gt;=90,"A",H598&gt;=75,"B",H598&gt;=60,"C",H598&lt;60,"D")</f>
        <v>D</v>
      </c>
      <c r="U598" t="str">
        <f t="shared" si="36"/>
        <v>08:09 AM</v>
      </c>
      <c r="V598" t="str">
        <f t="shared" si="37"/>
        <v>Delayed</v>
      </c>
      <c r="W598" t="str">
        <f t="shared" si="38"/>
        <v>4 Hours 10 Minutes</v>
      </c>
      <c r="X598" t="str">
        <f t="shared" si="39"/>
        <v>Short Time Login</v>
      </c>
      <c r="AA598" s="34" t="s">
        <v>875</v>
      </c>
      <c r="AB598" s="34" t="s">
        <v>650</v>
      </c>
      <c r="AC598" s="34">
        <v>35</v>
      </c>
      <c r="AD598" s="34">
        <v>75</v>
      </c>
      <c r="AE598" s="34" t="s">
        <v>25</v>
      </c>
      <c r="AF598" s="34">
        <v>2000</v>
      </c>
      <c r="AH598" s="34" t="s">
        <v>27</v>
      </c>
    </row>
    <row r="599" spans="1:34">
      <c r="A599" t="s">
        <v>876</v>
      </c>
      <c r="B599" t="s">
        <v>268</v>
      </c>
      <c r="C599">
        <v>26</v>
      </c>
      <c r="D599" t="s">
        <v>21</v>
      </c>
      <c r="E599" t="s">
        <v>36</v>
      </c>
      <c r="F599" t="s">
        <v>40</v>
      </c>
      <c r="G599" t="s">
        <v>41</v>
      </c>
      <c r="H599">
        <v>62</v>
      </c>
      <c r="I599">
        <v>70</v>
      </c>
      <c r="J599" t="s">
        <v>68</v>
      </c>
      <c r="K599">
        <v>20000</v>
      </c>
      <c r="L599">
        <v>21600</v>
      </c>
      <c r="M599">
        <v>2000</v>
      </c>
      <c r="N599" t="s">
        <v>26</v>
      </c>
      <c r="O599" t="s">
        <v>27</v>
      </c>
      <c r="P599" s="1">
        <v>45761</v>
      </c>
      <c r="Q599" s="1">
        <v>45791</v>
      </c>
      <c r="R599" s="2">
        <v>0.38055555555555554</v>
      </c>
      <c r="S599" s="2">
        <v>0.51388888888888884</v>
      </c>
      <c r="T599" t="str" cm="1">
        <f t="array" ref="T599">_xlfn.IFS(H599&gt;=90,"A",H599&gt;=75,"B",H599&gt;=60,"C",H599&lt;60,"D")</f>
        <v>C</v>
      </c>
      <c r="U599" t="str">
        <f t="shared" si="36"/>
        <v>09:08 AM</v>
      </c>
      <c r="V599" t="str">
        <f t="shared" si="37"/>
        <v>On Time</v>
      </c>
      <c r="W599" t="str">
        <f t="shared" si="38"/>
        <v>3 Hours 12 Minutes</v>
      </c>
      <c r="X599" t="str">
        <f t="shared" si="39"/>
        <v>Short Time Login</v>
      </c>
      <c r="AA599" s="35" t="s">
        <v>876</v>
      </c>
      <c r="AB599" s="35" t="s">
        <v>268</v>
      </c>
      <c r="AC599" s="35">
        <v>62</v>
      </c>
      <c r="AD599" s="35">
        <v>70</v>
      </c>
      <c r="AE599" s="35" t="s">
        <v>68</v>
      </c>
      <c r="AF599" s="35">
        <v>2000</v>
      </c>
      <c r="AH599" s="35" t="s">
        <v>27</v>
      </c>
    </row>
    <row r="600" spans="1:34">
      <c r="A600" t="s">
        <v>877</v>
      </c>
      <c r="B600" t="s">
        <v>217</v>
      </c>
      <c r="C600">
        <v>23</v>
      </c>
      <c r="D600" t="s">
        <v>35</v>
      </c>
      <c r="E600" t="s">
        <v>36</v>
      </c>
      <c r="F600" t="s">
        <v>31</v>
      </c>
      <c r="G600" t="s">
        <v>32</v>
      </c>
      <c r="H600">
        <v>67</v>
      </c>
      <c r="I600">
        <v>86</v>
      </c>
      <c r="J600" t="s">
        <v>68</v>
      </c>
      <c r="K600">
        <v>10000</v>
      </c>
      <c r="L600">
        <v>11800</v>
      </c>
      <c r="M600">
        <v>0</v>
      </c>
      <c r="N600" t="s">
        <v>11</v>
      </c>
      <c r="O600" t="s">
        <v>27</v>
      </c>
      <c r="P600" s="1">
        <v>45715</v>
      </c>
      <c r="Q600" s="1">
        <v>45805</v>
      </c>
      <c r="R600" s="2">
        <v>0.38472222222222224</v>
      </c>
      <c r="S600" s="2">
        <v>0.50486111111111109</v>
      </c>
      <c r="T600" t="str" cm="1">
        <f t="array" ref="T600">_xlfn.IFS(H600&gt;=90,"A",H600&gt;=75,"B",H600&gt;=60,"C",H600&lt;60,"D")</f>
        <v>C</v>
      </c>
      <c r="U600" t="str">
        <f t="shared" si="36"/>
        <v>09:14 AM</v>
      </c>
      <c r="V600" t="str">
        <f t="shared" si="37"/>
        <v>On Time</v>
      </c>
      <c r="W600" t="str">
        <f t="shared" si="38"/>
        <v>2 Hours 53 Minutes</v>
      </c>
      <c r="X600" t="str">
        <f t="shared" si="39"/>
        <v>Short Time Login</v>
      </c>
      <c r="AA600" s="34" t="s">
        <v>877</v>
      </c>
      <c r="AB600" s="34" t="s">
        <v>217</v>
      </c>
      <c r="AC600" s="34">
        <v>67</v>
      </c>
      <c r="AD600" s="34">
        <v>86</v>
      </c>
      <c r="AE600" s="34" t="s">
        <v>68</v>
      </c>
      <c r="AF600" s="34">
        <v>0</v>
      </c>
      <c r="AH600" s="34" t="s">
        <v>27</v>
      </c>
    </row>
    <row r="601" spans="1:34">
      <c r="A601" t="s">
        <v>878</v>
      </c>
      <c r="B601" t="s">
        <v>98</v>
      </c>
      <c r="C601">
        <v>18</v>
      </c>
      <c r="D601" t="s">
        <v>21</v>
      </c>
      <c r="E601" t="s">
        <v>96</v>
      </c>
      <c r="F601" t="s">
        <v>49</v>
      </c>
      <c r="G601" t="s">
        <v>50</v>
      </c>
      <c r="H601">
        <v>72</v>
      </c>
      <c r="I601">
        <v>65</v>
      </c>
      <c r="J601" t="s">
        <v>68</v>
      </c>
      <c r="K601">
        <v>12000</v>
      </c>
      <c r="L601">
        <v>10160</v>
      </c>
      <c r="M601">
        <v>4000</v>
      </c>
      <c r="N601" t="s">
        <v>26</v>
      </c>
      <c r="O601" t="s">
        <v>27</v>
      </c>
      <c r="P601" s="1">
        <v>45926</v>
      </c>
      <c r="Q601" s="1">
        <v>46046</v>
      </c>
      <c r="R601" s="2">
        <v>0.40555555555555556</v>
      </c>
      <c r="S601" s="2">
        <v>0.53125</v>
      </c>
      <c r="T601" t="str" cm="1">
        <f t="array" ref="T601">_xlfn.IFS(H601&gt;=90,"A",H601&gt;=75,"B",H601&gt;=60,"C",H601&lt;60,"D")</f>
        <v>C</v>
      </c>
      <c r="U601" t="str">
        <f t="shared" si="36"/>
        <v>09:44 AM</v>
      </c>
      <c r="V601" t="str">
        <f t="shared" si="37"/>
        <v>Delayed</v>
      </c>
      <c r="W601" t="str">
        <f t="shared" si="38"/>
        <v>3 Hours 1 Minutes</v>
      </c>
      <c r="X601" t="str">
        <f t="shared" si="39"/>
        <v>Short Time Login</v>
      </c>
      <c r="AA601" s="35" t="s">
        <v>878</v>
      </c>
      <c r="AB601" s="35" t="s">
        <v>98</v>
      </c>
      <c r="AC601" s="35">
        <v>72</v>
      </c>
      <c r="AD601" s="35">
        <v>65</v>
      </c>
      <c r="AE601" s="35" t="s">
        <v>68</v>
      </c>
      <c r="AF601" s="35">
        <v>4000</v>
      </c>
      <c r="AH601" s="35" t="s">
        <v>27</v>
      </c>
    </row>
    <row r="602" spans="1:34">
      <c r="A602" t="s">
        <v>879</v>
      </c>
      <c r="B602" t="s">
        <v>393</v>
      </c>
      <c r="C602">
        <v>25</v>
      </c>
      <c r="D602" t="s">
        <v>35</v>
      </c>
      <c r="E602" t="s">
        <v>113</v>
      </c>
      <c r="F602" t="s">
        <v>53</v>
      </c>
      <c r="G602" t="s">
        <v>54</v>
      </c>
      <c r="H602">
        <v>57</v>
      </c>
      <c r="I602">
        <v>90</v>
      </c>
      <c r="J602" t="s">
        <v>25</v>
      </c>
      <c r="K602">
        <v>15000</v>
      </c>
      <c r="L602">
        <v>14520</v>
      </c>
      <c r="M602">
        <v>2000</v>
      </c>
      <c r="N602" t="s">
        <v>26</v>
      </c>
      <c r="O602" t="s">
        <v>27</v>
      </c>
      <c r="P602" s="1">
        <v>45759</v>
      </c>
      <c r="Q602" s="1">
        <v>45879</v>
      </c>
      <c r="R602" s="2">
        <v>0.42916666666666664</v>
      </c>
      <c r="S602" s="2">
        <v>0.47083333333333333</v>
      </c>
      <c r="T602" t="str" cm="1">
        <f t="array" ref="T602">_xlfn.IFS(H602&gt;=90,"A",H602&gt;=75,"B",H602&gt;=60,"C",H602&lt;60,"D")</f>
        <v>D</v>
      </c>
      <c r="U602" t="str">
        <f t="shared" si="36"/>
        <v>10:18 AM</v>
      </c>
      <c r="V602" t="str">
        <f t="shared" si="37"/>
        <v>Delayed</v>
      </c>
      <c r="W602" t="str">
        <f t="shared" si="38"/>
        <v>1 Hours 0 Minutes</v>
      </c>
      <c r="X602" t="str">
        <f t="shared" si="39"/>
        <v>Long Time Login</v>
      </c>
      <c r="AA602" s="34" t="s">
        <v>879</v>
      </c>
      <c r="AB602" s="34" t="s">
        <v>393</v>
      </c>
      <c r="AC602" s="34">
        <v>57</v>
      </c>
      <c r="AD602" s="34">
        <v>90</v>
      </c>
      <c r="AE602" s="34" t="s">
        <v>25</v>
      </c>
      <c r="AF602" s="34">
        <v>2000</v>
      </c>
      <c r="AH602" s="34" t="s">
        <v>27</v>
      </c>
    </row>
    <row r="603" spans="1:34">
      <c r="A603" t="s">
        <v>880</v>
      </c>
      <c r="B603" t="s">
        <v>215</v>
      </c>
      <c r="C603">
        <v>25</v>
      </c>
      <c r="D603" t="s">
        <v>35</v>
      </c>
      <c r="E603" t="s">
        <v>48</v>
      </c>
      <c r="F603" t="s">
        <v>88</v>
      </c>
      <c r="G603" t="s">
        <v>89</v>
      </c>
      <c r="H603">
        <v>79</v>
      </c>
      <c r="I603">
        <v>97</v>
      </c>
      <c r="J603" t="s">
        <v>45</v>
      </c>
      <c r="K603">
        <v>10000</v>
      </c>
      <c r="L603">
        <v>8620</v>
      </c>
      <c r="M603">
        <v>2000</v>
      </c>
      <c r="N603" t="s">
        <v>26</v>
      </c>
      <c r="O603" t="s">
        <v>27</v>
      </c>
      <c r="P603" s="1">
        <v>45743</v>
      </c>
      <c r="Q603" s="1">
        <v>45863</v>
      </c>
      <c r="R603" s="2">
        <v>0.4513888888888889</v>
      </c>
      <c r="S603" s="2">
        <v>0.57430555555555551</v>
      </c>
      <c r="T603" t="str" cm="1">
        <f t="array" ref="T603">_xlfn.IFS(H603&gt;=90,"A",H603&gt;=75,"B",H603&gt;=60,"C",H603&lt;60,"D")</f>
        <v>B</v>
      </c>
      <c r="U603" t="str">
        <f t="shared" si="36"/>
        <v>10:50 AM</v>
      </c>
      <c r="V603" t="str">
        <f t="shared" si="37"/>
        <v>Delayed</v>
      </c>
      <c r="W603" t="str">
        <f t="shared" si="38"/>
        <v>2 Hours 57 Minutes</v>
      </c>
      <c r="X603" t="str">
        <f t="shared" si="39"/>
        <v>Long Time Login</v>
      </c>
      <c r="AA603" s="35" t="s">
        <v>880</v>
      </c>
      <c r="AB603" s="35" t="s">
        <v>215</v>
      </c>
      <c r="AC603" s="35">
        <v>79</v>
      </c>
      <c r="AD603" s="35">
        <v>97</v>
      </c>
      <c r="AE603" s="35" t="s">
        <v>45</v>
      </c>
      <c r="AF603" s="35">
        <v>2000</v>
      </c>
      <c r="AH603" s="35" t="s">
        <v>27</v>
      </c>
    </row>
    <row r="604" spans="1:34">
      <c r="A604" t="s">
        <v>881</v>
      </c>
      <c r="B604" t="s">
        <v>369</v>
      </c>
      <c r="C604">
        <v>24</v>
      </c>
      <c r="D604" t="s">
        <v>35</v>
      </c>
      <c r="E604" t="s">
        <v>67</v>
      </c>
      <c r="F604" t="s">
        <v>31</v>
      </c>
      <c r="G604" t="s">
        <v>32</v>
      </c>
      <c r="H604">
        <v>43</v>
      </c>
      <c r="I604">
        <v>67</v>
      </c>
      <c r="J604" t="s">
        <v>25</v>
      </c>
      <c r="K604">
        <v>12000</v>
      </c>
      <c r="L604">
        <v>8390</v>
      </c>
      <c r="M604">
        <v>4000</v>
      </c>
      <c r="N604" t="s">
        <v>26</v>
      </c>
      <c r="O604" t="s">
        <v>27</v>
      </c>
      <c r="P604" s="1">
        <v>45776</v>
      </c>
      <c r="Q604" s="1">
        <v>45806</v>
      </c>
      <c r="R604" s="2">
        <v>0.40486111111111112</v>
      </c>
      <c r="S604" s="2">
        <v>0.47013888888888888</v>
      </c>
      <c r="T604" t="str" cm="1">
        <f t="array" ref="T604">_xlfn.IFS(H604&gt;=90,"A",H604&gt;=75,"B",H604&gt;=60,"C",H604&lt;60,"D")</f>
        <v>D</v>
      </c>
      <c r="U604" t="str">
        <f t="shared" si="36"/>
        <v>09:43 AM</v>
      </c>
      <c r="V604" t="str">
        <f t="shared" si="37"/>
        <v>On Time</v>
      </c>
      <c r="W604" t="str">
        <f t="shared" si="38"/>
        <v>1 Hours 34 Minutes</v>
      </c>
      <c r="X604" t="str">
        <f t="shared" si="39"/>
        <v>Short Time Login</v>
      </c>
      <c r="AA604" s="34" t="s">
        <v>881</v>
      </c>
      <c r="AB604" s="34" t="s">
        <v>369</v>
      </c>
      <c r="AC604" s="34">
        <v>43</v>
      </c>
      <c r="AD604" s="34">
        <v>67</v>
      </c>
      <c r="AE604" s="34" t="s">
        <v>25</v>
      </c>
      <c r="AF604" s="34">
        <v>4000</v>
      </c>
      <c r="AH604" s="34" t="s">
        <v>27</v>
      </c>
    </row>
    <row r="605" spans="1:34">
      <c r="A605" t="s">
        <v>882</v>
      </c>
      <c r="B605" t="s">
        <v>338</v>
      </c>
      <c r="C605">
        <v>28</v>
      </c>
      <c r="D605" t="s">
        <v>35</v>
      </c>
      <c r="E605" t="s">
        <v>30</v>
      </c>
      <c r="F605" t="s">
        <v>88</v>
      </c>
      <c r="G605" t="s">
        <v>89</v>
      </c>
      <c r="H605">
        <v>67</v>
      </c>
      <c r="I605">
        <v>73</v>
      </c>
      <c r="J605" t="s">
        <v>68</v>
      </c>
      <c r="K605">
        <v>12000</v>
      </c>
      <c r="L605">
        <v>14160</v>
      </c>
      <c r="M605">
        <v>0</v>
      </c>
      <c r="N605" t="s">
        <v>11</v>
      </c>
      <c r="O605" t="s">
        <v>27</v>
      </c>
      <c r="P605" s="1">
        <v>45872</v>
      </c>
      <c r="Q605" s="1">
        <v>45962</v>
      </c>
      <c r="R605" s="2">
        <v>0.43402777777777779</v>
      </c>
      <c r="S605" s="2">
        <v>0.54305555555555551</v>
      </c>
      <c r="T605" t="str" cm="1">
        <f t="array" ref="T605">_xlfn.IFS(H605&gt;=90,"A",H605&gt;=75,"B",H605&gt;=60,"C",H605&lt;60,"D")</f>
        <v>C</v>
      </c>
      <c r="U605" t="str">
        <f t="shared" si="36"/>
        <v>10:25 AM</v>
      </c>
      <c r="V605" t="str">
        <f t="shared" si="37"/>
        <v>On Time</v>
      </c>
      <c r="W605" t="str">
        <f t="shared" si="38"/>
        <v>2 Hours 37 Minutes</v>
      </c>
      <c r="X605" t="str">
        <f t="shared" si="39"/>
        <v>Long Time Login</v>
      </c>
      <c r="AA605" s="35" t="s">
        <v>882</v>
      </c>
      <c r="AB605" s="35" t="s">
        <v>338</v>
      </c>
      <c r="AC605" s="35">
        <v>67</v>
      </c>
      <c r="AD605" s="35">
        <v>73</v>
      </c>
      <c r="AE605" s="35" t="s">
        <v>68</v>
      </c>
      <c r="AF605" s="35">
        <v>0</v>
      </c>
      <c r="AH605" s="35" t="s">
        <v>27</v>
      </c>
    </row>
    <row r="606" spans="1:34">
      <c r="A606" t="s">
        <v>883</v>
      </c>
      <c r="B606" t="s">
        <v>144</v>
      </c>
      <c r="C606">
        <v>27</v>
      </c>
      <c r="D606" t="s">
        <v>21</v>
      </c>
      <c r="E606" t="s">
        <v>96</v>
      </c>
      <c r="F606" t="s">
        <v>31</v>
      </c>
      <c r="G606" t="s">
        <v>32</v>
      </c>
      <c r="H606">
        <v>49</v>
      </c>
      <c r="I606">
        <v>73</v>
      </c>
      <c r="J606" t="s">
        <v>25</v>
      </c>
      <c r="K606">
        <v>10000</v>
      </c>
      <c r="L606">
        <v>9800</v>
      </c>
      <c r="M606">
        <v>2000</v>
      </c>
      <c r="N606" t="s">
        <v>26</v>
      </c>
      <c r="O606" t="s">
        <v>27</v>
      </c>
      <c r="P606" s="1">
        <v>45811</v>
      </c>
      <c r="Q606" s="1">
        <v>45991</v>
      </c>
      <c r="R606" s="2">
        <v>0.44236111111111109</v>
      </c>
      <c r="S606" s="2">
        <v>0.53819444444444442</v>
      </c>
      <c r="T606" t="str" cm="1">
        <f t="array" ref="T606">_xlfn.IFS(H606&gt;=90,"A",H606&gt;=75,"B",H606&gt;=60,"C",H606&lt;60,"D")</f>
        <v>D</v>
      </c>
      <c r="U606" t="str">
        <f t="shared" si="36"/>
        <v>10:37 AM</v>
      </c>
      <c r="V606" t="str">
        <f t="shared" si="37"/>
        <v>Delayed</v>
      </c>
      <c r="W606" t="str">
        <f t="shared" si="38"/>
        <v>2 Hours 18 Minutes</v>
      </c>
      <c r="X606" t="str">
        <f t="shared" si="39"/>
        <v>Long Time Login</v>
      </c>
      <c r="AA606" s="34" t="s">
        <v>883</v>
      </c>
      <c r="AB606" s="34" t="s">
        <v>144</v>
      </c>
      <c r="AC606" s="34">
        <v>49</v>
      </c>
      <c r="AD606" s="34">
        <v>73</v>
      </c>
      <c r="AE606" s="34" t="s">
        <v>25</v>
      </c>
      <c r="AF606" s="34">
        <v>2000</v>
      </c>
      <c r="AH606" s="34" t="s">
        <v>27</v>
      </c>
    </row>
    <row r="607" spans="1:34">
      <c r="A607" t="s">
        <v>884</v>
      </c>
      <c r="B607" t="s">
        <v>124</v>
      </c>
      <c r="C607">
        <v>18</v>
      </c>
      <c r="D607" t="s">
        <v>35</v>
      </c>
      <c r="E607" t="s">
        <v>44</v>
      </c>
      <c r="F607" t="s">
        <v>23</v>
      </c>
      <c r="G607" t="s">
        <v>24</v>
      </c>
      <c r="H607">
        <v>93</v>
      </c>
      <c r="I607">
        <v>79</v>
      </c>
      <c r="J607" t="s">
        <v>59</v>
      </c>
      <c r="K607">
        <v>20000</v>
      </c>
      <c r="L607">
        <v>18420</v>
      </c>
      <c r="M607">
        <v>4000</v>
      </c>
      <c r="N607" t="s">
        <v>26</v>
      </c>
      <c r="O607" t="s">
        <v>27</v>
      </c>
      <c r="P607" s="1">
        <v>45946</v>
      </c>
      <c r="Q607" s="1">
        <v>46006</v>
      </c>
      <c r="R607" s="2">
        <v>0.42222222222222222</v>
      </c>
      <c r="S607" s="2">
        <v>0.51597222222222228</v>
      </c>
      <c r="T607" t="str" cm="1">
        <f t="array" ref="T607">_xlfn.IFS(H607&gt;=90,"A",H607&gt;=75,"B",H607&gt;=60,"C",H607&lt;60,"D")</f>
        <v>A</v>
      </c>
      <c r="U607" t="str">
        <f t="shared" si="36"/>
        <v>10:08 AM</v>
      </c>
      <c r="V607" t="str">
        <f t="shared" si="37"/>
        <v>On Time</v>
      </c>
      <c r="W607" t="str">
        <f t="shared" si="38"/>
        <v>2 Hours 15 Minutes</v>
      </c>
      <c r="X607" t="str">
        <f t="shared" si="39"/>
        <v>Long Time Login</v>
      </c>
      <c r="AA607" s="35" t="s">
        <v>884</v>
      </c>
      <c r="AB607" s="35" t="s">
        <v>124</v>
      </c>
      <c r="AC607" s="35">
        <v>93</v>
      </c>
      <c r="AD607" s="35">
        <v>79</v>
      </c>
      <c r="AE607" s="35" t="s">
        <v>59</v>
      </c>
      <c r="AF607" s="35">
        <v>4000</v>
      </c>
      <c r="AH607" s="35" t="s">
        <v>27</v>
      </c>
    </row>
    <row r="608" spans="1:34">
      <c r="A608" t="s">
        <v>885</v>
      </c>
      <c r="B608" t="s">
        <v>487</v>
      </c>
      <c r="C608">
        <v>20</v>
      </c>
      <c r="D608" t="s">
        <v>21</v>
      </c>
      <c r="E608" t="s">
        <v>39</v>
      </c>
      <c r="F608" t="s">
        <v>31</v>
      </c>
      <c r="G608" t="s">
        <v>32</v>
      </c>
      <c r="H608">
        <v>66</v>
      </c>
      <c r="I608">
        <v>60</v>
      </c>
      <c r="J608" t="s">
        <v>68</v>
      </c>
      <c r="K608">
        <v>10000</v>
      </c>
      <c r="L608">
        <v>11210</v>
      </c>
      <c r="M608">
        <v>0</v>
      </c>
      <c r="N608" t="s">
        <v>11</v>
      </c>
      <c r="O608" t="s">
        <v>27</v>
      </c>
      <c r="P608" s="1">
        <v>45946</v>
      </c>
      <c r="Q608" s="1">
        <v>45976</v>
      </c>
      <c r="R608" s="2">
        <v>0.36319444444444443</v>
      </c>
      <c r="S608" s="2">
        <v>0.49236111111111114</v>
      </c>
      <c r="T608" t="str" cm="1">
        <f t="array" ref="T608">_xlfn.IFS(H608&gt;=90,"A",H608&gt;=75,"B",H608&gt;=60,"C",H608&lt;60,"D")</f>
        <v>C</v>
      </c>
      <c r="U608" t="str">
        <f t="shared" si="36"/>
        <v>08:43 AM</v>
      </c>
      <c r="V608" t="str">
        <f t="shared" si="37"/>
        <v>On Time</v>
      </c>
      <c r="W608" t="str">
        <f t="shared" si="38"/>
        <v>3 Hours 6 Minutes</v>
      </c>
      <c r="X608" t="str">
        <f t="shared" si="39"/>
        <v>Short Time Login</v>
      </c>
      <c r="AA608" s="34" t="s">
        <v>885</v>
      </c>
      <c r="AB608" s="34" t="s">
        <v>487</v>
      </c>
      <c r="AC608" s="34">
        <v>66</v>
      </c>
      <c r="AD608" s="34">
        <v>60</v>
      </c>
      <c r="AE608" s="34" t="s">
        <v>68</v>
      </c>
      <c r="AF608" s="34">
        <v>0</v>
      </c>
      <c r="AH608" s="34" t="s">
        <v>27</v>
      </c>
    </row>
    <row r="609" spans="1:34">
      <c r="A609" t="s">
        <v>886</v>
      </c>
      <c r="B609" t="s">
        <v>183</v>
      </c>
      <c r="C609">
        <v>25</v>
      </c>
      <c r="D609" t="s">
        <v>21</v>
      </c>
      <c r="E609" t="s">
        <v>36</v>
      </c>
      <c r="F609" t="s">
        <v>88</v>
      </c>
      <c r="G609" t="s">
        <v>89</v>
      </c>
      <c r="H609">
        <v>93</v>
      </c>
      <c r="I609">
        <v>97</v>
      </c>
      <c r="J609" t="s">
        <v>59</v>
      </c>
      <c r="K609">
        <v>10000</v>
      </c>
      <c r="L609">
        <v>11800</v>
      </c>
      <c r="M609">
        <v>0</v>
      </c>
      <c r="N609" t="s">
        <v>11</v>
      </c>
      <c r="O609" t="s">
        <v>27</v>
      </c>
      <c r="P609" s="1">
        <v>45679</v>
      </c>
      <c r="Q609" s="1">
        <v>45799</v>
      </c>
      <c r="R609" s="2">
        <v>0.44930555555555557</v>
      </c>
      <c r="S609" s="2">
        <v>0.50694444444444442</v>
      </c>
      <c r="T609" t="str" cm="1">
        <f t="array" ref="T609">_xlfn.IFS(H609&gt;=90,"A",H609&gt;=75,"B",H609&gt;=60,"C",H609&lt;60,"D")</f>
        <v>A</v>
      </c>
      <c r="U609" t="str">
        <f t="shared" si="36"/>
        <v>10:47 AM</v>
      </c>
      <c r="V609" t="str">
        <f t="shared" si="37"/>
        <v>Delayed</v>
      </c>
      <c r="W609" t="str">
        <f t="shared" si="38"/>
        <v>1 Hours 23 Minutes</v>
      </c>
      <c r="X609" t="str">
        <f t="shared" si="39"/>
        <v>Long Time Login</v>
      </c>
      <c r="AA609" s="35" t="s">
        <v>886</v>
      </c>
      <c r="AB609" s="35" t="s">
        <v>183</v>
      </c>
      <c r="AC609" s="35">
        <v>93</v>
      </c>
      <c r="AD609" s="35">
        <v>97</v>
      </c>
      <c r="AE609" s="35" t="s">
        <v>59</v>
      </c>
      <c r="AF609" s="35">
        <v>0</v>
      </c>
      <c r="AH609" s="35" t="s">
        <v>27</v>
      </c>
    </row>
    <row r="610" spans="1:34">
      <c r="A610" t="s">
        <v>887</v>
      </c>
      <c r="B610" t="s">
        <v>140</v>
      </c>
      <c r="C610">
        <v>23</v>
      </c>
      <c r="D610" t="s">
        <v>21</v>
      </c>
      <c r="E610" t="s">
        <v>36</v>
      </c>
      <c r="F610" t="s">
        <v>23</v>
      </c>
      <c r="G610" t="s">
        <v>24</v>
      </c>
      <c r="H610">
        <v>51</v>
      </c>
      <c r="I610">
        <v>94</v>
      </c>
      <c r="J610" t="s">
        <v>25</v>
      </c>
      <c r="K610">
        <v>18000</v>
      </c>
      <c r="L610">
        <v>20650</v>
      </c>
      <c r="M610">
        <v>0</v>
      </c>
      <c r="N610" t="s">
        <v>11</v>
      </c>
      <c r="O610" t="s">
        <v>27</v>
      </c>
      <c r="P610" s="1">
        <v>45867</v>
      </c>
      <c r="Q610" s="1">
        <v>46047</v>
      </c>
      <c r="R610" s="2">
        <v>0.4548611111111111</v>
      </c>
      <c r="S610" s="2">
        <v>0.62569444444444444</v>
      </c>
      <c r="T610" t="str" cm="1">
        <f t="array" ref="T610">_xlfn.IFS(H610&gt;=90,"A",H610&gt;=75,"B",H610&gt;=60,"C",H610&lt;60,"D")</f>
        <v>D</v>
      </c>
      <c r="U610" t="str">
        <f t="shared" si="36"/>
        <v>10:55 AM</v>
      </c>
      <c r="V610" t="str">
        <f t="shared" si="37"/>
        <v>Delayed</v>
      </c>
      <c r="W610" t="str">
        <f t="shared" si="38"/>
        <v>4 Hours 6 Minutes</v>
      </c>
      <c r="X610" t="str">
        <f t="shared" si="39"/>
        <v>Long Time Login</v>
      </c>
      <c r="AA610" s="34" t="s">
        <v>887</v>
      </c>
      <c r="AB610" s="34" t="s">
        <v>140</v>
      </c>
      <c r="AC610" s="34">
        <v>51</v>
      </c>
      <c r="AD610" s="34">
        <v>94</v>
      </c>
      <c r="AE610" s="34" t="s">
        <v>25</v>
      </c>
      <c r="AF610" s="34">
        <v>0</v>
      </c>
      <c r="AH610" s="34" t="s">
        <v>27</v>
      </c>
    </row>
    <row r="611" spans="1:34">
      <c r="A611" t="s">
        <v>888</v>
      </c>
      <c r="B611" t="s">
        <v>175</v>
      </c>
      <c r="C611">
        <v>24</v>
      </c>
      <c r="D611" t="s">
        <v>21</v>
      </c>
      <c r="E611" t="s">
        <v>96</v>
      </c>
      <c r="F611" t="s">
        <v>53</v>
      </c>
      <c r="G611" t="s">
        <v>54</v>
      </c>
      <c r="H611">
        <v>90</v>
      </c>
      <c r="I611">
        <v>93</v>
      </c>
      <c r="J611" t="s">
        <v>59</v>
      </c>
      <c r="K611">
        <v>12000</v>
      </c>
      <c r="L611">
        <v>14160</v>
      </c>
      <c r="M611">
        <v>0</v>
      </c>
      <c r="N611" t="s">
        <v>11</v>
      </c>
      <c r="O611" t="s">
        <v>27</v>
      </c>
      <c r="P611" s="1">
        <v>45906</v>
      </c>
      <c r="Q611" s="1">
        <v>46086</v>
      </c>
      <c r="R611" s="2">
        <v>0.44097222222222221</v>
      </c>
      <c r="S611" s="2">
        <v>0.58125000000000004</v>
      </c>
      <c r="T611" t="str" cm="1">
        <f t="array" ref="T611">_xlfn.IFS(H611&gt;=90,"A",H611&gt;=75,"B",H611&gt;=60,"C",H611&lt;60,"D")</f>
        <v>A</v>
      </c>
      <c r="U611" t="str">
        <f t="shared" si="36"/>
        <v>10:35 AM</v>
      </c>
      <c r="V611" t="str">
        <f t="shared" si="37"/>
        <v>Delayed</v>
      </c>
      <c r="W611" t="str">
        <f t="shared" si="38"/>
        <v>3 Hours 22 Minutes</v>
      </c>
      <c r="X611" t="str">
        <f t="shared" si="39"/>
        <v>Long Time Login</v>
      </c>
      <c r="AA611" s="35" t="s">
        <v>888</v>
      </c>
      <c r="AB611" s="35" t="s">
        <v>175</v>
      </c>
      <c r="AC611" s="35">
        <v>90</v>
      </c>
      <c r="AD611" s="35">
        <v>93</v>
      </c>
      <c r="AE611" s="35" t="s">
        <v>59</v>
      </c>
      <c r="AF611" s="35">
        <v>0</v>
      </c>
      <c r="AH611" s="35" t="s">
        <v>27</v>
      </c>
    </row>
    <row r="612" spans="1:34">
      <c r="A612" t="s">
        <v>889</v>
      </c>
      <c r="B612" t="s">
        <v>83</v>
      </c>
      <c r="C612">
        <v>23</v>
      </c>
      <c r="D612" t="s">
        <v>21</v>
      </c>
      <c r="E612" t="s">
        <v>39</v>
      </c>
      <c r="F612" t="s">
        <v>40</v>
      </c>
      <c r="G612" t="s">
        <v>41</v>
      </c>
      <c r="H612">
        <v>69</v>
      </c>
      <c r="I612">
        <v>71</v>
      </c>
      <c r="J612" t="s">
        <v>68</v>
      </c>
      <c r="K612">
        <v>20000</v>
      </c>
      <c r="L612">
        <v>19830</v>
      </c>
      <c r="M612">
        <v>2000</v>
      </c>
      <c r="N612" t="s">
        <v>26</v>
      </c>
      <c r="O612" t="s">
        <v>27</v>
      </c>
      <c r="P612" s="1">
        <v>45804</v>
      </c>
      <c r="Q612" s="1">
        <v>45894</v>
      </c>
      <c r="R612" s="2">
        <v>0.44166666666666665</v>
      </c>
      <c r="S612" s="2">
        <v>0.52430555555555558</v>
      </c>
      <c r="T612" t="str" cm="1">
        <f t="array" ref="T612">_xlfn.IFS(H612&gt;=90,"A",H612&gt;=75,"B",H612&gt;=60,"C",H612&lt;60,"D")</f>
        <v>C</v>
      </c>
      <c r="U612" t="str">
        <f t="shared" si="36"/>
        <v>10:36 AM</v>
      </c>
      <c r="V612" t="str">
        <f t="shared" si="37"/>
        <v>On Time</v>
      </c>
      <c r="W612" t="str">
        <f t="shared" si="38"/>
        <v>1 Hours 59 Minutes</v>
      </c>
      <c r="X612" t="str">
        <f t="shared" si="39"/>
        <v>Long Time Login</v>
      </c>
      <c r="AA612" s="34" t="s">
        <v>889</v>
      </c>
      <c r="AB612" s="34" t="s">
        <v>83</v>
      </c>
      <c r="AC612" s="34">
        <v>69</v>
      </c>
      <c r="AD612" s="34">
        <v>71</v>
      </c>
      <c r="AE612" s="34" t="s">
        <v>68</v>
      </c>
      <c r="AF612" s="34">
        <v>2000</v>
      </c>
      <c r="AH612" s="34" t="s">
        <v>27</v>
      </c>
    </row>
    <row r="613" spans="1:34">
      <c r="A613" t="s">
        <v>890</v>
      </c>
      <c r="B613" t="s">
        <v>85</v>
      </c>
      <c r="C613">
        <v>25</v>
      </c>
      <c r="D613" t="s">
        <v>21</v>
      </c>
      <c r="E613" t="s">
        <v>30</v>
      </c>
      <c r="F613" t="s">
        <v>53</v>
      </c>
      <c r="G613" t="s">
        <v>54</v>
      </c>
      <c r="H613">
        <v>89</v>
      </c>
      <c r="I613">
        <v>98</v>
      </c>
      <c r="J613" t="s">
        <v>45</v>
      </c>
      <c r="K613">
        <v>15000</v>
      </c>
      <c r="L613">
        <v>14520</v>
      </c>
      <c r="M613">
        <v>2000</v>
      </c>
      <c r="N613" t="s">
        <v>26</v>
      </c>
      <c r="O613" t="s">
        <v>27</v>
      </c>
      <c r="P613" s="1">
        <v>45705</v>
      </c>
      <c r="Q613" s="1">
        <v>45825</v>
      </c>
      <c r="R613" s="2">
        <v>0.44027777777777777</v>
      </c>
      <c r="S613" s="2">
        <v>0.57777777777777772</v>
      </c>
      <c r="T613" t="str" cm="1">
        <f t="array" ref="T613">_xlfn.IFS(H613&gt;=90,"A",H613&gt;=75,"B",H613&gt;=60,"C",H613&lt;60,"D")</f>
        <v>B</v>
      </c>
      <c r="U613" t="str">
        <f t="shared" si="36"/>
        <v>10:34 AM</v>
      </c>
      <c r="V613" t="str">
        <f t="shared" si="37"/>
        <v>Delayed</v>
      </c>
      <c r="W613" t="str">
        <f t="shared" si="38"/>
        <v>3 Hours 18 Minutes</v>
      </c>
      <c r="X613" t="str">
        <f t="shared" si="39"/>
        <v>Long Time Login</v>
      </c>
      <c r="AA613" s="35" t="s">
        <v>890</v>
      </c>
      <c r="AB613" s="35" t="s">
        <v>85</v>
      </c>
      <c r="AC613" s="35">
        <v>89</v>
      </c>
      <c r="AD613" s="35">
        <v>98</v>
      </c>
      <c r="AE613" s="35" t="s">
        <v>45</v>
      </c>
      <c r="AF613" s="35">
        <v>2000</v>
      </c>
      <c r="AH613" s="35" t="s">
        <v>27</v>
      </c>
    </row>
    <row r="614" spans="1:34">
      <c r="A614" t="s">
        <v>891</v>
      </c>
      <c r="B614" t="s">
        <v>612</v>
      </c>
      <c r="C614">
        <v>20</v>
      </c>
      <c r="D614" t="s">
        <v>21</v>
      </c>
      <c r="E614" t="s">
        <v>39</v>
      </c>
      <c r="F614" t="s">
        <v>88</v>
      </c>
      <c r="G614" t="s">
        <v>89</v>
      </c>
      <c r="H614">
        <v>77</v>
      </c>
      <c r="I614">
        <v>72</v>
      </c>
      <c r="J614" t="s">
        <v>45</v>
      </c>
      <c r="K614">
        <v>10000</v>
      </c>
      <c r="L614">
        <v>6030</v>
      </c>
      <c r="M614">
        <v>4000</v>
      </c>
      <c r="N614" t="s">
        <v>26</v>
      </c>
      <c r="O614" t="s">
        <v>27</v>
      </c>
      <c r="P614" s="1">
        <v>45709</v>
      </c>
      <c r="Q614" s="1">
        <v>45739</v>
      </c>
      <c r="R614" s="2">
        <v>0.37222222222222223</v>
      </c>
      <c r="S614" s="2">
        <v>0.51875000000000004</v>
      </c>
      <c r="T614" t="str" cm="1">
        <f t="array" ref="T614">_xlfn.IFS(H614&gt;=90,"A",H614&gt;=75,"B",H614&gt;=60,"C",H614&lt;60,"D")</f>
        <v>B</v>
      </c>
      <c r="U614" t="str">
        <f t="shared" si="36"/>
        <v>08:56 AM</v>
      </c>
      <c r="V614" t="str">
        <f t="shared" si="37"/>
        <v>On Time</v>
      </c>
      <c r="W614" t="str">
        <f t="shared" si="38"/>
        <v>3 Hours 31 Minutes</v>
      </c>
      <c r="X614" t="str">
        <f t="shared" si="39"/>
        <v>Short Time Login</v>
      </c>
      <c r="AA614" s="34" t="s">
        <v>891</v>
      </c>
      <c r="AB614" s="34" t="s">
        <v>612</v>
      </c>
      <c r="AC614" s="34">
        <v>77</v>
      </c>
      <c r="AD614" s="34">
        <v>72</v>
      </c>
      <c r="AE614" s="34" t="s">
        <v>45</v>
      </c>
      <c r="AF614" s="34">
        <v>4000</v>
      </c>
      <c r="AH614" s="34" t="s">
        <v>27</v>
      </c>
    </row>
    <row r="615" spans="1:34">
      <c r="A615" t="s">
        <v>892</v>
      </c>
      <c r="B615" t="s">
        <v>405</v>
      </c>
      <c r="C615">
        <v>21</v>
      </c>
      <c r="D615" t="s">
        <v>35</v>
      </c>
      <c r="E615" t="s">
        <v>73</v>
      </c>
      <c r="F615" t="s">
        <v>88</v>
      </c>
      <c r="G615" t="s">
        <v>89</v>
      </c>
      <c r="H615">
        <v>70</v>
      </c>
      <c r="I615">
        <v>66</v>
      </c>
      <c r="J615" t="s">
        <v>68</v>
      </c>
      <c r="K615">
        <v>10000</v>
      </c>
      <c r="L615">
        <v>9800</v>
      </c>
      <c r="M615">
        <v>2000</v>
      </c>
      <c r="N615" t="s">
        <v>26</v>
      </c>
      <c r="O615" t="s">
        <v>27</v>
      </c>
      <c r="P615" s="1">
        <v>45756</v>
      </c>
      <c r="Q615" s="1">
        <v>45876</v>
      </c>
      <c r="R615" s="2">
        <v>0.40763888888888888</v>
      </c>
      <c r="S615" s="2">
        <v>0.58263888888888893</v>
      </c>
      <c r="T615" t="str" cm="1">
        <f t="array" ref="T615">_xlfn.IFS(H615&gt;=90,"A",H615&gt;=75,"B",H615&gt;=60,"C",H615&lt;60,"D")</f>
        <v>C</v>
      </c>
      <c r="U615" t="str">
        <f t="shared" si="36"/>
        <v>09:47 AM</v>
      </c>
      <c r="V615" t="str">
        <f t="shared" si="37"/>
        <v>Delayed</v>
      </c>
      <c r="W615" t="str">
        <f t="shared" si="38"/>
        <v>4 Hours 12 Minutes</v>
      </c>
      <c r="X615" t="str">
        <f t="shared" si="39"/>
        <v>Short Time Login</v>
      </c>
      <c r="AA615" s="35" t="s">
        <v>892</v>
      </c>
      <c r="AB615" s="35" t="s">
        <v>405</v>
      </c>
      <c r="AC615" s="35">
        <v>70</v>
      </c>
      <c r="AD615" s="35">
        <v>66</v>
      </c>
      <c r="AE615" s="35" t="s">
        <v>68</v>
      </c>
      <c r="AF615" s="35">
        <v>2000</v>
      </c>
      <c r="AH615" s="35" t="s">
        <v>27</v>
      </c>
    </row>
    <row r="616" spans="1:34">
      <c r="A616" t="s">
        <v>893</v>
      </c>
      <c r="B616" t="s">
        <v>104</v>
      </c>
      <c r="C616">
        <v>27</v>
      </c>
      <c r="D616" t="s">
        <v>35</v>
      </c>
      <c r="E616" t="s">
        <v>30</v>
      </c>
      <c r="F616" t="s">
        <v>49</v>
      </c>
      <c r="G616" t="s">
        <v>50</v>
      </c>
      <c r="H616">
        <v>70</v>
      </c>
      <c r="I616">
        <v>81</v>
      </c>
      <c r="J616" t="s">
        <v>68</v>
      </c>
      <c r="K616">
        <v>18000</v>
      </c>
      <c r="L616">
        <v>16060</v>
      </c>
      <c r="M616">
        <v>4000</v>
      </c>
      <c r="N616" t="s">
        <v>26</v>
      </c>
      <c r="O616" t="s">
        <v>27</v>
      </c>
      <c r="P616" s="1">
        <v>45907</v>
      </c>
      <c r="Q616" s="1">
        <v>46027</v>
      </c>
      <c r="R616" s="2">
        <v>0.42083333333333334</v>
      </c>
      <c r="S616" s="2">
        <v>0.55902777777777779</v>
      </c>
      <c r="T616" t="str" cm="1">
        <f t="array" ref="T616">_xlfn.IFS(H616&gt;=90,"A",H616&gt;=75,"B",H616&gt;=60,"C",H616&lt;60,"D")</f>
        <v>C</v>
      </c>
      <c r="U616" t="str">
        <f t="shared" si="36"/>
        <v>10:06 AM</v>
      </c>
      <c r="V616" t="str">
        <f t="shared" si="37"/>
        <v>Delayed</v>
      </c>
      <c r="W616" t="str">
        <f t="shared" si="38"/>
        <v>3 Hours 19 Minutes</v>
      </c>
      <c r="X616" t="str">
        <f t="shared" si="39"/>
        <v>Long Time Login</v>
      </c>
      <c r="AA616" s="34" t="s">
        <v>893</v>
      </c>
      <c r="AB616" s="34" t="s">
        <v>104</v>
      </c>
      <c r="AC616" s="34">
        <v>70</v>
      </c>
      <c r="AD616" s="34">
        <v>81</v>
      </c>
      <c r="AE616" s="34" t="s">
        <v>68</v>
      </c>
      <c r="AF616" s="34">
        <v>4000</v>
      </c>
      <c r="AH616" s="34" t="s">
        <v>27</v>
      </c>
    </row>
    <row r="617" spans="1:34">
      <c r="A617" t="s">
        <v>894</v>
      </c>
      <c r="B617" t="s">
        <v>784</v>
      </c>
      <c r="C617">
        <v>18</v>
      </c>
      <c r="D617" t="s">
        <v>35</v>
      </c>
      <c r="E617" t="s">
        <v>44</v>
      </c>
      <c r="F617" t="s">
        <v>57</v>
      </c>
      <c r="G617" t="s">
        <v>58</v>
      </c>
      <c r="H617">
        <v>62</v>
      </c>
      <c r="I617">
        <v>98</v>
      </c>
      <c r="J617" t="s">
        <v>68</v>
      </c>
      <c r="K617">
        <v>18000</v>
      </c>
      <c r="L617">
        <v>20650</v>
      </c>
      <c r="M617">
        <v>0</v>
      </c>
      <c r="N617" t="s">
        <v>11</v>
      </c>
      <c r="O617" t="s">
        <v>27</v>
      </c>
      <c r="P617" s="1">
        <v>45850</v>
      </c>
      <c r="Q617" s="1">
        <v>45940</v>
      </c>
      <c r="R617" s="2">
        <v>0.36041666666666666</v>
      </c>
      <c r="S617" s="2">
        <v>0.48055555555555557</v>
      </c>
      <c r="T617" t="str" cm="1">
        <f t="array" ref="T617">_xlfn.IFS(H617&gt;=90,"A",H617&gt;=75,"B",H617&gt;=60,"C",H617&lt;60,"D")</f>
        <v>C</v>
      </c>
      <c r="U617" t="str">
        <f t="shared" si="36"/>
        <v>08:39 AM</v>
      </c>
      <c r="V617" t="str">
        <f t="shared" si="37"/>
        <v>On Time</v>
      </c>
      <c r="W617" t="str">
        <f t="shared" si="38"/>
        <v>2 Hours 53 Minutes</v>
      </c>
      <c r="X617" t="str">
        <f t="shared" si="39"/>
        <v>Short Time Login</v>
      </c>
      <c r="AA617" s="35" t="s">
        <v>894</v>
      </c>
      <c r="AB617" s="35" t="s">
        <v>784</v>
      </c>
      <c r="AC617" s="35">
        <v>62</v>
      </c>
      <c r="AD617" s="35">
        <v>98</v>
      </c>
      <c r="AE617" s="35" t="s">
        <v>68</v>
      </c>
      <c r="AF617" s="35">
        <v>0</v>
      </c>
      <c r="AH617" s="35" t="s">
        <v>27</v>
      </c>
    </row>
    <row r="618" spans="1:34">
      <c r="A618" t="s">
        <v>895</v>
      </c>
      <c r="B618" t="s">
        <v>56</v>
      </c>
      <c r="C618">
        <v>21</v>
      </c>
      <c r="D618" t="s">
        <v>35</v>
      </c>
      <c r="E618" t="s">
        <v>44</v>
      </c>
      <c r="F618" t="s">
        <v>88</v>
      </c>
      <c r="G618" t="s">
        <v>89</v>
      </c>
      <c r="H618">
        <v>50</v>
      </c>
      <c r="I618">
        <v>92</v>
      </c>
      <c r="J618" t="s">
        <v>25</v>
      </c>
      <c r="K618">
        <v>15000</v>
      </c>
      <c r="L618">
        <v>17700</v>
      </c>
      <c r="M618">
        <v>0</v>
      </c>
      <c r="N618" t="s">
        <v>11</v>
      </c>
      <c r="O618" t="s">
        <v>27</v>
      </c>
      <c r="P618" s="1">
        <v>45682</v>
      </c>
      <c r="Q618" s="1">
        <v>45712</v>
      </c>
      <c r="R618" s="2">
        <v>0.39861111111111114</v>
      </c>
      <c r="S618" s="2">
        <v>0.44583333333333336</v>
      </c>
      <c r="T618" t="str" cm="1">
        <f t="array" ref="T618">_xlfn.IFS(H618&gt;=90,"A",H618&gt;=75,"B",H618&gt;=60,"C",H618&lt;60,"D")</f>
        <v>D</v>
      </c>
      <c r="U618" t="str">
        <f t="shared" si="36"/>
        <v>09:34 AM</v>
      </c>
      <c r="V618" t="str">
        <f t="shared" si="37"/>
        <v>On Time</v>
      </c>
      <c r="W618" t="str">
        <f t="shared" si="38"/>
        <v>1 Hours 8 Minutes</v>
      </c>
      <c r="X618" t="str">
        <f t="shared" si="39"/>
        <v>Short Time Login</v>
      </c>
      <c r="AA618" s="34" t="s">
        <v>895</v>
      </c>
      <c r="AB618" s="34" t="s">
        <v>56</v>
      </c>
      <c r="AC618" s="34">
        <v>50</v>
      </c>
      <c r="AD618" s="34">
        <v>92</v>
      </c>
      <c r="AE618" s="34" t="s">
        <v>25</v>
      </c>
      <c r="AF618" s="34">
        <v>0</v>
      </c>
      <c r="AH618" s="34" t="s">
        <v>27</v>
      </c>
    </row>
    <row r="619" spans="1:34">
      <c r="A619" t="s">
        <v>896</v>
      </c>
      <c r="B619" t="s">
        <v>493</v>
      </c>
      <c r="C619">
        <v>27</v>
      </c>
      <c r="D619" t="s">
        <v>35</v>
      </c>
      <c r="E619" t="s">
        <v>30</v>
      </c>
      <c r="F619" t="s">
        <v>49</v>
      </c>
      <c r="G619" t="s">
        <v>50</v>
      </c>
      <c r="H619">
        <v>56</v>
      </c>
      <c r="I619">
        <v>77</v>
      </c>
      <c r="J619" t="s">
        <v>25</v>
      </c>
      <c r="K619">
        <v>12000</v>
      </c>
      <c r="L619">
        <v>14160</v>
      </c>
      <c r="M619">
        <v>0</v>
      </c>
      <c r="N619" t="s">
        <v>11</v>
      </c>
      <c r="O619" t="s">
        <v>27</v>
      </c>
      <c r="P619" s="1">
        <v>45784</v>
      </c>
      <c r="Q619" s="1">
        <v>45844</v>
      </c>
      <c r="R619" s="2">
        <v>0.37083333333333335</v>
      </c>
      <c r="S619" s="2">
        <v>0.53472222222222221</v>
      </c>
      <c r="T619" t="str" cm="1">
        <f t="array" ref="T619">_xlfn.IFS(H619&gt;=90,"A",H619&gt;=75,"B",H619&gt;=60,"C",H619&lt;60,"D")</f>
        <v>D</v>
      </c>
      <c r="U619" t="str">
        <f t="shared" si="36"/>
        <v>08:54 AM</v>
      </c>
      <c r="V619" t="str">
        <f t="shared" si="37"/>
        <v>On Time</v>
      </c>
      <c r="W619" t="str">
        <f t="shared" si="38"/>
        <v>3 Hours 56 Minutes</v>
      </c>
      <c r="X619" t="str">
        <f t="shared" si="39"/>
        <v>Short Time Login</v>
      </c>
      <c r="AA619" s="35" t="s">
        <v>896</v>
      </c>
      <c r="AB619" s="35" t="s">
        <v>493</v>
      </c>
      <c r="AC619" s="35">
        <v>56</v>
      </c>
      <c r="AD619" s="35">
        <v>77</v>
      </c>
      <c r="AE619" s="35" t="s">
        <v>25</v>
      </c>
      <c r="AF619" s="35">
        <v>0</v>
      </c>
      <c r="AH619" s="35" t="s">
        <v>27</v>
      </c>
    </row>
    <row r="620" spans="1:34">
      <c r="A620" t="s">
        <v>897</v>
      </c>
      <c r="B620" t="s">
        <v>766</v>
      </c>
      <c r="C620">
        <v>20</v>
      </c>
      <c r="D620" t="s">
        <v>35</v>
      </c>
      <c r="E620" t="s">
        <v>122</v>
      </c>
      <c r="F620" t="s">
        <v>63</v>
      </c>
      <c r="G620" t="s">
        <v>64</v>
      </c>
      <c r="H620">
        <v>74</v>
      </c>
      <c r="I620">
        <v>81</v>
      </c>
      <c r="J620" t="s">
        <v>68</v>
      </c>
      <c r="K620">
        <v>15000</v>
      </c>
      <c r="L620">
        <v>13930</v>
      </c>
      <c r="M620">
        <v>2000</v>
      </c>
      <c r="N620" t="s">
        <v>26</v>
      </c>
      <c r="O620" t="s">
        <v>27</v>
      </c>
      <c r="P620" s="1">
        <v>45878</v>
      </c>
      <c r="Q620" s="1">
        <v>46058</v>
      </c>
      <c r="R620" s="2">
        <v>0.35208333333333336</v>
      </c>
      <c r="S620" s="2">
        <v>0.4152777777777778</v>
      </c>
      <c r="T620" t="str" cm="1">
        <f t="array" ref="T620">_xlfn.IFS(H620&gt;=90,"A",H620&gt;=75,"B",H620&gt;=60,"C",H620&lt;60,"D")</f>
        <v>C</v>
      </c>
      <c r="U620" t="str">
        <f t="shared" si="36"/>
        <v>08:27 AM</v>
      </c>
      <c r="V620" t="str">
        <f t="shared" si="37"/>
        <v>Delayed</v>
      </c>
      <c r="W620" t="str">
        <f t="shared" si="38"/>
        <v>1 Hours 31 Minutes</v>
      </c>
      <c r="X620" t="str">
        <f t="shared" si="39"/>
        <v>Short Time Login</v>
      </c>
      <c r="AA620" s="34" t="s">
        <v>897</v>
      </c>
      <c r="AB620" s="34" t="s">
        <v>766</v>
      </c>
      <c r="AC620" s="34">
        <v>74</v>
      </c>
      <c r="AD620" s="34">
        <v>81</v>
      </c>
      <c r="AE620" s="34" t="s">
        <v>68</v>
      </c>
      <c r="AF620" s="34">
        <v>2000</v>
      </c>
      <c r="AH620" s="34" t="s">
        <v>27</v>
      </c>
    </row>
    <row r="621" spans="1:34">
      <c r="A621" t="s">
        <v>898</v>
      </c>
      <c r="B621" t="s">
        <v>165</v>
      </c>
      <c r="C621">
        <v>24</v>
      </c>
      <c r="D621" t="s">
        <v>21</v>
      </c>
      <c r="E621" t="s">
        <v>44</v>
      </c>
      <c r="F621" t="s">
        <v>57</v>
      </c>
      <c r="G621" t="s">
        <v>58</v>
      </c>
      <c r="H621">
        <v>54</v>
      </c>
      <c r="I621">
        <v>91</v>
      </c>
      <c r="J621" t="s">
        <v>25</v>
      </c>
      <c r="K621">
        <v>15000</v>
      </c>
      <c r="L621">
        <v>11930</v>
      </c>
      <c r="M621">
        <v>4000</v>
      </c>
      <c r="N621" t="s">
        <v>26</v>
      </c>
      <c r="O621" t="s">
        <v>27</v>
      </c>
      <c r="P621" s="1">
        <v>45805</v>
      </c>
      <c r="Q621" s="1">
        <v>45985</v>
      </c>
      <c r="R621" s="2">
        <v>0.35694444444444445</v>
      </c>
      <c r="S621" s="2">
        <v>0.53541666666666665</v>
      </c>
      <c r="T621" t="str" cm="1">
        <f t="array" ref="T621">_xlfn.IFS(H621&gt;=90,"A",H621&gt;=75,"B",H621&gt;=60,"C",H621&lt;60,"D")</f>
        <v>D</v>
      </c>
      <c r="U621" t="str">
        <f t="shared" si="36"/>
        <v>08:34 AM</v>
      </c>
      <c r="V621" t="str">
        <f t="shared" si="37"/>
        <v>Delayed</v>
      </c>
      <c r="W621" t="str">
        <f t="shared" si="38"/>
        <v>4 Hours 17 Minutes</v>
      </c>
      <c r="X621" t="str">
        <f t="shared" si="39"/>
        <v>Short Time Login</v>
      </c>
      <c r="AA621" s="35" t="s">
        <v>898</v>
      </c>
      <c r="AB621" s="35" t="s">
        <v>165</v>
      </c>
      <c r="AC621" s="35">
        <v>54</v>
      </c>
      <c r="AD621" s="35">
        <v>91</v>
      </c>
      <c r="AE621" s="35" t="s">
        <v>25</v>
      </c>
      <c r="AF621" s="35">
        <v>4000</v>
      </c>
      <c r="AH621" s="35" t="s">
        <v>27</v>
      </c>
    </row>
    <row r="622" spans="1:34">
      <c r="A622" t="s">
        <v>899</v>
      </c>
      <c r="B622" t="s">
        <v>282</v>
      </c>
      <c r="C622">
        <v>20</v>
      </c>
      <c r="D622" t="s">
        <v>35</v>
      </c>
      <c r="E622" t="s">
        <v>96</v>
      </c>
      <c r="F622" t="s">
        <v>31</v>
      </c>
      <c r="G622" t="s">
        <v>32</v>
      </c>
      <c r="H622">
        <v>87</v>
      </c>
      <c r="I622">
        <v>60</v>
      </c>
      <c r="J622" t="s">
        <v>45</v>
      </c>
      <c r="K622">
        <v>15000</v>
      </c>
      <c r="L622">
        <v>17110</v>
      </c>
      <c r="M622">
        <v>0</v>
      </c>
      <c r="N622" t="s">
        <v>11</v>
      </c>
      <c r="O622" t="s">
        <v>27</v>
      </c>
      <c r="P622" s="1">
        <v>45975</v>
      </c>
      <c r="Q622" s="1">
        <v>46065</v>
      </c>
      <c r="R622" s="2">
        <v>0.35486111111111113</v>
      </c>
      <c r="S622" s="2">
        <v>0.4597222222222222</v>
      </c>
      <c r="T622" t="str" cm="1">
        <f t="array" ref="T622">_xlfn.IFS(H622&gt;=90,"A",H622&gt;=75,"B",H622&gt;=60,"C",H622&lt;60,"D")</f>
        <v>B</v>
      </c>
      <c r="U622" t="str">
        <f t="shared" si="36"/>
        <v>08:31 AM</v>
      </c>
      <c r="V622" t="str">
        <f t="shared" si="37"/>
        <v>On Time</v>
      </c>
      <c r="W622" t="str">
        <f t="shared" si="38"/>
        <v>2 Hours 31 Minutes</v>
      </c>
      <c r="X622" t="str">
        <f t="shared" si="39"/>
        <v>Short Time Login</v>
      </c>
      <c r="AA622" s="34" t="s">
        <v>899</v>
      </c>
      <c r="AB622" s="34" t="s">
        <v>282</v>
      </c>
      <c r="AC622" s="34">
        <v>87</v>
      </c>
      <c r="AD622" s="34">
        <v>60</v>
      </c>
      <c r="AE622" s="34" t="s">
        <v>45</v>
      </c>
      <c r="AF622" s="34">
        <v>0</v>
      </c>
      <c r="AH622" s="34" t="s">
        <v>27</v>
      </c>
    </row>
    <row r="623" spans="1:34">
      <c r="A623" t="s">
        <v>900</v>
      </c>
      <c r="B623" t="s">
        <v>675</v>
      </c>
      <c r="C623">
        <v>23</v>
      </c>
      <c r="D623" t="s">
        <v>35</v>
      </c>
      <c r="E623" t="s">
        <v>22</v>
      </c>
      <c r="F623" t="s">
        <v>63</v>
      </c>
      <c r="G623" t="s">
        <v>64</v>
      </c>
      <c r="H623">
        <v>66</v>
      </c>
      <c r="I623">
        <v>87</v>
      </c>
      <c r="J623" t="s">
        <v>68</v>
      </c>
      <c r="K623">
        <v>20000</v>
      </c>
      <c r="L623">
        <v>18420</v>
      </c>
      <c r="M623">
        <v>4000</v>
      </c>
      <c r="N623" t="s">
        <v>26</v>
      </c>
      <c r="O623" t="s">
        <v>27</v>
      </c>
      <c r="P623" s="1">
        <v>45926</v>
      </c>
      <c r="Q623" s="1">
        <v>46106</v>
      </c>
      <c r="R623" s="2">
        <v>0.35625000000000001</v>
      </c>
      <c r="S623" s="2">
        <v>0.40902777777777777</v>
      </c>
      <c r="T623" t="str" cm="1">
        <f t="array" ref="T623">_xlfn.IFS(H623&gt;=90,"A",H623&gt;=75,"B",H623&gt;=60,"C",H623&lt;60,"D")</f>
        <v>C</v>
      </c>
      <c r="U623" t="str">
        <f t="shared" si="36"/>
        <v>08:33 AM</v>
      </c>
      <c r="V623" t="str">
        <f t="shared" si="37"/>
        <v>Delayed</v>
      </c>
      <c r="W623" t="str">
        <f t="shared" si="38"/>
        <v>1 Hours 16 Minutes</v>
      </c>
      <c r="X623" t="str">
        <f t="shared" si="39"/>
        <v>Short Time Login</v>
      </c>
      <c r="AA623" s="35" t="s">
        <v>900</v>
      </c>
      <c r="AB623" s="35" t="s">
        <v>675</v>
      </c>
      <c r="AC623" s="35">
        <v>66</v>
      </c>
      <c r="AD623" s="35">
        <v>87</v>
      </c>
      <c r="AE623" s="35" t="s">
        <v>68</v>
      </c>
      <c r="AF623" s="35">
        <v>4000</v>
      </c>
      <c r="AH623" s="35" t="s">
        <v>27</v>
      </c>
    </row>
    <row r="624" spans="1:34">
      <c r="A624" t="s">
        <v>901</v>
      </c>
      <c r="B624" t="s">
        <v>471</v>
      </c>
      <c r="C624">
        <v>18</v>
      </c>
      <c r="D624" t="s">
        <v>21</v>
      </c>
      <c r="E624" t="s">
        <v>113</v>
      </c>
      <c r="F624" t="s">
        <v>40</v>
      </c>
      <c r="G624" t="s">
        <v>41</v>
      </c>
      <c r="H624">
        <v>62</v>
      </c>
      <c r="I624">
        <v>71</v>
      </c>
      <c r="J624" t="s">
        <v>68</v>
      </c>
      <c r="K624">
        <v>12000</v>
      </c>
      <c r="L624">
        <v>12390</v>
      </c>
      <c r="M624">
        <v>0</v>
      </c>
      <c r="N624" t="s">
        <v>11</v>
      </c>
      <c r="O624" t="s">
        <v>27</v>
      </c>
      <c r="P624" s="1">
        <v>45882</v>
      </c>
      <c r="Q624" s="1">
        <v>45912</v>
      </c>
      <c r="R624" s="2">
        <v>0.38194444444444442</v>
      </c>
      <c r="S624" s="2">
        <v>0.51458333333333328</v>
      </c>
      <c r="T624" t="str" cm="1">
        <f t="array" ref="T624">_xlfn.IFS(H624&gt;=90,"A",H624&gt;=75,"B",H624&gt;=60,"C",H624&lt;60,"D")</f>
        <v>C</v>
      </c>
      <c r="U624" t="str">
        <f t="shared" si="36"/>
        <v>09:10 AM</v>
      </c>
      <c r="V624" t="str">
        <f t="shared" si="37"/>
        <v>On Time</v>
      </c>
      <c r="W624" t="str">
        <f t="shared" si="38"/>
        <v>3 Hours 11 Minutes</v>
      </c>
      <c r="X624" t="str">
        <f t="shared" si="39"/>
        <v>Short Time Login</v>
      </c>
      <c r="AA624" s="34" t="s">
        <v>901</v>
      </c>
      <c r="AB624" s="34" t="s">
        <v>471</v>
      </c>
      <c r="AC624" s="34">
        <v>62</v>
      </c>
      <c r="AD624" s="34">
        <v>71</v>
      </c>
      <c r="AE624" s="34" t="s">
        <v>68</v>
      </c>
      <c r="AF624" s="34">
        <v>0</v>
      </c>
      <c r="AH624" s="34" t="s">
        <v>27</v>
      </c>
    </row>
    <row r="625" spans="1:34">
      <c r="A625" t="s">
        <v>902</v>
      </c>
      <c r="B625" t="s">
        <v>75</v>
      </c>
      <c r="C625">
        <v>25</v>
      </c>
      <c r="D625" t="s">
        <v>35</v>
      </c>
      <c r="E625" t="s">
        <v>96</v>
      </c>
      <c r="F625" t="s">
        <v>53</v>
      </c>
      <c r="G625" t="s">
        <v>54</v>
      </c>
      <c r="H625">
        <v>57</v>
      </c>
      <c r="I625">
        <v>93</v>
      </c>
      <c r="J625" t="s">
        <v>25</v>
      </c>
      <c r="K625">
        <v>20000</v>
      </c>
      <c r="L625">
        <v>17830</v>
      </c>
      <c r="M625">
        <v>4000</v>
      </c>
      <c r="N625" t="s">
        <v>26</v>
      </c>
      <c r="O625" t="s">
        <v>27</v>
      </c>
      <c r="P625" s="1">
        <v>45823</v>
      </c>
      <c r="Q625" s="1">
        <v>45913</v>
      </c>
      <c r="R625" s="2">
        <v>0.39305555555555555</v>
      </c>
      <c r="S625" s="2">
        <v>0.46736111111111112</v>
      </c>
      <c r="T625" t="str" cm="1">
        <f t="array" ref="T625">_xlfn.IFS(H625&gt;=90,"A",H625&gt;=75,"B",H625&gt;=60,"C",H625&lt;60,"D")</f>
        <v>D</v>
      </c>
      <c r="U625" t="str">
        <f t="shared" si="36"/>
        <v>09:26 AM</v>
      </c>
      <c r="V625" t="str">
        <f t="shared" si="37"/>
        <v>On Time</v>
      </c>
      <c r="W625" t="str">
        <f t="shared" si="38"/>
        <v>1 Hours 47 Minutes</v>
      </c>
      <c r="X625" t="str">
        <f t="shared" si="39"/>
        <v>Short Time Login</v>
      </c>
      <c r="AA625" s="35" t="s">
        <v>902</v>
      </c>
      <c r="AB625" s="35" t="s">
        <v>75</v>
      </c>
      <c r="AC625" s="35">
        <v>57</v>
      </c>
      <c r="AD625" s="35">
        <v>93</v>
      </c>
      <c r="AE625" s="35" t="s">
        <v>25</v>
      </c>
      <c r="AF625" s="35">
        <v>4000</v>
      </c>
      <c r="AH625" s="35" t="s">
        <v>27</v>
      </c>
    </row>
    <row r="626" spans="1:34">
      <c r="A626" t="s">
        <v>903</v>
      </c>
      <c r="B626" t="s">
        <v>457</v>
      </c>
      <c r="C626">
        <v>18</v>
      </c>
      <c r="D626" t="s">
        <v>35</v>
      </c>
      <c r="E626" t="s">
        <v>44</v>
      </c>
      <c r="F626" t="s">
        <v>23</v>
      </c>
      <c r="G626" t="s">
        <v>24</v>
      </c>
      <c r="H626">
        <v>43</v>
      </c>
      <c r="I626">
        <v>65</v>
      </c>
      <c r="J626" t="s">
        <v>25</v>
      </c>
      <c r="K626">
        <v>18000</v>
      </c>
      <c r="L626">
        <v>18650</v>
      </c>
      <c r="M626">
        <v>2000</v>
      </c>
      <c r="N626" t="s">
        <v>26</v>
      </c>
      <c r="O626" t="s">
        <v>27</v>
      </c>
      <c r="P626" s="1">
        <v>45861</v>
      </c>
      <c r="Q626" s="1">
        <v>45981</v>
      </c>
      <c r="R626" s="2">
        <v>0.37222222222222223</v>
      </c>
      <c r="S626" s="2">
        <v>0.53888888888888886</v>
      </c>
      <c r="T626" t="str" cm="1">
        <f t="array" ref="T626">_xlfn.IFS(H626&gt;=90,"A",H626&gt;=75,"B",H626&gt;=60,"C",H626&lt;60,"D")</f>
        <v>D</v>
      </c>
      <c r="U626" t="str">
        <f t="shared" si="36"/>
        <v>08:56 AM</v>
      </c>
      <c r="V626" t="str">
        <f t="shared" si="37"/>
        <v>Delayed</v>
      </c>
      <c r="W626" t="str">
        <f t="shared" si="38"/>
        <v>4 Hours 0 Minutes</v>
      </c>
      <c r="X626" t="str">
        <f t="shared" si="39"/>
        <v>Short Time Login</v>
      </c>
      <c r="AA626" s="34" t="s">
        <v>903</v>
      </c>
      <c r="AB626" s="34" t="s">
        <v>457</v>
      </c>
      <c r="AC626" s="34">
        <v>43</v>
      </c>
      <c r="AD626" s="34">
        <v>65</v>
      </c>
      <c r="AE626" s="34" t="s">
        <v>25</v>
      </c>
      <c r="AF626" s="34">
        <v>2000</v>
      </c>
      <c r="AH626" s="34" t="s">
        <v>27</v>
      </c>
    </row>
    <row r="627" spans="1:34">
      <c r="A627" t="s">
        <v>904</v>
      </c>
      <c r="B627" t="s">
        <v>334</v>
      </c>
      <c r="C627">
        <v>21</v>
      </c>
      <c r="D627" t="s">
        <v>35</v>
      </c>
      <c r="E627" t="s">
        <v>39</v>
      </c>
      <c r="F627" t="s">
        <v>49</v>
      </c>
      <c r="G627" t="s">
        <v>50</v>
      </c>
      <c r="H627">
        <v>53</v>
      </c>
      <c r="I627">
        <v>87</v>
      </c>
      <c r="J627" t="s">
        <v>25</v>
      </c>
      <c r="K627">
        <v>12000</v>
      </c>
      <c r="L627">
        <v>8390</v>
      </c>
      <c r="M627">
        <v>4000</v>
      </c>
      <c r="N627" t="s">
        <v>26</v>
      </c>
      <c r="O627" t="s">
        <v>27</v>
      </c>
      <c r="P627" s="1">
        <v>45894</v>
      </c>
      <c r="Q627" s="1">
        <v>46014</v>
      </c>
      <c r="R627" s="2">
        <v>0.36736111111111114</v>
      </c>
      <c r="S627" s="2">
        <v>0.48958333333333331</v>
      </c>
      <c r="T627" t="str" cm="1">
        <f t="array" ref="T627">_xlfn.IFS(H627&gt;=90,"A",H627&gt;=75,"B",H627&gt;=60,"C",H627&lt;60,"D")</f>
        <v>D</v>
      </c>
      <c r="U627" t="str">
        <f t="shared" si="36"/>
        <v>08:49 AM</v>
      </c>
      <c r="V627" t="str">
        <f t="shared" si="37"/>
        <v>Delayed</v>
      </c>
      <c r="W627" t="str">
        <f t="shared" si="38"/>
        <v>2 Hours 56 Minutes</v>
      </c>
      <c r="X627" t="str">
        <f t="shared" si="39"/>
        <v>Short Time Login</v>
      </c>
      <c r="AA627" s="35" t="s">
        <v>904</v>
      </c>
      <c r="AB627" s="35" t="s">
        <v>334</v>
      </c>
      <c r="AC627" s="35">
        <v>53</v>
      </c>
      <c r="AD627" s="35">
        <v>87</v>
      </c>
      <c r="AE627" s="35" t="s">
        <v>25</v>
      </c>
      <c r="AF627" s="35">
        <v>4000</v>
      </c>
      <c r="AH627" s="35" t="s">
        <v>27</v>
      </c>
    </row>
    <row r="628" spans="1:34">
      <c r="A628" t="s">
        <v>905</v>
      </c>
      <c r="B628" t="s">
        <v>449</v>
      </c>
      <c r="C628">
        <v>25</v>
      </c>
      <c r="D628" t="s">
        <v>35</v>
      </c>
      <c r="E628" t="s">
        <v>36</v>
      </c>
      <c r="F628" t="s">
        <v>53</v>
      </c>
      <c r="G628" t="s">
        <v>54</v>
      </c>
      <c r="H628">
        <v>72</v>
      </c>
      <c r="I628">
        <v>75</v>
      </c>
      <c r="J628" t="s">
        <v>68</v>
      </c>
      <c r="K628">
        <v>20000</v>
      </c>
      <c r="L628">
        <v>17830</v>
      </c>
      <c r="M628">
        <v>4000</v>
      </c>
      <c r="N628" t="s">
        <v>26</v>
      </c>
      <c r="O628" t="s">
        <v>27</v>
      </c>
      <c r="P628" s="1">
        <v>45717</v>
      </c>
      <c r="Q628" s="1">
        <v>45807</v>
      </c>
      <c r="R628" s="2">
        <v>0.41458333333333336</v>
      </c>
      <c r="S628" s="2">
        <v>0.54236111111111107</v>
      </c>
      <c r="T628" t="str" cm="1">
        <f t="array" ref="T628">_xlfn.IFS(H628&gt;=90,"A",H628&gt;=75,"B",H628&gt;=60,"C",H628&lt;60,"D")</f>
        <v>C</v>
      </c>
      <c r="U628" t="str">
        <f t="shared" si="36"/>
        <v>09:57 AM</v>
      </c>
      <c r="V628" t="str">
        <f t="shared" si="37"/>
        <v>On Time</v>
      </c>
      <c r="W628" t="str">
        <f t="shared" si="38"/>
        <v>3 Hours 4 Minutes</v>
      </c>
      <c r="X628" t="str">
        <f t="shared" si="39"/>
        <v>Short Time Login</v>
      </c>
      <c r="AA628" s="34" t="s">
        <v>905</v>
      </c>
      <c r="AB628" s="34" t="s">
        <v>449</v>
      </c>
      <c r="AC628" s="34">
        <v>72</v>
      </c>
      <c r="AD628" s="34">
        <v>75</v>
      </c>
      <c r="AE628" s="34" t="s">
        <v>68</v>
      </c>
      <c r="AF628" s="34">
        <v>4000</v>
      </c>
      <c r="AH628" s="34" t="s">
        <v>27</v>
      </c>
    </row>
    <row r="629" spans="1:34">
      <c r="A629" t="s">
        <v>906</v>
      </c>
      <c r="B629" t="s">
        <v>907</v>
      </c>
      <c r="C629">
        <v>19</v>
      </c>
      <c r="D629" t="s">
        <v>35</v>
      </c>
      <c r="E629" t="s">
        <v>62</v>
      </c>
      <c r="F629" t="s">
        <v>40</v>
      </c>
      <c r="G629" t="s">
        <v>41</v>
      </c>
      <c r="H629">
        <v>37</v>
      </c>
      <c r="I629">
        <v>86</v>
      </c>
      <c r="J629" t="s">
        <v>25</v>
      </c>
      <c r="K629">
        <v>12000</v>
      </c>
      <c r="L629">
        <v>12980</v>
      </c>
      <c r="M629">
        <v>0</v>
      </c>
      <c r="N629" t="s">
        <v>11</v>
      </c>
      <c r="O629" t="s">
        <v>27</v>
      </c>
      <c r="P629" s="1">
        <v>45747</v>
      </c>
      <c r="Q629" s="1">
        <v>45927</v>
      </c>
      <c r="R629" s="2">
        <v>0.42083333333333334</v>
      </c>
      <c r="S629" s="2">
        <v>0.61527777777777781</v>
      </c>
      <c r="T629" t="str" cm="1">
        <f t="array" ref="T629">_xlfn.IFS(H629&gt;=90,"A",H629&gt;=75,"B",H629&gt;=60,"C",H629&lt;60,"D")</f>
        <v>D</v>
      </c>
      <c r="U629" t="str">
        <f t="shared" si="36"/>
        <v>10:06 AM</v>
      </c>
      <c r="V629" t="str">
        <f t="shared" si="37"/>
        <v>Delayed</v>
      </c>
      <c r="W629" t="str">
        <f t="shared" si="38"/>
        <v>4 Hours 40 Minutes</v>
      </c>
      <c r="X629" t="str">
        <f t="shared" si="39"/>
        <v>Long Time Login</v>
      </c>
      <c r="AA629" s="35" t="s">
        <v>906</v>
      </c>
      <c r="AB629" s="35" t="s">
        <v>907</v>
      </c>
      <c r="AC629" s="35">
        <v>37</v>
      </c>
      <c r="AD629" s="35">
        <v>86</v>
      </c>
      <c r="AE629" s="35" t="s">
        <v>25</v>
      </c>
      <c r="AF629" s="35">
        <v>0</v>
      </c>
      <c r="AH629" s="35" t="s">
        <v>27</v>
      </c>
    </row>
    <row r="630" spans="1:34">
      <c r="A630" t="s">
        <v>908</v>
      </c>
      <c r="B630" t="s">
        <v>270</v>
      </c>
      <c r="C630">
        <v>19</v>
      </c>
      <c r="D630" t="s">
        <v>21</v>
      </c>
      <c r="E630" t="s">
        <v>30</v>
      </c>
      <c r="F630" t="s">
        <v>49</v>
      </c>
      <c r="G630" t="s">
        <v>50</v>
      </c>
      <c r="H630">
        <v>88</v>
      </c>
      <c r="I630">
        <v>66</v>
      </c>
      <c r="J630" t="s">
        <v>45</v>
      </c>
      <c r="K630">
        <v>15000</v>
      </c>
      <c r="L630">
        <v>16520</v>
      </c>
      <c r="M630">
        <v>0</v>
      </c>
      <c r="N630" t="s">
        <v>11</v>
      </c>
      <c r="O630" t="s">
        <v>27</v>
      </c>
      <c r="P630" s="1">
        <v>45922</v>
      </c>
      <c r="Q630" s="1">
        <v>46102</v>
      </c>
      <c r="R630" s="2">
        <v>0.33541666666666664</v>
      </c>
      <c r="S630" s="2">
        <v>0.45416666666666666</v>
      </c>
      <c r="T630" t="str" cm="1">
        <f t="array" ref="T630">_xlfn.IFS(H630&gt;=90,"A",H630&gt;=75,"B",H630&gt;=60,"C",H630&lt;60,"D")</f>
        <v>B</v>
      </c>
      <c r="U630" t="str">
        <f t="shared" si="36"/>
        <v>08:03 AM</v>
      </c>
      <c r="V630" t="str">
        <f t="shared" si="37"/>
        <v>Delayed</v>
      </c>
      <c r="W630" t="str">
        <f t="shared" si="38"/>
        <v>2 Hours 51 Minutes</v>
      </c>
      <c r="X630" t="str">
        <f t="shared" si="39"/>
        <v>Short Time Login</v>
      </c>
      <c r="AA630" s="34" t="s">
        <v>908</v>
      </c>
      <c r="AB630" s="34" t="s">
        <v>270</v>
      </c>
      <c r="AC630" s="34">
        <v>88</v>
      </c>
      <c r="AD630" s="34">
        <v>66</v>
      </c>
      <c r="AE630" s="34" t="s">
        <v>45</v>
      </c>
      <c r="AF630" s="34">
        <v>0</v>
      </c>
      <c r="AH630" s="34" t="s">
        <v>27</v>
      </c>
    </row>
    <row r="631" spans="1:34">
      <c r="A631" t="s">
        <v>909</v>
      </c>
      <c r="B631" t="s">
        <v>220</v>
      </c>
      <c r="C631">
        <v>20</v>
      </c>
      <c r="D631" t="s">
        <v>35</v>
      </c>
      <c r="E631" t="s">
        <v>62</v>
      </c>
      <c r="F631" t="s">
        <v>57</v>
      </c>
      <c r="G631" t="s">
        <v>58</v>
      </c>
      <c r="H631">
        <v>43</v>
      </c>
      <c r="I631">
        <v>97</v>
      </c>
      <c r="J631" t="s">
        <v>25</v>
      </c>
      <c r="K631">
        <v>18000</v>
      </c>
      <c r="L631">
        <v>16650</v>
      </c>
      <c r="M631">
        <v>4000</v>
      </c>
      <c r="N631" t="s">
        <v>26</v>
      </c>
      <c r="O631" t="s">
        <v>27</v>
      </c>
      <c r="P631" s="1">
        <v>45835</v>
      </c>
      <c r="Q631" s="1">
        <v>45955</v>
      </c>
      <c r="R631" s="2">
        <v>0.39444444444444443</v>
      </c>
      <c r="S631" s="2">
        <v>0.48402777777777778</v>
      </c>
      <c r="T631" t="str" cm="1">
        <f t="array" ref="T631">_xlfn.IFS(H631&gt;=90,"A",H631&gt;=75,"B",H631&gt;=60,"C",H631&lt;60,"D")</f>
        <v>D</v>
      </c>
      <c r="U631" t="str">
        <f t="shared" si="36"/>
        <v>09:28 AM</v>
      </c>
      <c r="V631" t="str">
        <f t="shared" si="37"/>
        <v>Delayed</v>
      </c>
      <c r="W631" t="str">
        <f t="shared" si="38"/>
        <v>2 Hours 9 Minutes</v>
      </c>
      <c r="X631" t="str">
        <f t="shared" si="39"/>
        <v>Short Time Login</v>
      </c>
      <c r="AA631" s="35" t="s">
        <v>909</v>
      </c>
      <c r="AB631" s="35" t="s">
        <v>220</v>
      </c>
      <c r="AC631" s="35">
        <v>43</v>
      </c>
      <c r="AD631" s="35">
        <v>97</v>
      </c>
      <c r="AE631" s="35" t="s">
        <v>25</v>
      </c>
      <c r="AF631" s="35">
        <v>4000</v>
      </c>
      <c r="AH631" s="35" t="s">
        <v>27</v>
      </c>
    </row>
    <row r="632" spans="1:34">
      <c r="A632" t="s">
        <v>910</v>
      </c>
      <c r="B632" t="s">
        <v>678</v>
      </c>
      <c r="C632">
        <v>25</v>
      </c>
      <c r="D632" t="s">
        <v>35</v>
      </c>
      <c r="E632" t="s">
        <v>96</v>
      </c>
      <c r="F632" t="s">
        <v>31</v>
      </c>
      <c r="G632" t="s">
        <v>32</v>
      </c>
      <c r="H632">
        <v>84</v>
      </c>
      <c r="I632">
        <v>97</v>
      </c>
      <c r="J632" t="s">
        <v>45</v>
      </c>
      <c r="K632">
        <v>20000</v>
      </c>
      <c r="L632">
        <v>19010</v>
      </c>
      <c r="M632">
        <v>4000</v>
      </c>
      <c r="N632" t="s">
        <v>26</v>
      </c>
      <c r="O632" t="s">
        <v>27</v>
      </c>
      <c r="P632" s="1">
        <v>45996</v>
      </c>
      <c r="Q632" s="1">
        <v>46116</v>
      </c>
      <c r="R632" s="2">
        <v>0.43333333333333335</v>
      </c>
      <c r="S632" s="2">
        <v>0.53749999999999998</v>
      </c>
      <c r="T632" t="str" cm="1">
        <f t="array" ref="T632">_xlfn.IFS(H632&gt;=90,"A",H632&gt;=75,"B",H632&gt;=60,"C",H632&lt;60,"D")</f>
        <v>B</v>
      </c>
      <c r="U632" t="str">
        <f t="shared" si="36"/>
        <v>10:24 AM</v>
      </c>
      <c r="V632" t="str">
        <f t="shared" si="37"/>
        <v>Delayed</v>
      </c>
      <c r="W632" t="str">
        <f t="shared" si="38"/>
        <v>2 Hours 30 Minutes</v>
      </c>
      <c r="X632" t="str">
        <f t="shared" si="39"/>
        <v>Long Time Login</v>
      </c>
      <c r="AA632" s="34" t="s">
        <v>910</v>
      </c>
      <c r="AB632" s="34" t="s">
        <v>678</v>
      </c>
      <c r="AC632" s="34">
        <v>84</v>
      </c>
      <c r="AD632" s="34">
        <v>97</v>
      </c>
      <c r="AE632" s="34" t="s">
        <v>45</v>
      </c>
      <c r="AF632" s="34">
        <v>4000</v>
      </c>
      <c r="AH632" s="34" t="s">
        <v>27</v>
      </c>
    </row>
    <row r="633" spans="1:34">
      <c r="A633" t="s">
        <v>911</v>
      </c>
      <c r="B633" t="s">
        <v>217</v>
      </c>
      <c r="C633">
        <v>19</v>
      </c>
      <c r="D633" t="s">
        <v>21</v>
      </c>
      <c r="E633" t="s">
        <v>62</v>
      </c>
      <c r="F633" t="s">
        <v>57</v>
      </c>
      <c r="G633" t="s">
        <v>58</v>
      </c>
      <c r="H633">
        <v>100</v>
      </c>
      <c r="I633">
        <v>63</v>
      </c>
      <c r="J633" t="s">
        <v>59</v>
      </c>
      <c r="K633">
        <v>12000</v>
      </c>
      <c r="L633">
        <v>14160</v>
      </c>
      <c r="M633">
        <v>0</v>
      </c>
      <c r="N633" t="s">
        <v>11</v>
      </c>
      <c r="O633" t="s">
        <v>27</v>
      </c>
      <c r="P633" s="1">
        <v>45696</v>
      </c>
      <c r="Q633" s="1">
        <v>45876</v>
      </c>
      <c r="R633" s="2">
        <v>0.4548611111111111</v>
      </c>
      <c r="S633" s="2">
        <v>0.52986111111111112</v>
      </c>
      <c r="T633" t="str" cm="1">
        <f t="array" ref="T633">_xlfn.IFS(H633&gt;=90,"A",H633&gt;=75,"B",H633&gt;=60,"C",H633&lt;60,"D")</f>
        <v>A</v>
      </c>
      <c r="U633" t="str">
        <f t="shared" si="36"/>
        <v>10:55 AM</v>
      </c>
      <c r="V633" t="str">
        <f t="shared" si="37"/>
        <v>Delayed</v>
      </c>
      <c r="W633" t="str">
        <f t="shared" si="38"/>
        <v>1 Hours 48 Minutes</v>
      </c>
      <c r="X633" t="str">
        <f t="shared" si="39"/>
        <v>Long Time Login</v>
      </c>
      <c r="AA633" s="35" t="s">
        <v>911</v>
      </c>
      <c r="AB633" s="35" t="s">
        <v>217</v>
      </c>
      <c r="AC633" s="35">
        <v>100</v>
      </c>
      <c r="AD633" s="35">
        <v>63</v>
      </c>
      <c r="AE633" s="35" t="s">
        <v>59</v>
      </c>
      <c r="AF633" s="35">
        <v>0</v>
      </c>
      <c r="AH633" s="35" t="s">
        <v>27</v>
      </c>
    </row>
    <row r="634" spans="1:34">
      <c r="A634" t="s">
        <v>912</v>
      </c>
      <c r="B634" t="s">
        <v>160</v>
      </c>
      <c r="C634">
        <v>28</v>
      </c>
      <c r="D634" t="s">
        <v>21</v>
      </c>
      <c r="E634" t="s">
        <v>122</v>
      </c>
      <c r="F634" t="s">
        <v>23</v>
      </c>
      <c r="G634" t="s">
        <v>24</v>
      </c>
      <c r="H634">
        <v>100</v>
      </c>
      <c r="I634">
        <v>60</v>
      </c>
      <c r="J634" t="s">
        <v>59</v>
      </c>
      <c r="K634">
        <v>10000</v>
      </c>
      <c r="L634">
        <v>10030</v>
      </c>
      <c r="M634">
        <v>0</v>
      </c>
      <c r="N634" t="s">
        <v>11</v>
      </c>
      <c r="O634" t="s">
        <v>127</v>
      </c>
      <c r="P634" s="1">
        <v>45936</v>
      </c>
      <c r="Q634" s="1">
        <v>46056</v>
      </c>
      <c r="R634" s="2">
        <v>0.4465277777777778</v>
      </c>
      <c r="S634" s="2">
        <v>0.56388888888888888</v>
      </c>
      <c r="T634" t="str" cm="1">
        <f t="array" ref="T634">_xlfn.IFS(H634&gt;=90,"A",H634&gt;=75,"B",H634&gt;=60,"C",H634&lt;60,"D")</f>
        <v>A</v>
      </c>
      <c r="U634" t="str">
        <f t="shared" si="36"/>
        <v>10:43 AM</v>
      </c>
      <c r="V634" t="str">
        <f t="shared" si="37"/>
        <v>Delayed</v>
      </c>
      <c r="W634" t="str">
        <f t="shared" si="38"/>
        <v>2 Hours 49 Minutes</v>
      </c>
      <c r="X634" t="str">
        <f t="shared" si="39"/>
        <v>Long Time Login</v>
      </c>
      <c r="AA634" s="34" t="s">
        <v>912</v>
      </c>
      <c r="AB634" s="34" t="s">
        <v>160</v>
      </c>
      <c r="AC634" s="34">
        <v>100</v>
      </c>
      <c r="AD634" s="34">
        <v>60</v>
      </c>
      <c r="AE634" s="34" t="s">
        <v>59</v>
      </c>
      <c r="AF634" s="34">
        <v>0</v>
      </c>
      <c r="AH634" s="34" t="s">
        <v>127</v>
      </c>
    </row>
    <row r="635" spans="1:34">
      <c r="A635" t="s">
        <v>913</v>
      </c>
      <c r="B635" t="s">
        <v>914</v>
      </c>
      <c r="C635">
        <v>26</v>
      </c>
      <c r="D635" t="s">
        <v>21</v>
      </c>
      <c r="E635" t="s">
        <v>48</v>
      </c>
      <c r="F635" t="s">
        <v>57</v>
      </c>
      <c r="G635" t="s">
        <v>58</v>
      </c>
      <c r="H635">
        <v>97</v>
      </c>
      <c r="I635">
        <v>81</v>
      </c>
      <c r="J635" t="s">
        <v>59</v>
      </c>
      <c r="K635">
        <v>20000</v>
      </c>
      <c r="L635">
        <v>21010</v>
      </c>
      <c r="M635">
        <v>2000</v>
      </c>
      <c r="N635" t="s">
        <v>26</v>
      </c>
      <c r="O635" t="s">
        <v>27</v>
      </c>
      <c r="P635" s="1">
        <v>45869</v>
      </c>
      <c r="Q635" s="1">
        <v>45989</v>
      </c>
      <c r="R635" s="2">
        <v>0.45694444444444443</v>
      </c>
      <c r="S635" s="2">
        <v>0.61041666666666672</v>
      </c>
      <c r="T635" t="str" cm="1">
        <f t="array" ref="T635">_xlfn.IFS(H635&gt;=90,"A",H635&gt;=75,"B",H635&gt;=60,"C",H635&lt;60,"D")</f>
        <v>A</v>
      </c>
      <c r="U635" t="str">
        <f t="shared" si="36"/>
        <v>10:58 AM</v>
      </c>
      <c r="V635" t="str">
        <f t="shared" si="37"/>
        <v>Delayed</v>
      </c>
      <c r="W635" t="str">
        <f t="shared" si="38"/>
        <v>3 Hours 41 Minutes</v>
      </c>
      <c r="X635" t="str">
        <f t="shared" si="39"/>
        <v>Long Time Login</v>
      </c>
      <c r="AA635" s="35" t="s">
        <v>913</v>
      </c>
      <c r="AB635" s="35" t="s">
        <v>914</v>
      </c>
      <c r="AC635" s="35">
        <v>97</v>
      </c>
      <c r="AD635" s="35">
        <v>81</v>
      </c>
      <c r="AE635" s="35" t="s">
        <v>59</v>
      </c>
      <c r="AF635" s="35">
        <v>2000</v>
      </c>
      <c r="AH635" s="35" t="s">
        <v>27</v>
      </c>
    </row>
    <row r="636" spans="1:34">
      <c r="A636" t="s">
        <v>915</v>
      </c>
      <c r="B636" t="s">
        <v>234</v>
      </c>
      <c r="C636">
        <v>20</v>
      </c>
      <c r="D636" t="s">
        <v>21</v>
      </c>
      <c r="E636" t="s">
        <v>73</v>
      </c>
      <c r="F636" t="s">
        <v>88</v>
      </c>
      <c r="G636" t="s">
        <v>89</v>
      </c>
      <c r="H636">
        <v>88</v>
      </c>
      <c r="I636">
        <v>76</v>
      </c>
      <c r="J636" t="s">
        <v>45</v>
      </c>
      <c r="K636">
        <v>20000</v>
      </c>
      <c r="L636">
        <v>18420</v>
      </c>
      <c r="M636">
        <v>4000</v>
      </c>
      <c r="N636" t="s">
        <v>26</v>
      </c>
      <c r="O636" t="s">
        <v>27</v>
      </c>
      <c r="P636" s="1">
        <v>45980</v>
      </c>
      <c r="Q636" s="1">
        <v>46070</v>
      </c>
      <c r="R636" s="2">
        <v>0.41666666666666669</v>
      </c>
      <c r="S636" s="2">
        <v>0.60347222222222219</v>
      </c>
      <c r="T636" t="str" cm="1">
        <f t="array" ref="T636">_xlfn.IFS(H636&gt;=90,"A",H636&gt;=75,"B",H636&gt;=60,"C",H636&lt;60,"D")</f>
        <v>B</v>
      </c>
      <c r="U636" t="str">
        <f t="shared" si="36"/>
        <v>10:00 AM</v>
      </c>
      <c r="V636" t="str">
        <f t="shared" si="37"/>
        <v>On Time</v>
      </c>
      <c r="W636" t="str">
        <f t="shared" si="38"/>
        <v>4 Hours 29 Minutes</v>
      </c>
      <c r="X636" t="str">
        <f t="shared" si="39"/>
        <v>Short Time Login</v>
      </c>
      <c r="AA636" s="34" t="s">
        <v>915</v>
      </c>
      <c r="AB636" s="34" t="s">
        <v>234</v>
      </c>
      <c r="AC636" s="34">
        <v>88</v>
      </c>
      <c r="AD636" s="34">
        <v>76</v>
      </c>
      <c r="AE636" s="34" t="s">
        <v>45</v>
      </c>
      <c r="AF636" s="34">
        <v>4000</v>
      </c>
      <c r="AH636" s="34" t="s">
        <v>27</v>
      </c>
    </row>
    <row r="637" spans="1:34">
      <c r="A637" t="s">
        <v>916</v>
      </c>
      <c r="B637" t="s">
        <v>575</v>
      </c>
      <c r="C637">
        <v>21</v>
      </c>
      <c r="D637" t="s">
        <v>35</v>
      </c>
      <c r="E637" t="s">
        <v>67</v>
      </c>
      <c r="F637" t="s">
        <v>63</v>
      </c>
      <c r="G637" t="s">
        <v>64</v>
      </c>
      <c r="H637">
        <v>92</v>
      </c>
      <c r="I637">
        <v>60</v>
      </c>
      <c r="J637" t="s">
        <v>59</v>
      </c>
      <c r="K637">
        <v>12000</v>
      </c>
      <c r="L637">
        <v>8390</v>
      </c>
      <c r="M637">
        <v>4000</v>
      </c>
      <c r="N637" t="s">
        <v>26</v>
      </c>
      <c r="O637" t="s">
        <v>27</v>
      </c>
      <c r="P637" s="1">
        <v>45872</v>
      </c>
      <c r="Q637" s="1">
        <v>45992</v>
      </c>
      <c r="R637" s="2">
        <v>0.3347222222222222</v>
      </c>
      <c r="S637" s="2">
        <v>0.47013888888888888</v>
      </c>
      <c r="T637" t="str" cm="1">
        <f t="array" ref="T637">_xlfn.IFS(H637&gt;=90,"A",H637&gt;=75,"B",H637&gt;=60,"C",H637&lt;60,"D")</f>
        <v>A</v>
      </c>
      <c r="U637" t="str">
        <f t="shared" si="36"/>
        <v>08:02 AM</v>
      </c>
      <c r="V637" t="str">
        <f t="shared" si="37"/>
        <v>Delayed</v>
      </c>
      <c r="W637" t="str">
        <f t="shared" si="38"/>
        <v>3 Hours 15 Minutes</v>
      </c>
      <c r="X637" t="str">
        <f t="shared" si="39"/>
        <v>Short Time Login</v>
      </c>
      <c r="AA637" s="35" t="s">
        <v>916</v>
      </c>
      <c r="AB637" s="35" t="s">
        <v>575</v>
      </c>
      <c r="AC637" s="35">
        <v>92</v>
      </c>
      <c r="AD637" s="35">
        <v>60</v>
      </c>
      <c r="AE637" s="35" t="s">
        <v>59</v>
      </c>
      <c r="AF637" s="35">
        <v>4000</v>
      </c>
      <c r="AH637" s="35" t="s">
        <v>27</v>
      </c>
    </row>
    <row r="638" spans="1:34">
      <c r="A638" t="s">
        <v>917</v>
      </c>
      <c r="B638" t="s">
        <v>106</v>
      </c>
      <c r="C638">
        <v>25</v>
      </c>
      <c r="D638" t="s">
        <v>35</v>
      </c>
      <c r="E638" t="s">
        <v>36</v>
      </c>
      <c r="F638" t="s">
        <v>53</v>
      </c>
      <c r="G638" t="s">
        <v>54</v>
      </c>
      <c r="H638">
        <v>53</v>
      </c>
      <c r="I638">
        <v>78</v>
      </c>
      <c r="J638" t="s">
        <v>25</v>
      </c>
      <c r="K638">
        <v>15000</v>
      </c>
      <c r="L638">
        <v>17700</v>
      </c>
      <c r="M638">
        <v>0</v>
      </c>
      <c r="N638" t="s">
        <v>11</v>
      </c>
      <c r="O638" t="s">
        <v>27</v>
      </c>
      <c r="P638" s="1">
        <v>45957</v>
      </c>
      <c r="Q638" s="1">
        <v>46137</v>
      </c>
      <c r="R638" s="2">
        <v>0.4201388888888889</v>
      </c>
      <c r="S638" s="2">
        <v>0.52013888888888893</v>
      </c>
      <c r="T638" t="str" cm="1">
        <f t="array" ref="T638">_xlfn.IFS(H638&gt;=90,"A",H638&gt;=75,"B",H638&gt;=60,"C",H638&lt;60,"D")</f>
        <v>D</v>
      </c>
      <c r="U638" t="str">
        <f t="shared" si="36"/>
        <v>10:05 AM</v>
      </c>
      <c r="V638" t="str">
        <f t="shared" si="37"/>
        <v>Delayed</v>
      </c>
      <c r="W638" t="str">
        <f t="shared" si="38"/>
        <v>2 Hours 24 Minutes</v>
      </c>
      <c r="X638" t="str">
        <f t="shared" si="39"/>
        <v>Long Time Login</v>
      </c>
      <c r="AA638" s="34" t="s">
        <v>917</v>
      </c>
      <c r="AB638" s="34" t="s">
        <v>106</v>
      </c>
      <c r="AC638" s="34">
        <v>53</v>
      </c>
      <c r="AD638" s="34">
        <v>78</v>
      </c>
      <c r="AE638" s="34" t="s">
        <v>25</v>
      </c>
      <c r="AF638" s="34">
        <v>0</v>
      </c>
      <c r="AH638" s="34" t="s">
        <v>27</v>
      </c>
    </row>
    <row r="639" spans="1:34">
      <c r="A639" t="s">
        <v>918</v>
      </c>
      <c r="B639" t="s">
        <v>165</v>
      </c>
      <c r="C639">
        <v>27</v>
      </c>
      <c r="D639" t="s">
        <v>21</v>
      </c>
      <c r="E639" t="s">
        <v>30</v>
      </c>
      <c r="F639" t="s">
        <v>57</v>
      </c>
      <c r="G639" t="s">
        <v>58</v>
      </c>
      <c r="H639">
        <v>74</v>
      </c>
      <c r="I639">
        <v>60</v>
      </c>
      <c r="J639" t="s">
        <v>68</v>
      </c>
      <c r="K639">
        <v>18000</v>
      </c>
      <c r="L639">
        <v>20060</v>
      </c>
      <c r="M639">
        <v>0</v>
      </c>
      <c r="N639" t="s">
        <v>11</v>
      </c>
      <c r="O639" t="s">
        <v>27</v>
      </c>
      <c r="P639" s="1">
        <v>45781</v>
      </c>
      <c r="Q639" s="1">
        <v>45871</v>
      </c>
      <c r="R639" s="2">
        <v>0.37916666666666665</v>
      </c>
      <c r="S639" s="2">
        <v>0.47499999999999998</v>
      </c>
      <c r="T639" t="str" cm="1">
        <f t="array" ref="T639">_xlfn.IFS(H639&gt;=90,"A",H639&gt;=75,"B",H639&gt;=60,"C",H639&lt;60,"D")</f>
        <v>C</v>
      </c>
      <c r="U639" t="str">
        <f t="shared" si="36"/>
        <v>09:06 AM</v>
      </c>
      <c r="V639" t="str">
        <f t="shared" si="37"/>
        <v>On Time</v>
      </c>
      <c r="W639" t="str">
        <f t="shared" si="38"/>
        <v>2 Hours 18 Minutes</v>
      </c>
      <c r="X639" t="str">
        <f t="shared" si="39"/>
        <v>Short Time Login</v>
      </c>
      <c r="AA639" s="35" t="s">
        <v>918</v>
      </c>
      <c r="AB639" s="35" t="s">
        <v>165</v>
      </c>
      <c r="AC639" s="35">
        <v>74</v>
      </c>
      <c r="AD639" s="35">
        <v>60</v>
      </c>
      <c r="AE639" s="35" t="s">
        <v>68</v>
      </c>
      <c r="AF639" s="35">
        <v>0</v>
      </c>
      <c r="AH639" s="35" t="s">
        <v>27</v>
      </c>
    </row>
    <row r="640" spans="1:34">
      <c r="A640" t="s">
        <v>919</v>
      </c>
      <c r="B640" t="s">
        <v>428</v>
      </c>
      <c r="C640">
        <v>25</v>
      </c>
      <c r="D640" t="s">
        <v>21</v>
      </c>
      <c r="E640" t="s">
        <v>48</v>
      </c>
      <c r="F640" t="s">
        <v>49</v>
      </c>
      <c r="G640" t="s">
        <v>50</v>
      </c>
      <c r="H640">
        <v>95</v>
      </c>
      <c r="I640">
        <v>62</v>
      </c>
      <c r="J640" t="s">
        <v>59</v>
      </c>
      <c r="K640">
        <v>18000</v>
      </c>
      <c r="L640">
        <v>17470</v>
      </c>
      <c r="M640">
        <v>2000</v>
      </c>
      <c r="N640" t="s">
        <v>26</v>
      </c>
      <c r="O640" t="s">
        <v>27</v>
      </c>
      <c r="P640" s="1">
        <v>45777</v>
      </c>
      <c r="Q640" s="1">
        <v>45807</v>
      </c>
      <c r="R640" s="2">
        <v>0.36458333333333331</v>
      </c>
      <c r="S640" s="2">
        <v>0.44722222222222224</v>
      </c>
      <c r="T640" t="str" cm="1">
        <f t="array" ref="T640">_xlfn.IFS(H640&gt;=90,"A",H640&gt;=75,"B",H640&gt;=60,"C",H640&lt;60,"D")</f>
        <v>A</v>
      </c>
      <c r="U640" t="str">
        <f t="shared" si="36"/>
        <v>08:45 AM</v>
      </c>
      <c r="V640" t="str">
        <f t="shared" si="37"/>
        <v>On Time</v>
      </c>
      <c r="W640" t="str">
        <f t="shared" si="38"/>
        <v>1 Hours 59 Minutes</v>
      </c>
      <c r="X640" t="str">
        <f t="shared" si="39"/>
        <v>Short Time Login</v>
      </c>
      <c r="AA640" s="34" t="s">
        <v>919</v>
      </c>
      <c r="AB640" s="34" t="s">
        <v>428</v>
      </c>
      <c r="AC640" s="34">
        <v>95</v>
      </c>
      <c r="AD640" s="34">
        <v>62</v>
      </c>
      <c r="AE640" s="34" t="s">
        <v>59</v>
      </c>
      <c r="AF640" s="34">
        <v>2000</v>
      </c>
      <c r="AH640" s="34" t="s">
        <v>27</v>
      </c>
    </row>
    <row r="641" spans="1:34">
      <c r="A641" t="s">
        <v>920</v>
      </c>
      <c r="B641" t="s">
        <v>43</v>
      </c>
      <c r="C641">
        <v>21</v>
      </c>
      <c r="D641" t="s">
        <v>21</v>
      </c>
      <c r="E641" t="s">
        <v>67</v>
      </c>
      <c r="F641" t="s">
        <v>53</v>
      </c>
      <c r="G641" t="s">
        <v>54</v>
      </c>
      <c r="H641">
        <v>73</v>
      </c>
      <c r="I641">
        <v>70</v>
      </c>
      <c r="J641" t="s">
        <v>68</v>
      </c>
      <c r="K641">
        <v>20000</v>
      </c>
      <c r="L641">
        <v>21600</v>
      </c>
      <c r="M641">
        <v>2000</v>
      </c>
      <c r="N641" t="s">
        <v>26</v>
      </c>
      <c r="O641" t="s">
        <v>27</v>
      </c>
      <c r="P641" s="1">
        <v>46013</v>
      </c>
      <c r="Q641" s="1">
        <v>46133</v>
      </c>
      <c r="R641" s="2">
        <v>0.41249999999999998</v>
      </c>
      <c r="S641" s="2">
        <v>0.58263888888888893</v>
      </c>
      <c r="T641" t="str" cm="1">
        <f t="array" ref="T641">_xlfn.IFS(H641&gt;=90,"A",H641&gt;=75,"B",H641&gt;=60,"C",H641&lt;60,"D")</f>
        <v>C</v>
      </c>
      <c r="U641" t="str">
        <f t="shared" si="36"/>
        <v>09:54 AM</v>
      </c>
      <c r="V641" t="str">
        <f t="shared" si="37"/>
        <v>Delayed</v>
      </c>
      <c r="W641" t="str">
        <f t="shared" si="38"/>
        <v>4 Hours 5 Minutes</v>
      </c>
      <c r="X641" t="str">
        <f t="shared" si="39"/>
        <v>Short Time Login</v>
      </c>
      <c r="AA641" s="35" t="s">
        <v>920</v>
      </c>
      <c r="AB641" s="35" t="s">
        <v>43</v>
      </c>
      <c r="AC641" s="35">
        <v>73</v>
      </c>
      <c r="AD641" s="35">
        <v>70</v>
      </c>
      <c r="AE641" s="35" t="s">
        <v>68</v>
      </c>
      <c r="AF641" s="35">
        <v>2000</v>
      </c>
      <c r="AH641" s="35" t="s">
        <v>27</v>
      </c>
    </row>
    <row r="642" spans="1:34">
      <c r="A642" t="s">
        <v>921</v>
      </c>
      <c r="B642" t="s">
        <v>922</v>
      </c>
      <c r="C642">
        <v>18</v>
      </c>
      <c r="D642" t="s">
        <v>35</v>
      </c>
      <c r="E642" t="s">
        <v>122</v>
      </c>
      <c r="F642" t="s">
        <v>57</v>
      </c>
      <c r="G642" t="s">
        <v>58</v>
      </c>
      <c r="H642">
        <v>90</v>
      </c>
      <c r="I642">
        <v>85</v>
      </c>
      <c r="J642" t="s">
        <v>59</v>
      </c>
      <c r="K642">
        <v>15000</v>
      </c>
      <c r="L642">
        <v>13110</v>
      </c>
      <c r="M642">
        <v>4000</v>
      </c>
      <c r="N642" t="s">
        <v>26</v>
      </c>
      <c r="O642" t="s">
        <v>27</v>
      </c>
      <c r="P642" s="1">
        <v>45844</v>
      </c>
      <c r="Q642" s="1">
        <v>45874</v>
      </c>
      <c r="R642" s="2">
        <v>0.41944444444444445</v>
      </c>
      <c r="S642" s="2">
        <v>0.46388888888888891</v>
      </c>
      <c r="T642" t="str" cm="1">
        <f t="array" ref="T642">_xlfn.IFS(H642&gt;=90,"A",H642&gt;=75,"B",H642&gt;=60,"C",H642&lt;60,"D")</f>
        <v>A</v>
      </c>
      <c r="U642" t="str">
        <f t="shared" ref="U642:U705" si="40">TEXT(R642,"hh:mm AM/PM")</f>
        <v>10:04 AM</v>
      </c>
      <c r="V642" t="str">
        <f t="shared" ref="V642:V705" si="41">IF(_xlfn.DAYS(Q642,P642)&lt;=90,"On Time","Delayed")</f>
        <v>On Time</v>
      </c>
      <c r="W642" t="str">
        <f t="shared" ref="W642:W705" si="42">HOUR(S642-R642)&amp;" Hours "&amp;MINUTE(S642-R642)&amp;" Minutes"</f>
        <v>1 Hours 4 Minutes</v>
      </c>
      <c r="X642" t="str">
        <f t="shared" ref="X642:X705" si="43">IF(R642&gt;TIME(10,0,0),"Long Time Login","Short Time Login")</f>
        <v>Long Time Login</v>
      </c>
      <c r="AA642" s="34" t="s">
        <v>921</v>
      </c>
      <c r="AB642" s="34" t="s">
        <v>922</v>
      </c>
      <c r="AC642" s="34">
        <v>90</v>
      </c>
      <c r="AD642" s="34">
        <v>85</v>
      </c>
      <c r="AE642" s="34" t="s">
        <v>59</v>
      </c>
      <c r="AF642" s="34">
        <v>4000</v>
      </c>
      <c r="AH642" s="34" t="s">
        <v>27</v>
      </c>
    </row>
    <row r="643" spans="1:34">
      <c r="A643" t="s">
        <v>923</v>
      </c>
      <c r="B643" t="s">
        <v>179</v>
      </c>
      <c r="C643">
        <v>22</v>
      </c>
      <c r="D643" t="s">
        <v>35</v>
      </c>
      <c r="E643" t="s">
        <v>36</v>
      </c>
      <c r="F643" t="s">
        <v>57</v>
      </c>
      <c r="G643" t="s">
        <v>58</v>
      </c>
      <c r="H643">
        <v>91</v>
      </c>
      <c r="I643">
        <v>93</v>
      </c>
      <c r="J643" t="s">
        <v>59</v>
      </c>
      <c r="K643">
        <v>20000</v>
      </c>
      <c r="L643">
        <v>18420</v>
      </c>
      <c r="M643">
        <v>4000</v>
      </c>
      <c r="N643" t="s">
        <v>26</v>
      </c>
      <c r="O643" t="s">
        <v>27</v>
      </c>
      <c r="P643" s="1">
        <v>45828</v>
      </c>
      <c r="Q643" s="1">
        <v>46008</v>
      </c>
      <c r="R643" s="2">
        <v>0.35625000000000001</v>
      </c>
      <c r="S643" s="2">
        <v>0.40486111111111112</v>
      </c>
      <c r="T643" t="str" cm="1">
        <f t="array" ref="T643">_xlfn.IFS(H643&gt;=90,"A",H643&gt;=75,"B",H643&gt;=60,"C",H643&lt;60,"D")</f>
        <v>A</v>
      </c>
      <c r="U643" t="str">
        <f t="shared" si="40"/>
        <v>08:33 AM</v>
      </c>
      <c r="V643" t="str">
        <f t="shared" si="41"/>
        <v>Delayed</v>
      </c>
      <c r="W643" t="str">
        <f t="shared" si="42"/>
        <v>1 Hours 10 Minutes</v>
      </c>
      <c r="X643" t="str">
        <f t="shared" si="43"/>
        <v>Short Time Login</v>
      </c>
      <c r="AA643" s="35" t="s">
        <v>923</v>
      </c>
      <c r="AB643" s="35" t="s">
        <v>179</v>
      </c>
      <c r="AC643" s="35">
        <v>91</v>
      </c>
      <c r="AD643" s="35">
        <v>93</v>
      </c>
      <c r="AE643" s="35" t="s">
        <v>59</v>
      </c>
      <c r="AF643" s="35">
        <v>4000</v>
      </c>
      <c r="AH643" s="35" t="s">
        <v>27</v>
      </c>
    </row>
    <row r="644" spans="1:34">
      <c r="A644" t="s">
        <v>924</v>
      </c>
      <c r="B644" t="s">
        <v>476</v>
      </c>
      <c r="C644">
        <v>19</v>
      </c>
      <c r="D644" t="s">
        <v>21</v>
      </c>
      <c r="E644" t="s">
        <v>96</v>
      </c>
      <c r="F644" t="s">
        <v>88</v>
      </c>
      <c r="G644" t="s">
        <v>89</v>
      </c>
      <c r="H644">
        <v>43</v>
      </c>
      <c r="I644">
        <v>99</v>
      </c>
      <c r="J644" t="s">
        <v>25</v>
      </c>
      <c r="K644">
        <v>18000</v>
      </c>
      <c r="L644">
        <v>20650</v>
      </c>
      <c r="M644">
        <v>0</v>
      </c>
      <c r="N644" t="s">
        <v>11</v>
      </c>
      <c r="O644" t="s">
        <v>27</v>
      </c>
      <c r="P644" s="1">
        <v>45975</v>
      </c>
      <c r="Q644" s="1">
        <v>46065</v>
      </c>
      <c r="R644" s="2">
        <v>0.3527777777777778</v>
      </c>
      <c r="S644" s="2">
        <v>0.50902777777777775</v>
      </c>
      <c r="T644" t="str" cm="1">
        <f t="array" ref="T644">_xlfn.IFS(H644&gt;=90,"A",H644&gt;=75,"B",H644&gt;=60,"C",H644&lt;60,"D")</f>
        <v>D</v>
      </c>
      <c r="U644" t="str">
        <f t="shared" si="40"/>
        <v>08:28 AM</v>
      </c>
      <c r="V644" t="str">
        <f t="shared" si="41"/>
        <v>On Time</v>
      </c>
      <c r="W644" t="str">
        <f t="shared" si="42"/>
        <v>3 Hours 45 Minutes</v>
      </c>
      <c r="X644" t="str">
        <f t="shared" si="43"/>
        <v>Short Time Login</v>
      </c>
      <c r="AA644" s="34" t="s">
        <v>924</v>
      </c>
      <c r="AB644" s="34" t="s">
        <v>476</v>
      </c>
      <c r="AC644" s="34">
        <v>43</v>
      </c>
      <c r="AD644" s="34">
        <v>99</v>
      </c>
      <c r="AE644" s="34" t="s">
        <v>25</v>
      </c>
      <c r="AF644" s="34">
        <v>0</v>
      </c>
      <c r="AH644" s="34" t="s">
        <v>27</v>
      </c>
    </row>
    <row r="645" spans="1:34">
      <c r="A645" t="s">
        <v>925</v>
      </c>
      <c r="B645" t="s">
        <v>571</v>
      </c>
      <c r="C645">
        <v>21</v>
      </c>
      <c r="D645" t="s">
        <v>21</v>
      </c>
      <c r="E645" t="s">
        <v>73</v>
      </c>
      <c r="F645" t="s">
        <v>23</v>
      </c>
      <c r="G645" t="s">
        <v>24</v>
      </c>
      <c r="H645">
        <v>63</v>
      </c>
      <c r="I645">
        <v>98</v>
      </c>
      <c r="J645" t="s">
        <v>68</v>
      </c>
      <c r="K645">
        <v>20000</v>
      </c>
      <c r="L645">
        <v>23600</v>
      </c>
      <c r="M645">
        <v>0</v>
      </c>
      <c r="N645" t="s">
        <v>11</v>
      </c>
      <c r="O645" t="s">
        <v>27</v>
      </c>
      <c r="P645" s="1">
        <v>45802</v>
      </c>
      <c r="Q645" s="1">
        <v>45922</v>
      </c>
      <c r="R645" s="2">
        <v>0.3888888888888889</v>
      </c>
      <c r="S645" s="2">
        <v>0.52569444444444446</v>
      </c>
      <c r="T645" t="str" cm="1">
        <f t="array" ref="T645">_xlfn.IFS(H645&gt;=90,"A",H645&gt;=75,"B",H645&gt;=60,"C",H645&lt;60,"D")</f>
        <v>C</v>
      </c>
      <c r="U645" t="str">
        <f t="shared" si="40"/>
        <v>09:20 AM</v>
      </c>
      <c r="V645" t="str">
        <f t="shared" si="41"/>
        <v>Delayed</v>
      </c>
      <c r="W645" t="str">
        <f t="shared" si="42"/>
        <v>3 Hours 17 Minutes</v>
      </c>
      <c r="X645" t="str">
        <f t="shared" si="43"/>
        <v>Short Time Login</v>
      </c>
      <c r="AA645" s="35" t="s">
        <v>925</v>
      </c>
      <c r="AB645" s="35" t="s">
        <v>571</v>
      </c>
      <c r="AC645" s="35">
        <v>63</v>
      </c>
      <c r="AD645" s="35">
        <v>98</v>
      </c>
      <c r="AE645" s="35" t="s">
        <v>68</v>
      </c>
      <c r="AF645" s="35">
        <v>0</v>
      </c>
      <c r="AH645" s="35" t="s">
        <v>27</v>
      </c>
    </row>
    <row r="646" spans="1:34">
      <c r="A646" t="s">
        <v>926</v>
      </c>
      <c r="B646" t="s">
        <v>696</v>
      </c>
      <c r="C646">
        <v>23</v>
      </c>
      <c r="D646" t="s">
        <v>21</v>
      </c>
      <c r="E646" t="s">
        <v>30</v>
      </c>
      <c r="F646" t="s">
        <v>49</v>
      </c>
      <c r="G646" t="s">
        <v>50</v>
      </c>
      <c r="H646">
        <v>62</v>
      </c>
      <c r="I646">
        <v>76</v>
      </c>
      <c r="J646" t="s">
        <v>68</v>
      </c>
      <c r="K646">
        <v>10000</v>
      </c>
      <c r="L646">
        <v>10030</v>
      </c>
      <c r="M646">
        <v>0</v>
      </c>
      <c r="N646" t="s">
        <v>11</v>
      </c>
      <c r="O646" t="s">
        <v>27</v>
      </c>
      <c r="P646" s="1">
        <v>45707</v>
      </c>
      <c r="Q646" s="1">
        <v>45887</v>
      </c>
      <c r="R646" s="2">
        <v>0.40902777777777777</v>
      </c>
      <c r="S646" s="2">
        <v>0.58750000000000002</v>
      </c>
      <c r="T646" t="str" cm="1">
        <f t="array" ref="T646">_xlfn.IFS(H646&gt;=90,"A",H646&gt;=75,"B",H646&gt;=60,"C",H646&lt;60,"D")</f>
        <v>C</v>
      </c>
      <c r="U646" t="str">
        <f t="shared" si="40"/>
        <v>09:49 AM</v>
      </c>
      <c r="V646" t="str">
        <f t="shared" si="41"/>
        <v>Delayed</v>
      </c>
      <c r="W646" t="str">
        <f t="shared" si="42"/>
        <v>4 Hours 17 Minutes</v>
      </c>
      <c r="X646" t="str">
        <f t="shared" si="43"/>
        <v>Short Time Login</v>
      </c>
      <c r="AA646" s="34" t="s">
        <v>926</v>
      </c>
      <c r="AB646" s="34" t="s">
        <v>696</v>
      </c>
      <c r="AC646" s="34">
        <v>62</v>
      </c>
      <c r="AD646" s="34">
        <v>76</v>
      </c>
      <c r="AE646" s="34" t="s">
        <v>68</v>
      </c>
      <c r="AF646" s="34">
        <v>0</v>
      </c>
      <c r="AH646" s="34" t="s">
        <v>27</v>
      </c>
    </row>
    <row r="647" spans="1:34">
      <c r="A647" t="s">
        <v>927</v>
      </c>
      <c r="B647" t="s">
        <v>396</v>
      </c>
      <c r="C647">
        <v>20</v>
      </c>
      <c r="D647" t="s">
        <v>21</v>
      </c>
      <c r="E647" t="s">
        <v>62</v>
      </c>
      <c r="F647" t="s">
        <v>23</v>
      </c>
      <c r="G647" t="s">
        <v>24</v>
      </c>
      <c r="H647">
        <v>59</v>
      </c>
      <c r="I647">
        <v>84</v>
      </c>
      <c r="J647" t="s">
        <v>25</v>
      </c>
      <c r="K647">
        <v>10000</v>
      </c>
      <c r="L647">
        <v>7210</v>
      </c>
      <c r="M647">
        <v>4000</v>
      </c>
      <c r="N647" t="s">
        <v>26</v>
      </c>
      <c r="O647" t="s">
        <v>27</v>
      </c>
      <c r="P647" s="1">
        <v>45906</v>
      </c>
      <c r="Q647" s="1">
        <v>45996</v>
      </c>
      <c r="R647" s="2">
        <v>0.41180555555555554</v>
      </c>
      <c r="S647" s="2">
        <v>0.60833333333333328</v>
      </c>
      <c r="T647" t="str" cm="1">
        <f t="array" ref="T647">_xlfn.IFS(H647&gt;=90,"A",H647&gt;=75,"B",H647&gt;=60,"C",H647&lt;60,"D")</f>
        <v>D</v>
      </c>
      <c r="U647" t="str">
        <f t="shared" si="40"/>
        <v>09:53 AM</v>
      </c>
      <c r="V647" t="str">
        <f t="shared" si="41"/>
        <v>On Time</v>
      </c>
      <c r="W647" t="str">
        <f t="shared" si="42"/>
        <v>4 Hours 43 Minutes</v>
      </c>
      <c r="X647" t="str">
        <f t="shared" si="43"/>
        <v>Short Time Login</v>
      </c>
      <c r="AA647" s="35" t="s">
        <v>927</v>
      </c>
      <c r="AB647" s="35" t="s">
        <v>396</v>
      </c>
      <c r="AC647" s="35">
        <v>59</v>
      </c>
      <c r="AD647" s="35">
        <v>84</v>
      </c>
      <c r="AE647" s="35" t="s">
        <v>25</v>
      </c>
      <c r="AF647" s="35">
        <v>4000</v>
      </c>
      <c r="AH647" s="35" t="s">
        <v>27</v>
      </c>
    </row>
    <row r="648" spans="1:34">
      <c r="A648" t="s">
        <v>928</v>
      </c>
      <c r="B648" t="s">
        <v>770</v>
      </c>
      <c r="C648">
        <v>22</v>
      </c>
      <c r="D648" t="s">
        <v>35</v>
      </c>
      <c r="E648" t="s">
        <v>73</v>
      </c>
      <c r="F648" t="s">
        <v>57</v>
      </c>
      <c r="G648" t="s">
        <v>58</v>
      </c>
      <c r="H648">
        <v>92</v>
      </c>
      <c r="I648">
        <v>73</v>
      </c>
      <c r="J648" t="s">
        <v>59</v>
      </c>
      <c r="K648">
        <v>12000</v>
      </c>
      <c r="L648">
        <v>12980</v>
      </c>
      <c r="M648">
        <v>0</v>
      </c>
      <c r="N648" t="s">
        <v>11</v>
      </c>
      <c r="O648" t="s">
        <v>27</v>
      </c>
      <c r="P648" s="1">
        <v>45813</v>
      </c>
      <c r="Q648" s="1">
        <v>45993</v>
      </c>
      <c r="R648" s="2">
        <v>0.3659722222222222</v>
      </c>
      <c r="S648" s="2">
        <v>0.5395833333333333</v>
      </c>
      <c r="T648" t="str" cm="1">
        <f t="array" ref="T648">_xlfn.IFS(H648&gt;=90,"A",H648&gt;=75,"B",H648&gt;=60,"C",H648&lt;60,"D")</f>
        <v>A</v>
      </c>
      <c r="U648" t="str">
        <f t="shared" si="40"/>
        <v>08:47 AM</v>
      </c>
      <c r="V648" t="str">
        <f t="shared" si="41"/>
        <v>Delayed</v>
      </c>
      <c r="W648" t="str">
        <f t="shared" si="42"/>
        <v>4 Hours 10 Minutes</v>
      </c>
      <c r="X648" t="str">
        <f t="shared" si="43"/>
        <v>Short Time Login</v>
      </c>
      <c r="AA648" s="34" t="s">
        <v>928</v>
      </c>
      <c r="AB648" s="34" t="s">
        <v>770</v>
      </c>
      <c r="AC648" s="34">
        <v>92</v>
      </c>
      <c r="AD648" s="34">
        <v>73</v>
      </c>
      <c r="AE648" s="34" t="s">
        <v>59</v>
      </c>
      <c r="AF648" s="34">
        <v>0</v>
      </c>
      <c r="AH648" s="34" t="s">
        <v>27</v>
      </c>
    </row>
    <row r="649" spans="1:34">
      <c r="A649" t="s">
        <v>929</v>
      </c>
      <c r="B649" t="s">
        <v>794</v>
      </c>
      <c r="C649">
        <v>22</v>
      </c>
      <c r="D649" t="s">
        <v>21</v>
      </c>
      <c r="E649" t="s">
        <v>67</v>
      </c>
      <c r="F649" t="s">
        <v>40</v>
      </c>
      <c r="G649" t="s">
        <v>41</v>
      </c>
      <c r="H649">
        <v>74</v>
      </c>
      <c r="I649">
        <v>81</v>
      </c>
      <c r="J649" t="s">
        <v>68</v>
      </c>
      <c r="K649">
        <v>15000</v>
      </c>
      <c r="L649">
        <v>17110</v>
      </c>
      <c r="M649">
        <v>0</v>
      </c>
      <c r="N649" t="s">
        <v>11</v>
      </c>
      <c r="O649" t="s">
        <v>27</v>
      </c>
      <c r="P649" s="1">
        <v>45663</v>
      </c>
      <c r="Q649" s="1">
        <v>45693</v>
      </c>
      <c r="R649" s="2">
        <v>0.42499999999999999</v>
      </c>
      <c r="S649" s="2">
        <v>0.61736111111111114</v>
      </c>
      <c r="T649" t="str" cm="1">
        <f t="array" ref="T649">_xlfn.IFS(H649&gt;=90,"A",H649&gt;=75,"B",H649&gt;=60,"C",H649&lt;60,"D")</f>
        <v>C</v>
      </c>
      <c r="U649" t="str">
        <f t="shared" si="40"/>
        <v>10:12 AM</v>
      </c>
      <c r="V649" t="str">
        <f t="shared" si="41"/>
        <v>On Time</v>
      </c>
      <c r="W649" t="str">
        <f t="shared" si="42"/>
        <v>4 Hours 37 Minutes</v>
      </c>
      <c r="X649" t="str">
        <f t="shared" si="43"/>
        <v>Long Time Login</v>
      </c>
      <c r="AA649" s="35" t="s">
        <v>929</v>
      </c>
      <c r="AB649" s="35" t="s">
        <v>794</v>
      </c>
      <c r="AC649" s="35">
        <v>74</v>
      </c>
      <c r="AD649" s="35">
        <v>81</v>
      </c>
      <c r="AE649" s="35" t="s">
        <v>68</v>
      </c>
      <c r="AF649" s="35">
        <v>0</v>
      </c>
      <c r="AH649" s="35" t="s">
        <v>27</v>
      </c>
    </row>
    <row r="650" spans="1:34">
      <c r="A650" t="s">
        <v>930</v>
      </c>
      <c r="B650" t="s">
        <v>234</v>
      </c>
      <c r="C650">
        <v>22</v>
      </c>
      <c r="D650" t="s">
        <v>21</v>
      </c>
      <c r="E650" t="s">
        <v>67</v>
      </c>
      <c r="F650" t="s">
        <v>88</v>
      </c>
      <c r="G650" t="s">
        <v>89</v>
      </c>
      <c r="H650">
        <v>46</v>
      </c>
      <c r="I650">
        <v>93</v>
      </c>
      <c r="J650" t="s">
        <v>25</v>
      </c>
      <c r="K650">
        <v>18000</v>
      </c>
      <c r="L650">
        <v>20060</v>
      </c>
      <c r="M650">
        <v>0</v>
      </c>
      <c r="N650" t="s">
        <v>11</v>
      </c>
      <c r="O650" t="s">
        <v>27</v>
      </c>
      <c r="P650" s="1">
        <v>45909</v>
      </c>
      <c r="Q650" s="1">
        <v>45939</v>
      </c>
      <c r="R650" s="2">
        <v>0.36736111111111114</v>
      </c>
      <c r="S650" s="2">
        <v>0.49722222222222223</v>
      </c>
      <c r="T650" t="str" cm="1">
        <f t="array" ref="T650">_xlfn.IFS(H650&gt;=90,"A",H650&gt;=75,"B",H650&gt;=60,"C",H650&lt;60,"D")</f>
        <v>D</v>
      </c>
      <c r="U650" t="str">
        <f t="shared" si="40"/>
        <v>08:49 AM</v>
      </c>
      <c r="V650" t="str">
        <f t="shared" si="41"/>
        <v>On Time</v>
      </c>
      <c r="W650" t="str">
        <f t="shared" si="42"/>
        <v>3 Hours 7 Minutes</v>
      </c>
      <c r="X650" t="str">
        <f t="shared" si="43"/>
        <v>Short Time Login</v>
      </c>
      <c r="AA650" s="34" t="s">
        <v>930</v>
      </c>
      <c r="AB650" s="34" t="s">
        <v>234</v>
      </c>
      <c r="AC650" s="34">
        <v>46</v>
      </c>
      <c r="AD650" s="34">
        <v>93</v>
      </c>
      <c r="AE650" s="34" t="s">
        <v>25</v>
      </c>
      <c r="AF650" s="34">
        <v>0</v>
      </c>
      <c r="AH650" s="34" t="s">
        <v>27</v>
      </c>
    </row>
    <row r="651" spans="1:34">
      <c r="A651" t="s">
        <v>931</v>
      </c>
      <c r="B651" t="s">
        <v>232</v>
      </c>
      <c r="C651">
        <v>23</v>
      </c>
      <c r="D651" t="s">
        <v>35</v>
      </c>
      <c r="E651" t="s">
        <v>113</v>
      </c>
      <c r="F651" t="s">
        <v>88</v>
      </c>
      <c r="G651" t="s">
        <v>89</v>
      </c>
      <c r="H651">
        <v>58</v>
      </c>
      <c r="I651">
        <v>98</v>
      </c>
      <c r="J651" t="s">
        <v>25</v>
      </c>
      <c r="K651">
        <v>10000</v>
      </c>
      <c r="L651">
        <v>8620</v>
      </c>
      <c r="M651">
        <v>2000</v>
      </c>
      <c r="N651" t="s">
        <v>26</v>
      </c>
      <c r="O651" t="s">
        <v>27</v>
      </c>
      <c r="P651" s="1">
        <v>45734</v>
      </c>
      <c r="Q651" s="1">
        <v>45824</v>
      </c>
      <c r="R651" s="2">
        <v>0.4284722222222222</v>
      </c>
      <c r="S651" s="2">
        <v>0.58125000000000004</v>
      </c>
      <c r="T651" t="str" cm="1">
        <f t="array" ref="T651">_xlfn.IFS(H651&gt;=90,"A",H651&gt;=75,"B",H651&gt;=60,"C",H651&lt;60,"D")</f>
        <v>D</v>
      </c>
      <c r="U651" t="str">
        <f t="shared" si="40"/>
        <v>10:17 AM</v>
      </c>
      <c r="V651" t="str">
        <f t="shared" si="41"/>
        <v>On Time</v>
      </c>
      <c r="W651" t="str">
        <f t="shared" si="42"/>
        <v>3 Hours 40 Minutes</v>
      </c>
      <c r="X651" t="str">
        <f t="shared" si="43"/>
        <v>Long Time Login</v>
      </c>
      <c r="AA651" s="35" t="s">
        <v>931</v>
      </c>
      <c r="AB651" s="35" t="s">
        <v>232</v>
      </c>
      <c r="AC651" s="35">
        <v>58</v>
      </c>
      <c r="AD651" s="35">
        <v>98</v>
      </c>
      <c r="AE651" s="35" t="s">
        <v>25</v>
      </c>
      <c r="AF651" s="35">
        <v>2000</v>
      </c>
      <c r="AH651" s="35" t="s">
        <v>27</v>
      </c>
    </row>
    <row r="652" spans="1:34">
      <c r="A652" t="s">
        <v>932</v>
      </c>
      <c r="B652" t="s">
        <v>302</v>
      </c>
      <c r="C652">
        <v>28</v>
      </c>
      <c r="D652" t="s">
        <v>35</v>
      </c>
      <c r="E652" t="s">
        <v>62</v>
      </c>
      <c r="F652" t="s">
        <v>53</v>
      </c>
      <c r="G652" t="s">
        <v>54</v>
      </c>
      <c r="H652">
        <v>84</v>
      </c>
      <c r="I652">
        <v>83</v>
      </c>
      <c r="J652" t="s">
        <v>45</v>
      </c>
      <c r="K652">
        <v>15000</v>
      </c>
      <c r="L652">
        <v>14520</v>
      </c>
      <c r="M652">
        <v>2000</v>
      </c>
      <c r="N652" t="s">
        <v>26</v>
      </c>
      <c r="O652" t="s">
        <v>27</v>
      </c>
      <c r="P652" s="1">
        <v>45761</v>
      </c>
      <c r="Q652" s="1">
        <v>45791</v>
      </c>
      <c r="R652" s="2">
        <v>0.42291666666666666</v>
      </c>
      <c r="S652" s="2">
        <v>0.48472222222222222</v>
      </c>
      <c r="T652" t="str" cm="1">
        <f t="array" ref="T652">_xlfn.IFS(H652&gt;=90,"A",H652&gt;=75,"B",H652&gt;=60,"C",H652&lt;60,"D")</f>
        <v>B</v>
      </c>
      <c r="U652" t="str">
        <f t="shared" si="40"/>
        <v>10:09 AM</v>
      </c>
      <c r="V652" t="str">
        <f t="shared" si="41"/>
        <v>On Time</v>
      </c>
      <c r="W652" t="str">
        <f t="shared" si="42"/>
        <v>1 Hours 29 Minutes</v>
      </c>
      <c r="X652" t="str">
        <f t="shared" si="43"/>
        <v>Long Time Login</v>
      </c>
      <c r="AA652" s="34" t="s">
        <v>932</v>
      </c>
      <c r="AB652" s="34" t="s">
        <v>302</v>
      </c>
      <c r="AC652" s="34">
        <v>84</v>
      </c>
      <c r="AD652" s="34">
        <v>83</v>
      </c>
      <c r="AE652" s="34" t="s">
        <v>45</v>
      </c>
      <c r="AF652" s="34">
        <v>2000</v>
      </c>
      <c r="AH652" s="34" t="s">
        <v>27</v>
      </c>
    </row>
    <row r="653" spans="1:34">
      <c r="A653" t="s">
        <v>933</v>
      </c>
      <c r="B653" t="s">
        <v>201</v>
      </c>
      <c r="C653">
        <v>28</v>
      </c>
      <c r="D653" t="s">
        <v>35</v>
      </c>
      <c r="E653" t="s">
        <v>36</v>
      </c>
      <c r="F653" t="s">
        <v>63</v>
      </c>
      <c r="G653" t="s">
        <v>64</v>
      </c>
      <c r="H653">
        <v>86</v>
      </c>
      <c r="I653">
        <v>65</v>
      </c>
      <c r="J653" t="s">
        <v>45</v>
      </c>
      <c r="K653">
        <v>18000</v>
      </c>
      <c r="L653">
        <v>21240</v>
      </c>
      <c r="M653">
        <v>0</v>
      </c>
      <c r="N653" t="s">
        <v>11</v>
      </c>
      <c r="O653" t="s">
        <v>27</v>
      </c>
      <c r="P653" s="1">
        <v>45876</v>
      </c>
      <c r="Q653" s="1">
        <v>45966</v>
      </c>
      <c r="R653" s="2">
        <v>0.34652777777777777</v>
      </c>
      <c r="S653" s="2">
        <v>0.4236111111111111</v>
      </c>
      <c r="T653" t="str" cm="1">
        <f t="array" ref="T653">_xlfn.IFS(H653&gt;=90,"A",H653&gt;=75,"B",H653&gt;=60,"C",H653&lt;60,"D")</f>
        <v>B</v>
      </c>
      <c r="U653" t="str">
        <f t="shared" si="40"/>
        <v>08:19 AM</v>
      </c>
      <c r="V653" t="str">
        <f t="shared" si="41"/>
        <v>On Time</v>
      </c>
      <c r="W653" t="str">
        <f t="shared" si="42"/>
        <v>1 Hours 51 Minutes</v>
      </c>
      <c r="X653" t="str">
        <f t="shared" si="43"/>
        <v>Short Time Login</v>
      </c>
      <c r="AA653" s="35" t="s">
        <v>933</v>
      </c>
      <c r="AB653" s="35" t="s">
        <v>201</v>
      </c>
      <c r="AC653" s="35">
        <v>86</v>
      </c>
      <c r="AD653" s="35">
        <v>65</v>
      </c>
      <c r="AE653" s="35" t="s">
        <v>45</v>
      </c>
      <c r="AF653" s="35">
        <v>0</v>
      </c>
      <c r="AH653" s="35" t="s">
        <v>27</v>
      </c>
    </row>
    <row r="654" spans="1:34">
      <c r="A654" t="s">
        <v>934</v>
      </c>
      <c r="B654" t="s">
        <v>52</v>
      </c>
      <c r="C654">
        <v>21</v>
      </c>
      <c r="D654" t="s">
        <v>21</v>
      </c>
      <c r="E654" t="s">
        <v>67</v>
      </c>
      <c r="F654" t="s">
        <v>49</v>
      </c>
      <c r="G654" t="s">
        <v>50</v>
      </c>
      <c r="H654">
        <v>43</v>
      </c>
      <c r="I654">
        <v>76</v>
      </c>
      <c r="J654" t="s">
        <v>25</v>
      </c>
      <c r="K654">
        <v>10000</v>
      </c>
      <c r="L654">
        <v>11800</v>
      </c>
      <c r="M654">
        <v>0</v>
      </c>
      <c r="N654" t="s">
        <v>11</v>
      </c>
      <c r="O654" t="s">
        <v>27</v>
      </c>
      <c r="P654" s="1">
        <v>45838</v>
      </c>
      <c r="Q654" s="1">
        <v>45958</v>
      </c>
      <c r="R654" s="2">
        <v>0.34305555555555556</v>
      </c>
      <c r="S654" s="2">
        <v>0.44861111111111113</v>
      </c>
      <c r="T654" t="str" cm="1">
        <f t="array" ref="T654">_xlfn.IFS(H654&gt;=90,"A",H654&gt;=75,"B",H654&gt;=60,"C",H654&lt;60,"D")</f>
        <v>D</v>
      </c>
      <c r="U654" t="str">
        <f t="shared" si="40"/>
        <v>08:14 AM</v>
      </c>
      <c r="V654" t="str">
        <f t="shared" si="41"/>
        <v>Delayed</v>
      </c>
      <c r="W654" t="str">
        <f t="shared" si="42"/>
        <v>2 Hours 32 Minutes</v>
      </c>
      <c r="X654" t="str">
        <f t="shared" si="43"/>
        <v>Short Time Login</v>
      </c>
      <c r="AA654" s="34" t="s">
        <v>934</v>
      </c>
      <c r="AB654" s="34" t="s">
        <v>52</v>
      </c>
      <c r="AC654" s="34">
        <v>43</v>
      </c>
      <c r="AD654" s="34">
        <v>76</v>
      </c>
      <c r="AE654" s="34" t="s">
        <v>25</v>
      </c>
      <c r="AF654" s="34">
        <v>0</v>
      </c>
      <c r="AH654" s="34" t="s">
        <v>27</v>
      </c>
    </row>
    <row r="655" spans="1:34">
      <c r="A655" t="s">
        <v>935</v>
      </c>
      <c r="B655" t="s">
        <v>696</v>
      </c>
      <c r="C655">
        <v>24</v>
      </c>
      <c r="D655" t="s">
        <v>21</v>
      </c>
      <c r="E655" t="s">
        <v>48</v>
      </c>
      <c r="F655" t="s">
        <v>40</v>
      </c>
      <c r="G655" t="s">
        <v>41</v>
      </c>
      <c r="H655">
        <v>85</v>
      </c>
      <c r="I655">
        <v>63</v>
      </c>
      <c r="J655" t="s">
        <v>45</v>
      </c>
      <c r="K655">
        <v>15000</v>
      </c>
      <c r="L655">
        <v>16520</v>
      </c>
      <c r="M655">
        <v>0</v>
      </c>
      <c r="N655" t="s">
        <v>11</v>
      </c>
      <c r="O655" t="s">
        <v>27</v>
      </c>
      <c r="P655" s="1">
        <v>45792</v>
      </c>
      <c r="Q655" s="1">
        <v>45882</v>
      </c>
      <c r="R655" s="2">
        <v>0.34861111111111109</v>
      </c>
      <c r="S655" s="2">
        <v>0.40138888888888891</v>
      </c>
      <c r="T655" t="str" cm="1">
        <f t="array" ref="T655">_xlfn.IFS(H655&gt;=90,"A",H655&gt;=75,"B",H655&gt;=60,"C",H655&lt;60,"D")</f>
        <v>B</v>
      </c>
      <c r="U655" t="str">
        <f t="shared" si="40"/>
        <v>08:22 AM</v>
      </c>
      <c r="V655" t="str">
        <f t="shared" si="41"/>
        <v>On Time</v>
      </c>
      <c r="W655" t="str">
        <f t="shared" si="42"/>
        <v>1 Hours 16 Minutes</v>
      </c>
      <c r="X655" t="str">
        <f t="shared" si="43"/>
        <v>Short Time Login</v>
      </c>
      <c r="AA655" s="35" t="s">
        <v>935</v>
      </c>
      <c r="AB655" s="35" t="s">
        <v>696</v>
      </c>
      <c r="AC655" s="35">
        <v>85</v>
      </c>
      <c r="AD655" s="35">
        <v>63</v>
      </c>
      <c r="AE655" s="35" t="s">
        <v>45</v>
      </c>
      <c r="AF655" s="35">
        <v>0</v>
      </c>
      <c r="AH655" s="35" t="s">
        <v>27</v>
      </c>
    </row>
    <row r="656" spans="1:34">
      <c r="A656" t="s">
        <v>936</v>
      </c>
      <c r="B656" t="s">
        <v>922</v>
      </c>
      <c r="C656">
        <v>24</v>
      </c>
      <c r="D656" t="s">
        <v>21</v>
      </c>
      <c r="E656" t="s">
        <v>36</v>
      </c>
      <c r="F656" t="s">
        <v>23</v>
      </c>
      <c r="G656" t="s">
        <v>24</v>
      </c>
      <c r="H656">
        <v>72</v>
      </c>
      <c r="I656">
        <v>100</v>
      </c>
      <c r="J656" t="s">
        <v>68</v>
      </c>
      <c r="K656">
        <v>15000</v>
      </c>
      <c r="L656">
        <v>12520</v>
      </c>
      <c r="M656">
        <v>4000</v>
      </c>
      <c r="N656" t="s">
        <v>26</v>
      </c>
      <c r="O656" t="s">
        <v>27</v>
      </c>
      <c r="P656" s="1">
        <v>45665</v>
      </c>
      <c r="Q656" s="1">
        <v>45755</v>
      </c>
      <c r="R656" s="2">
        <v>0.37569444444444444</v>
      </c>
      <c r="S656" s="2">
        <v>0.57847222222222228</v>
      </c>
      <c r="T656" t="str" cm="1">
        <f t="array" ref="T656">_xlfn.IFS(H656&gt;=90,"A",H656&gt;=75,"B",H656&gt;=60,"C",H656&lt;60,"D")</f>
        <v>C</v>
      </c>
      <c r="U656" t="str">
        <f t="shared" si="40"/>
        <v>09:01 AM</v>
      </c>
      <c r="V656" t="str">
        <f t="shared" si="41"/>
        <v>On Time</v>
      </c>
      <c r="W656" t="str">
        <f t="shared" si="42"/>
        <v>4 Hours 52 Minutes</v>
      </c>
      <c r="X656" t="str">
        <f t="shared" si="43"/>
        <v>Short Time Login</v>
      </c>
      <c r="AA656" s="34" t="s">
        <v>936</v>
      </c>
      <c r="AB656" s="34" t="s">
        <v>922</v>
      </c>
      <c r="AC656" s="34">
        <v>72</v>
      </c>
      <c r="AD656" s="34">
        <v>100</v>
      </c>
      <c r="AE656" s="34" t="s">
        <v>68</v>
      </c>
      <c r="AF656" s="34">
        <v>4000</v>
      </c>
      <c r="AH656" s="34" t="s">
        <v>27</v>
      </c>
    </row>
    <row r="657" spans="1:34">
      <c r="A657" t="s">
        <v>937</v>
      </c>
      <c r="B657" t="s">
        <v>938</v>
      </c>
      <c r="C657">
        <v>18</v>
      </c>
      <c r="D657" t="s">
        <v>35</v>
      </c>
      <c r="E657" t="s">
        <v>39</v>
      </c>
      <c r="F657" t="s">
        <v>53</v>
      </c>
      <c r="G657" t="s">
        <v>54</v>
      </c>
      <c r="H657">
        <v>59</v>
      </c>
      <c r="I657">
        <v>83</v>
      </c>
      <c r="J657" t="s">
        <v>25</v>
      </c>
      <c r="K657">
        <v>20000</v>
      </c>
      <c r="L657">
        <v>18420</v>
      </c>
      <c r="M657">
        <v>4000</v>
      </c>
      <c r="N657" t="s">
        <v>26</v>
      </c>
      <c r="O657" t="s">
        <v>27</v>
      </c>
      <c r="P657" s="1">
        <v>45821</v>
      </c>
      <c r="Q657" s="1">
        <v>45851</v>
      </c>
      <c r="R657" s="2">
        <v>0.35694444444444445</v>
      </c>
      <c r="S657" s="2">
        <v>0.40833333333333333</v>
      </c>
      <c r="T657" t="str" cm="1">
        <f t="array" ref="T657">_xlfn.IFS(H657&gt;=90,"A",H657&gt;=75,"B",H657&gt;=60,"C",H657&lt;60,"D")</f>
        <v>D</v>
      </c>
      <c r="U657" t="str">
        <f t="shared" si="40"/>
        <v>08:34 AM</v>
      </c>
      <c r="V657" t="str">
        <f t="shared" si="41"/>
        <v>On Time</v>
      </c>
      <c r="W657" t="str">
        <f t="shared" si="42"/>
        <v>1 Hours 14 Minutes</v>
      </c>
      <c r="X657" t="str">
        <f t="shared" si="43"/>
        <v>Short Time Login</v>
      </c>
      <c r="AA657" s="35" t="s">
        <v>937</v>
      </c>
      <c r="AB657" s="35" t="s">
        <v>938</v>
      </c>
      <c r="AC657" s="35">
        <v>59</v>
      </c>
      <c r="AD657" s="35">
        <v>83</v>
      </c>
      <c r="AE657" s="35" t="s">
        <v>25</v>
      </c>
      <c r="AF657" s="35">
        <v>4000</v>
      </c>
      <c r="AH657" s="35" t="s">
        <v>27</v>
      </c>
    </row>
    <row r="658" spans="1:34">
      <c r="A658" t="s">
        <v>939</v>
      </c>
      <c r="B658" t="s">
        <v>56</v>
      </c>
      <c r="C658">
        <v>21</v>
      </c>
      <c r="D658" t="s">
        <v>21</v>
      </c>
      <c r="E658" t="s">
        <v>39</v>
      </c>
      <c r="F658" t="s">
        <v>53</v>
      </c>
      <c r="G658" t="s">
        <v>54</v>
      </c>
      <c r="H658">
        <v>96</v>
      </c>
      <c r="I658">
        <v>84</v>
      </c>
      <c r="J658" t="s">
        <v>59</v>
      </c>
      <c r="K658">
        <v>18000</v>
      </c>
      <c r="L658">
        <v>18650</v>
      </c>
      <c r="M658">
        <v>2000</v>
      </c>
      <c r="N658" t="s">
        <v>26</v>
      </c>
      <c r="O658" t="s">
        <v>27</v>
      </c>
      <c r="P658" s="1">
        <v>45685</v>
      </c>
      <c r="Q658" s="1">
        <v>45715</v>
      </c>
      <c r="R658" s="2">
        <v>0.42916666666666664</v>
      </c>
      <c r="S658" s="2">
        <v>0.47986111111111113</v>
      </c>
      <c r="T658" t="str" cm="1">
        <f t="array" ref="T658">_xlfn.IFS(H658&gt;=90,"A",H658&gt;=75,"B",H658&gt;=60,"C",H658&lt;60,"D")</f>
        <v>A</v>
      </c>
      <c r="U658" t="str">
        <f t="shared" si="40"/>
        <v>10:18 AM</v>
      </c>
      <c r="V658" t="str">
        <f t="shared" si="41"/>
        <v>On Time</v>
      </c>
      <c r="W658" t="str">
        <f t="shared" si="42"/>
        <v>1 Hours 13 Minutes</v>
      </c>
      <c r="X658" t="str">
        <f t="shared" si="43"/>
        <v>Long Time Login</v>
      </c>
      <c r="AA658" s="34" t="s">
        <v>939</v>
      </c>
      <c r="AB658" s="34" t="s">
        <v>56</v>
      </c>
      <c r="AC658" s="34">
        <v>96</v>
      </c>
      <c r="AD658" s="34">
        <v>84</v>
      </c>
      <c r="AE658" s="34" t="s">
        <v>59</v>
      </c>
      <c r="AF658" s="34">
        <v>2000</v>
      </c>
      <c r="AH658" s="34" t="s">
        <v>27</v>
      </c>
    </row>
    <row r="659" spans="1:34">
      <c r="A659" t="s">
        <v>940</v>
      </c>
      <c r="B659" t="s">
        <v>664</v>
      </c>
      <c r="C659">
        <v>25</v>
      </c>
      <c r="D659" t="s">
        <v>35</v>
      </c>
      <c r="E659" t="s">
        <v>22</v>
      </c>
      <c r="F659" t="s">
        <v>88</v>
      </c>
      <c r="G659" t="s">
        <v>89</v>
      </c>
      <c r="H659">
        <v>53</v>
      </c>
      <c r="I659">
        <v>63</v>
      </c>
      <c r="J659" t="s">
        <v>25</v>
      </c>
      <c r="K659">
        <v>12000</v>
      </c>
      <c r="L659">
        <v>14160</v>
      </c>
      <c r="M659">
        <v>0</v>
      </c>
      <c r="N659" t="s">
        <v>11</v>
      </c>
      <c r="O659" t="s">
        <v>27</v>
      </c>
      <c r="P659" s="1">
        <v>45936</v>
      </c>
      <c r="Q659" s="1">
        <v>45966</v>
      </c>
      <c r="R659" s="2">
        <v>0.44305555555555554</v>
      </c>
      <c r="S659" s="2">
        <v>0.49305555555555558</v>
      </c>
      <c r="T659" t="str" cm="1">
        <f t="array" ref="T659">_xlfn.IFS(H659&gt;=90,"A",H659&gt;=75,"B",H659&gt;=60,"C",H659&lt;60,"D")</f>
        <v>D</v>
      </c>
      <c r="U659" t="str">
        <f t="shared" si="40"/>
        <v>10:38 AM</v>
      </c>
      <c r="V659" t="str">
        <f t="shared" si="41"/>
        <v>On Time</v>
      </c>
      <c r="W659" t="str">
        <f t="shared" si="42"/>
        <v>1 Hours 12 Minutes</v>
      </c>
      <c r="X659" t="str">
        <f t="shared" si="43"/>
        <v>Long Time Login</v>
      </c>
      <c r="AA659" s="35" t="s">
        <v>940</v>
      </c>
      <c r="AB659" s="35" t="s">
        <v>664</v>
      </c>
      <c r="AC659" s="35">
        <v>53</v>
      </c>
      <c r="AD659" s="35">
        <v>63</v>
      </c>
      <c r="AE659" s="35" t="s">
        <v>25</v>
      </c>
      <c r="AF659" s="35">
        <v>0</v>
      </c>
      <c r="AH659" s="35" t="s">
        <v>27</v>
      </c>
    </row>
    <row r="660" spans="1:34">
      <c r="A660" t="s">
        <v>941</v>
      </c>
      <c r="B660" t="s">
        <v>150</v>
      </c>
      <c r="C660">
        <v>27</v>
      </c>
      <c r="D660" t="s">
        <v>35</v>
      </c>
      <c r="E660" t="s">
        <v>44</v>
      </c>
      <c r="F660" t="s">
        <v>49</v>
      </c>
      <c r="G660" t="s">
        <v>50</v>
      </c>
      <c r="H660">
        <v>89</v>
      </c>
      <c r="I660">
        <v>83</v>
      </c>
      <c r="J660" t="s">
        <v>45</v>
      </c>
      <c r="K660">
        <v>18000</v>
      </c>
      <c r="L660">
        <v>20650</v>
      </c>
      <c r="M660">
        <v>0</v>
      </c>
      <c r="N660" t="s">
        <v>11</v>
      </c>
      <c r="O660" t="s">
        <v>27</v>
      </c>
      <c r="P660" s="1">
        <v>45954</v>
      </c>
      <c r="Q660" s="1">
        <v>46134</v>
      </c>
      <c r="R660" s="2">
        <v>0.43402777777777779</v>
      </c>
      <c r="S660" s="2">
        <v>0.63749999999999996</v>
      </c>
      <c r="T660" t="str" cm="1">
        <f t="array" ref="T660">_xlfn.IFS(H660&gt;=90,"A",H660&gt;=75,"B",H660&gt;=60,"C",H660&lt;60,"D")</f>
        <v>B</v>
      </c>
      <c r="U660" t="str">
        <f t="shared" si="40"/>
        <v>10:25 AM</v>
      </c>
      <c r="V660" t="str">
        <f t="shared" si="41"/>
        <v>Delayed</v>
      </c>
      <c r="W660" t="str">
        <f t="shared" si="42"/>
        <v>4 Hours 53 Minutes</v>
      </c>
      <c r="X660" t="str">
        <f t="shared" si="43"/>
        <v>Long Time Login</v>
      </c>
      <c r="AA660" s="34" t="s">
        <v>941</v>
      </c>
      <c r="AB660" s="34" t="s">
        <v>150</v>
      </c>
      <c r="AC660" s="34">
        <v>89</v>
      </c>
      <c r="AD660" s="34">
        <v>83</v>
      </c>
      <c r="AE660" s="34" t="s">
        <v>45</v>
      </c>
      <c r="AF660" s="34">
        <v>0</v>
      </c>
      <c r="AH660" s="34" t="s">
        <v>27</v>
      </c>
    </row>
    <row r="661" spans="1:34">
      <c r="A661" t="s">
        <v>942</v>
      </c>
      <c r="B661" t="s">
        <v>546</v>
      </c>
      <c r="C661">
        <v>18</v>
      </c>
      <c r="D661" t="s">
        <v>21</v>
      </c>
      <c r="E661" t="s">
        <v>44</v>
      </c>
      <c r="F661" t="s">
        <v>49</v>
      </c>
      <c r="G661" t="s">
        <v>50</v>
      </c>
      <c r="H661">
        <v>82</v>
      </c>
      <c r="I661">
        <v>92</v>
      </c>
      <c r="J661" t="s">
        <v>45</v>
      </c>
      <c r="K661">
        <v>18000</v>
      </c>
      <c r="L661">
        <v>20650</v>
      </c>
      <c r="M661">
        <v>0</v>
      </c>
      <c r="N661" t="s">
        <v>11</v>
      </c>
      <c r="O661" t="s">
        <v>27</v>
      </c>
      <c r="P661" s="1">
        <v>45871</v>
      </c>
      <c r="Q661" s="1">
        <v>46051</v>
      </c>
      <c r="R661" s="2">
        <v>0.45694444444444443</v>
      </c>
      <c r="S661" s="2">
        <v>0.61041666666666672</v>
      </c>
      <c r="T661" t="str" cm="1">
        <f t="array" ref="T661">_xlfn.IFS(H661&gt;=90,"A",H661&gt;=75,"B",H661&gt;=60,"C",H661&lt;60,"D")</f>
        <v>B</v>
      </c>
      <c r="U661" t="str">
        <f t="shared" si="40"/>
        <v>10:58 AM</v>
      </c>
      <c r="V661" t="str">
        <f t="shared" si="41"/>
        <v>Delayed</v>
      </c>
      <c r="W661" t="str">
        <f t="shared" si="42"/>
        <v>3 Hours 41 Minutes</v>
      </c>
      <c r="X661" t="str">
        <f t="shared" si="43"/>
        <v>Long Time Login</v>
      </c>
      <c r="AA661" s="35" t="s">
        <v>942</v>
      </c>
      <c r="AB661" s="35" t="s">
        <v>546</v>
      </c>
      <c r="AC661" s="35">
        <v>82</v>
      </c>
      <c r="AD661" s="35">
        <v>92</v>
      </c>
      <c r="AE661" s="35" t="s">
        <v>45</v>
      </c>
      <c r="AF661" s="35">
        <v>0</v>
      </c>
      <c r="AH661" s="35" t="s">
        <v>27</v>
      </c>
    </row>
    <row r="662" spans="1:34">
      <c r="A662" t="s">
        <v>943</v>
      </c>
      <c r="B662" t="s">
        <v>300</v>
      </c>
      <c r="C662">
        <v>20</v>
      </c>
      <c r="D662" t="s">
        <v>35</v>
      </c>
      <c r="E662" t="s">
        <v>122</v>
      </c>
      <c r="F662" t="s">
        <v>23</v>
      </c>
      <c r="G662" t="s">
        <v>24</v>
      </c>
      <c r="H662">
        <v>86</v>
      </c>
      <c r="I662">
        <v>92</v>
      </c>
      <c r="J662" t="s">
        <v>45</v>
      </c>
      <c r="K662">
        <v>20000</v>
      </c>
      <c r="L662">
        <v>23010</v>
      </c>
      <c r="M662">
        <v>0</v>
      </c>
      <c r="N662" t="s">
        <v>11</v>
      </c>
      <c r="O662" t="s">
        <v>27</v>
      </c>
      <c r="P662" s="1">
        <v>45850</v>
      </c>
      <c r="Q662" s="1">
        <v>45910</v>
      </c>
      <c r="R662" s="2">
        <v>0.40347222222222223</v>
      </c>
      <c r="S662" s="2">
        <v>0.55902777777777779</v>
      </c>
      <c r="T662" t="str" cm="1">
        <f t="array" ref="T662">_xlfn.IFS(H662&gt;=90,"A",H662&gt;=75,"B",H662&gt;=60,"C",H662&lt;60,"D")</f>
        <v>B</v>
      </c>
      <c r="U662" t="str">
        <f t="shared" si="40"/>
        <v>09:41 AM</v>
      </c>
      <c r="V662" t="str">
        <f t="shared" si="41"/>
        <v>On Time</v>
      </c>
      <c r="W662" t="str">
        <f t="shared" si="42"/>
        <v>3 Hours 44 Minutes</v>
      </c>
      <c r="X662" t="str">
        <f t="shared" si="43"/>
        <v>Short Time Login</v>
      </c>
      <c r="AA662" s="34" t="s">
        <v>943</v>
      </c>
      <c r="AB662" s="34" t="s">
        <v>300</v>
      </c>
      <c r="AC662" s="34">
        <v>86</v>
      </c>
      <c r="AD662" s="34">
        <v>92</v>
      </c>
      <c r="AE662" s="34" t="s">
        <v>45</v>
      </c>
      <c r="AF662" s="34">
        <v>0</v>
      </c>
      <c r="AH662" s="34" t="s">
        <v>27</v>
      </c>
    </row>
    <row r="663" spans="1:34">
      <c r="A663" t="s">
        <v>944</v>
      </c>
      <c r="B663" t="s">
        <v>945</v>
      </c>
      <c r="C663">
        <v>20</v>
      </c>
      <c r="D663" t="s">
        <v>35</v>
      </c>
      <c r="E663" t="s">
        <v>36</v>
      </c>
      <c r="F663" t="s">
        <v>40</v>
      </c>
      <c r="G663" t="s">
        <v>41</v>
      </c>
      <c r="H663">
        <v>82</v>
      </c>
      <c r="I663">
        <v>66</v>
      </c>
      <c r="J663" t="s">
        <v>45</v>
      </c>
      <c r="K663">
        <v>20000</v>
      </c>
      <c r="L663">
        <v>23600</v>
      </c>
      <c r="M663">
        <v>0</v>
      </c>
      <c r="N663" t="s">
        <v>11</v>
      </c>
      <c r="O663" t="s">
        <v>27</v>
      </c>
      <c r="P663" s="1">
        <v>45659</v>
      </c>
      <c r="Q663" s="1">
        <v>45839</v>
      </c>
      <c r="R663" s="2">
        <v>0.3659722222222222</v>
      </c>
      <c r="S663" s="2">
        <v>0.52152777777777781</v>
      </c>
      <c r="T663" t="str" cm="1">
        <f t="array" ref="T663">_xlfn.IFS(H663&gt;=90,"A",H663&gt;=75,"B",H663&gt;=60,"C",H663&lt;60,"D")</f>
        <v>B</v>
      </c>
      <c r="U663" t="str">
        <f t="shared" si="40"/>
        <v>08:47 AM</v>
      </c>
      <c r="V663" t="str">
        <f t="shared" si="41"/>
        <v>Delayed</v>
      </c>
      <c r="W663" t="str">
        <f t="shared" si="42"/>
        <v>3 Hours 44 Minutes</v>
      </c>
      <c r="X663" t="str">
        <f t="shared" si="43"/>
        <v>Short Time Login</v>
      </c>
      <c r="AA663" s="35" t="s">
        <v>944</v>
      </c>
      <c r="AB663" s="35" t="s">
        <v>945</v>
      </c>
      <c r="AC663" s="35">
        <v>82</v>
      </c>
      <c r="AD663" s="35">
        <v>66</v>
      </c>
      <c r="AE663" s="35" t="s">
        <v>45</v>
      </c>
      <c r="AF663" s="35">
        <v>0</v>
      </c>
      <c r="AH663" s="35" t="s">
        <v>27</v>
      </c>
    </row>
    <row r="664" spans="1:34">
      <c r="A664" t="s">
        <v>946</v>
      </c>
      <c r="B664" t="s">
        <v>434</v>
      </c>
      <c r="C664">
        <v>20</v>
      </c>
      <c r="D664" t="s">
        <v>35</v>
      </c>
      <c r="E664" t="s">
        <v>48</v>
      </c>
      <c r="F664" t="s">
        <v>57</v>
      </c>
      <c r="G664" t="s">
        <v>58</v>
      </c>
      <c r="H664">
        <v>80</v>
      </c>
      <c r="I664">
        <v>96</v>
      </c>
      <c r="J664" t="s">
        <v>45</v>
      </c>
      <c r="K664">
        <v>18000</v>
      </c>
      <c r="L664">
        <v>18060</v>
      </c>
      <c r="M664">
        <v>2000</v>
      </c>
      <c r="N664" t="s">
        <v>26</v>
      </c>
      <c r="O664" t="s">
        <v>27</v>
      </c>
      <c r="P664" s="1">
        <v>45728</v>
      </c>
      <c r="Q664" s="1">
        <v>45908</v>
      </c>
      <c r="R664" s="2">
        <v>0.33541666666666664</v>
      </c>
      <c r="S664" s="2">
        <v>0.42152777777777778</v>
      </c>
      <c r="T664" t="str" cm="1">
        <f t="array" ref="T664">_xlfn.IFS(H664&gt;=90,"A",H664&gt;=75,"B",H664&gt;=60,"C",H664&lt;60,"D")</f>
        <v>B</v>
      </c>
      <c r="U664" t="str">
        <f t="shared" si="40"/>
        <v>08:03 AM</v>
      </c>
      <c r="V664" t="str">
        <f t="shared" si="41"/>
        <v>Delayed</v>
      </c>
      <c r="W664" t="str">
        <f t="shared" si="42"/>
        <v>2 Hours 4 Minutes</v>
      </c>
      <c r="X664" t="str">
        <f t="shared" si="43"/>
        <v>Short Time Login</v>
      </c>
      <c r="AA664" s="34" t="s">
        <v>946</v>
      </c>
      <c r="AB664" s="34" t="s">
        <v>434</v>
      </c>
      <c r="AC664" s="34">
        <v>80</v>
      </c>
      <c r="AD664" s="34">
        <v>96</v>
      </c>
      <c r="AE664" s="34" t="s">
        <v>45</v>
      </c>
      <c r="AF664" s="34">
        <v>2000</v>
      </c>
      <c r="AH664" s="34" t="s">
        <v>27</v>
      </c>
    </row>
    <row r="665" spans="1:34">
      <c r="A665" t="s">
        <v>947</v>
      </c>
      <c r="B665" t="s">
        <v>584</v>
      </c>
      <c r="C665">
        <v>26</v>
      </c>
      <c r="D665" t="s">
        <v>35</v>
      </c>
      <c r="E665" t="s">
        <v>39</v>
      </c>
      <c r="F665" t="s">
        <v>63</v>
      </c>
      <c r="G665" t="s">
        <v>64</v>
      </c>
      <c r="H665">
        <v>83</v>
      </c>
      <c r="I665">
        <v>100</v>
      </c>
      <c r="J665" t="s">
        <v>45</v>
      </c>
      <c r="K665">
        <v>12000</v>
      </c>
      <c r="L665">
        <v>9570</v>
      </c>
      <c r="M665">
        <v>4000</v>
      </c>
      <c r="N665" t="s">
        <v>26</v>
      </c>
      <c r="O665" t="s">
        <v>27</v>
      </c>
      <c r="P665" s="1">
        <v>45830</v>
      </c>
      <c r="Q665" s="1">
        <v>45920</v>
      </c>
      <c r="R665" s="2">
        <v>0.39027777777777778</v>
      </c>
      <c r="S665" s="2">
        <v>0.46319444444444446</v>
      </c>
      <c r="T665" t="str" cm="1">
        <f t="array" ref="T665">_xlfn.IFS(H665&gt;=90,"A",H665&gt;=75,"B",H665&gt;=60,"C",H665&lt;60,"D")</f>
        <v>B</v>
      </c>
      <c r="U665" t="str">
        <f t="shared" si="40"/>
        <v>09:22 AM</v>
      </c>
      <c r="V665" t="str">
        <f t="shared" si="41"/>
        <v>On Time</v>
      </c>
      <c r="W665" t="str">
        <f t="shared" si="42"/>
        <v>1 Hours 45 Minutes</v>
      </c>
      <c r="X665" t="str">
        <f t="shared" si="43"/>
        <v>Short Time Login</v>
      </c>
      <c r="AA665" s="35" t="s">
        <v>947</v>
      </c>
      <c r="AB665" s="35" t="s">
        <v>584</v>
      </c>
      <c r="AC665" s="35">
        <v>83</v>
      </c>
      <c r="AD665" s="35">
        <v>100</v>
      </c>
      <c r="AE665" s="35" t="s">
        <v>45</v>
      </c>
      <c r="AF665" s="35">
        <v>4000</v>
      </c>
      <c r="AH665" s="35" t="s">
        <v>27</v>
      </c>
    </row>
    <row r="666" spans="1:34">
      <c r="A666" t="s">
        <v>948</v>
      </c>
      <c r="B666" t="s">
        <v>236</v>
      </c>
      <c r="C666">
        <v>26</v>
      </c>
      <c r="D666" t="s">
        <v>35</v>
      </c>
      <c r="E666" t="s">
        <v>30</v>
      </c>
      <c r="F666" t="s">
        <v>23</v>
      </c>
      <c r="G666" t="s">
        <v>24</v>
      </c>
      <c r="H666">
        <v>82</v>
      </c>
      <c r="I666">
        <v>79</v>
      </c>
      <c r="J666" t="s">
        <v>45</v>
      </c>
      <c r="K666">
        <v>12000</v>
      </c>
      <c r="L666">
        <v>12390</v>
      </c>
      <c r="M666">
        <v>0</v>
      </c>
      <c r="N666" t="s">
        <v>11</v>
      </c>
      <c r="O666" t="s">
        <v>27</v>
      </c>
      <c r="P666" s="1">
        <v>45947</v>
      </c>
      <c r="Q666" s="1">
        <v>45977</v>
      </c>
      <c r="R666" s="2">
        <v>0.35972222222222222</v>
      </c>
      <c r="S666" s="2">
        <v>0.42430555555555555</v>
      </c>
      <c r="T666" t="str" cm="1">
        <f t="array" ref="T666">_xlfn.IFS(H666&gt;=90,"A",H666&gt;=75,"B",H666&gt;=60,"C",H666&lt;60,"D")</f>
        <v>B</v>
      </c>
      <c r="U666" t="str">
        <f t="shared" si="40"/>
        <v>08:38 AM</v>
      </c>
      <c r="V666" t="str">
        <f t="shared" si="41"/>
        <v>On Time</v>
      </c>
      <c r="W666" t="str">
        <f t="shared" si="42"/>
        <v>1 Hours 33 Minutes</v>
      </c>
      <c r="X666" t="str">
        <f t="shared" si="43"/>
        <v>Short Time Login</v>
      </c>
      <c r="AA666" s="34" t="s">
        <v>948</v>
      </c>
      <c r="AB666" s="34" t="s">
        <v>236</v>
      </c>
      <c r="AC666" s="34">
        <v>82</v>
      </c>
      <c r="AD666" s="34">
        <v>79</v>
      </c>
      <c r="AE666" s="34" t="s">
        <v>45</v>
      </c>
      <c r="AF666" s="34">
        <v>0</v>
      </c>
      <c r="AH666" s="34" t="s">
        <v>27</v>
      </c>
    </row>
    <row r="667" spans="1:34">
      <c r="A667" t="s">
        <v>949</v>
      </c>
      <c r="B667" t="s">
        <v>343</v>
      </c>
      <c r="C667">
        <v>28</v>
      </c>
      <c r="D667" t="s">
        <v>35</v>
      </c>
      <c r="E667" t="s">
        <v>30</v>
      </c>
      <c r="F667" t="s">
        <v>49</v>
      </c>
      <c r="G667" t="s">
        <v>50</v>
      </c>
      <c r="H667">
        <v>97</v>
      </c>
      <c r="I667">
        <v>60</v>
      </c>
      <c r="J667" t="s">
        <v>59</v>
      </c>
      <c r="K667">
        <v>12000</v>
      </c>
      <c r="L667">
        <v>10980</v>
      </c>
      <c r="M667">
        <v>2000</v>
      </c>
      <c r="N667" t="s">
        <v>26</v>
      </c>
      <c r="O667" t="s">
        <v>127</v>
      </c>
      <c r="P667" s="1">
        <v>45799</v>
      </c>
      <c r="Q667" s="1">
        <v>45919</v>
      </c>
      <c r="R667" s="2">
        <v>0.37708333333333333</v>
      </c>
      <c r="S667" s="2">
        <v>0.49583333333333335</v>
      </c>
      <c r="T667" t="str" cm="1">
        <f t="array" ref="T667">_xlfn.IFS(H667&gt;=90,"A",H667&gt;=75,"B",H667&gt;=60,"C",H667&lt;60,"D")</f>
        <v>A</v>
      </c>
      <c r="U667" t="str">
        <f t="shared" si="40"/>
        <v>09:03 AM</v>
      </c>
      <c r="V667" t="str">
        <f t="shared" si="41"/>
        <v>Delayed</v>
      </c>
      <c r="W667" t="str">
        <f t="shared" si="42"/>
        <v>2 Hours 51 Minutes</v>
      </c>
      <c r="X667" t="str">
        <f t="shared" si="43"/>
        <v>Short Time Login</v>
      </c>
      <c r="AA667" s="35" t="s">
        <v>949</v>
      </c>
      <c r="AB667" s="35" t="s">
        <v>343</v>
      </c>
      <c r="AC667" s="35">
        <v>97</v>
      </c>
      <c r="AD667" s="35">
        <v>60</v>
      </c>
      <c r="AE667" s="35" t="s">
        <v>59</v>
      </c>
      <c r="AF667" s="35">
        <v>2000</v>
      </c>
      <c r="AH667" s="35" t="s">
        <v>127</v>
      </c>
    </row>
    <row r="668" spans="1:34">
      <c r="A668" t="s">
        <v>950</v>
      </c>
      <c r="B668" t="s">
        <v>295</v>
      </c>
      <c r="C668">
        <v>23</v>
      </c>
      <c r="D668" t="s">
        <v>21</v>
      </c>
      <c r="E668" t="s">
        <v>44</v>
      </c>
      <c r="F668" t="s">
        <v>88</v>
      </c>
      <c r="G668" t="s">
        <v>89</v>
      </c>
      <c r="H668">
        <v>82</v>
      </c>
      <c r="I668">
        <v>93</v>
      </c>
      <c r="J668" t="s">
        <v>45</v>
      </c>
      <c r="K668">
        <v>12000</v>
      </c>
      <c r="L668">
        <v>12980</v>
      </c>
      <c r="M668">
        <v>0</v>
      </c>
      <c r="N668" t="s">
        <v>11</v>
      </c>
      <c r="O668" t="s">
        <v>27</v>
      </c>
      <c r="P668" s="1">
        <v>45949</v>
      </c>
      <c r="Q668" s="1">
        <v>46039</v>
      </c>
      <c r="R668" s="2">
        <v>0.42777777777777776</v>
      </c>
      <c r="S668" s="2">
        <v>0.62569444444444444</v>
      </c>
      <c r="T668" t="str" cm="1">
        <f t="array" ref="T668">_xlfn.IFS(H668&gt;=90,"A",H668&gt;=75,"B",H668&gt;=60,"C",H668&lt;60,"D")</f>
        <v>B</v>
      </c>
      <c r="U668" t="str">
        <f t="shared" si="40"/>
        <v>10:16 AM</v>
      </c>
      <c r="V668" t="str">
        <f t="shared" si="41"/>
        <v>On Time</v>
      </c>
      <c r="W668" t="str">
        <f t="shared" si="42"/>
        <v>4 Hours 45 Minutes</v>
      </c>
      <c r="X668" t="str">
        <f t="shared" si="43"/>
        <v>Long Time Login</v>
      </c>
      <c r="AA668" s="34" t="s">
        <v>950</v>
      </c>
      <c r="AB668" s="34" t="s">
        <v>295</v>
      </c>
      <c r="AC668" s="34">
        <v>82</v>
      </c>
      <c r="AD668" s="34">
        <v>93</v>
      </c>
      <c r="AE668" s="34" t="s">
        <v>45</v>
      </c>
      <c r="AF668" s="34">
        <v>0</v>
      </c>
      <c r="AH668" s="34" t="s">
        <v>27</v>
      </c>
    </row>
    <row r="669" spans="1:34">
      <c r="A669" t="s">
        <v>951</v>
      </c>
      <c r="B669" t="s">
        <v>148</v>
      </c>
      <c r="C669">
        <v>25</v>
      </c>
      <c r="D669" t="s">
        <v>35</v>
      </c>
      <c r="E669" t="s">
        <v>67</v>
      </c>
      <c r="F669" t="s">
        <v>49</v>
      </c>
      <c r="G669" t="s">
        <v>50</v>
      </c>
      <c r="H669">
        <v>81</v>
      </c>
      <c r="I669">
        <v>75</v>
      </c>
      <c r="J669" t="s">
        <v>45</v>
      </c>
      <c r="K669">
        <v>15000</v>
      </c>
      <c r="L669">
        <v>13930</v>
      </c>
      <c r="M669">
        <v>2000</v>
      </c>
      <c r="N669" t="s">
        <v>26</v>
      </c>
      <c r="O669" t="s">
        <v>27</v>
      </c>
      <c r="P669" s="1">
        <v>45814</v>
      </c>
      <c r="Q669" s="1">
        <v>45874</v>
      </c>
      <c r="R669" s="2">
        <v>0.43958333333333333</v>
      </c>
      <c r="S669" s="2">
        <v>0.53402777777777777</v>
      </c>
      <c r="T669" t="str" cm="1">
        <f t="array" ref="T669">_xlfn.IFS(H669&gt;=90,"A",H669&gt;=75,"B",H669&gt;=60,"C",H669&lt;60,"D")</f>
        <v>B</v>
      </c>
      <c r="U669" t="str">
        <f t="shared" si="40"/>
        <v>10:33 AM</v>
      </c>
      <c r="V669" t="str">
        <f t="shared" si="41"/>
        <v>On Time</v>
      </c>
      <c r="W669" t="str">
        <f t="shared" si="42"/>
        <v>2 Hours 16 Minutes</v>
      </c>
      <c r="X669" t="str">
        <f t="shared" si="43"/>
        <v>Long Time Login</v>
      </c>
      <c r="AA669" s="35" t="s">
        <v>951</v>
      </c>
      <c r="AB669" s="35" t="s">
        <v>148</v>
      </c>
      <c r="AC669" s="35">
        <v>81</v>
      </c>
      <c r="AD669" s="35">
        <v>75</v>
      </c>
      <c r="AE669" s="35" t="s">
        <v>45</v>
      </c>
      <c r="AF669" s="35">
        <v>2000</v>
      </c>
      <c r="AH669" s="35" t="s">
        <v>27</v>
      </c>
    </row>
    <row r="670" spans="1:34">
      <c r="A670" t="s">
        <v>952</v>
      </c>
      <c r="B670" t="s">
        <v>213</v>
      </c>
      <c r="C670">
        <v>28</v>
      </c>
      <c r="D670" t="s">
        <v>35</v>
      </c>
      <c r="E670" t="s">
        <v>30</v>
      </c>
      <c r="F670" t="s">
        <v>63</v>
      </c>
      <c r="G670" t="s">
        <v>64</v>
      </c>
      <c r="H670">
        <v>40</v>
      </c>
      <c r="I670">
        <v>73</v>
      </c>
      <c r="J670" t="s">
        <v>25</v>
      </c>
      <c r="K670">
        <v>20000</v>
      </c>
      <c r="L670">
        <v>22420</v>
      </c>
      <c r="M670">
        <v>0</v>
      </c>
      <c r="N670" t="s">
        <v>11</v>
      </c>
      <c r="O670" t="s">
        <v>27</v>
      </c>
      <c r="P670" s="1">
        <v>45855</v>
      </c>
      <c r="Q670" s="1">
        <v>45975</v>
      </c>
      <c r="R670" s="2">
        <v>0.35069444444444442</v>
      </c>
      <c r="S670" s="2">
        <v>0.46736111111111112</v>
      </c>
      <c r="T670" t="str" cm="1">
        <f t="array" ref="T670">_xlfn.IFS(H670&gt;=90,"A",H670&gt;=75,"B",H670&gt;=60,"C",H670&lt;60,"D")</f>
        <v>D</v>
      </c>
      <c r="U670" t="str">
        <f t="shared" si="40"/>
        <v>08:25 AM</v>
      </c>
      <c r="V670" t="str">
        <f t="shared" si="41"/>
        <v>Delayed</v>
      </c>
      <c r="W670" t="str">
        <f t="shared" si="42"/>
        <v>2 Hours 48 Minutes</v>
      </c>
      <c r="X670" t="str">
        <f t="shared" si="43"/>
        <v>Short Time Login</v>
      </c>
      <c r="AA670" s="34" t="s">
        <v>952</v>
      </c>
      <c r="AB670" s="34" t="s">
        <v>213</v>
      </c>
      <c r="AC670" s="34">
        <v>40</v>
      </c>
      <c r="AD670" s="34">
        <v>73</v>
      </c>
      <c r="AE670" s="34" t="s">
        <v>25</v>
      </c>
      <c r="AF670" s="34">
        <v>0</v>
      </c>
      <c r="AH670" s="34" t="s">
        <v>27</v>
      </c>
    </row>
    <row r="671" spans="1:34">
      <c r="A671" t="s">
        <v>953</v>
      </c>
      <c r="B671" t="s">
        <v>495</v>
      </c>
      <c r="C671">
        <v>24</v>
      </c>
      <c r="D671" t="s">
        <v>21</v>
      </c>
      <c r="E671" t="s">
        <v>113</v>
      </c>
      <c r="F671" t="s">
        <v>49</v>
      </c>
      <c r="G671" t="s">
        <v>50</v>
      </c>
      <c r="H671">
        <v>98</v>
      </c>
      <c r="I671">
        <v>72</v>
      </c>
      <c r="J671" t="s">
        <v>59</v>
      </c>
      <c r="K671">
        <v>20000</v>
      </c>
      <c r="L671">
        <v>19600</v>
      </c>
      <c r="M671">
        <v>4000</v>
      </c>
      <c r="N671" t="s">
        <v>26</v>
      </c>
      <c r="O671" t="s">
        <v>27</v>
      </c>
      <c r="P671" s="1">
        <v>45812</v>
      </c>
      <c r="Q671" s="1">
        <v>45872</v>
      </c>
      <c r="R671" s="2">
        <v>0.38472222222222224</v>
      </c>
      <c r="S671" s="2">
        <v>0.56805555555555554</v>
      </c>
      <c r="T671" t="str" cm="1">
        <f t="array" ref="T671">_xlfn.IFS(H671&gt;=90,"A",H671&gt;=75,"B",H671&gt;=60,"C",H671&lt;60,"D")</f>
        <v>A</v>
      </c>
      <c r="U671" t="str">
        <f t="shared" si="40"/>
        <v>09:14 AM</v>
      </c>
      <c r="V671" t="str">
        <f t="shared" si="41"/>
        <v>On Time</v>
      </c>
      <c r="W671" t="str">
        <f t="shared" si="42"/>
        <v>4 Hours 24 Minutes</v>
      </c>
      <c r="X671" t="str">
        <f t="shared" si="43"/>
        <v>Short Time Login</v>
      </c>
      <c r="AA671" s="35" t="s">
        <v>953</v>
      </c>
      <c r="AB671" s="35" t="s">
        <v>495</v>
      </c>
      <c r="AC671" s="35">
        <v>98</v>
      </c>
      <c r="AD671" s="35">
        <v>72</v>
      </c>
      <c r="AE671" s="35" t="s">
        <v>59</v>
      </c>
      <c r="AF671" s="35">
        <v>4000</v>
      </c>
      <c r="AH671" s="35" t="s">
        <v>27</v>
      </c>
    </row>
    <row r="672" spans="1:34">
      <c r="A672" t="s">
        <v>954</v>
      </c>
      <c r="B672" t="s">
        <v>518</v>
      </c>
      <c r="C672">
        <v>23</v>
      </c>
      <c r="D672" t="s">
        <v>21</v>
      </c>
      <c r="E672" t="s">
        <v>48</v>
      </c>
      <c r="F672" t="s">
        <v>31</v>
      </c>
      <c r="G672" t="s">
        <v>32</v>
      </c>
      <c r="H672">
        <v>99</v>
      </c>
      <c r="I672">
        <v>67</v>
      </c>
      <c r="J672" t="s">
        <v>59</v>
      </c>
      <c r="K672">
        <v>10000</v>
      </c>
      <c r="L672">
        <v>10620</v>
      </c>
      <c r="M672">
        <v>0</v>
      </c>
      <c r="N672" t="s">
        <v>11</v>
      </c>
      <c r="O672" t="s">
        <v>27</v>
      </c>
      <c r="P672" s="1">
        <v>45841</v>
      </c>
      <c r="Q672" s="1">
        <v>45871</v>
      </c>
      <c r="R672" s="2">
        <v>0.44374999999999998</v>
      </c>
      <c r="S672" s="2">
        <v>0.63472222222222219</v>
      </c>
      <c r="T672" t="str" cm="1">
        <f t="array" ref="T672">_xlfn.IFS(H672&gt;=90,"A",H672&gt;=75,"B",H672&gt;=60,"C",H672&lt;60,"D")</f>
        <v>A</v>
      </c>
      <c r="U672" t="str">
        <f t="shared" si="40"/>
        <v>10:39 AM</v>
      </c>
      <c r="V672" t="str">
        <f t="shared" si="41"/>
        <v>On Time</v>
      </c>
      <c r="W672" t="str">
        <f t="shared" si="42"/>
        <v>4 Hours 35 Minutes</v>
      </c>
      <c r="X672" t="str">
        <f t="shared" si="43"/>
        <v>Long Time Login</v>
      </c>
      <c r="AA672" s="34" t="s">
        <v>954</v>
      </c>
      <c r="AB672" s="34" t="s">
        <v>518</v>
      </c>
      <c r="AC672" s="34">
        <v>99</v>
      </c>
      <c r="AD672" s="34">
        <v>67</v>
      </c>
      <c r="AE672" s="34" t="s">
        <v>59</v>
      </c>
      <c r="AF672" s="34">
        <v>0</v>
      </c>
      <c r="AH672" s="34" t="s">
        <v>27</v>
      </c>
    </row>
    <row r="673" spans="1:34">
      <c r="A673" t="s">
        <v>955</v>
      </c>
      <c r="B673" t="s">
        <v>75</v>
      </c>
      <c r="C673">
        <v>25</v>
      </c>
      <c r="D673" t="s">
        <v>35</v>
      </c>
      <c r="E673" t="s">
        <v>39</v>
      </c>
      <c r="F673" t="s">
        <v>57</v>
      </c>
      <c r="G673" t="s">
        <v>58</v>
      </c>
      <c r="H673">
        <v>94</v>
      </c>
      <c r="I673">
        <v>85</v>
      </c>
      <c r="J673" t="s">
        <v>59</v>
      </c>
      <c r="K673">
        <v>10000</v>
      </c>
      <c r="L673">
        <v>9210</v>
      </c>
      <c r="M673">
        <v>2000</v>
      </c>
      <c r="N673" t="s">
        <v>26</v>
      </c>
      <c r="O673" t="s">
        <v>27</v>
      </c>
      <c r="P673" s="1">
        <v>45854</v>
      </c>
      <c r="Q673" s="1">
        <v>46034</v>
      </c>
      <c r="R673" s="2">
        <v>0.36527777777777776</v>
      </c>
      <c r="S673" s="2">
        <v>0.4597222222222222</v>
      </c>
      <c r="T673" t="str" cm="1">
        <f t="array" ref="T673">_xlfn.IFS(H673&gt;=90,"A",H673&gt;=75,"B",H673&gt;=60,"C",H673&lt;60,"D")</f>
        <v>A</v>
      </c>
      <c r="U673" t="str">
        <f t="shared" si="40"/>
        <v>08:46 AM</v>
      </c>
      <c r="V673" t="str">
        <f t="shared" si="41"/>
        <v>Delayed</v>
      </c>
      <c r="W673" t="str">
        <f t="shared" si="42"/>
        <v>2 Hours 16 Minutes</v>
      </c>
      <c r="X673" t="str">
        <f t="shared" si="43"/>
        <v>Short Time Login</v>
      </c>
      <c r="AA673" s="35" t="s">
        <v>955</v>
      </c>
      <c r="AB673" s="35" t="s">
        <v>75</v>
      </c>
      <c r="AC673" s="35">
        <v>94</v>
      </c>
      <c r="AD673" s="35">
        <v>85</v>
      </c>
      <c r="AE673" s="35" t="s">
        <v>59</v>
      </c>
      <c r="AF673" s="35">
        <v>2000</v>
      </c>
      <c r="AH673" s="35" t="s">
        <v>27</v>
      </c>
    </row>
    <row r="674" spans="1:34">
      <c r="A674" t="s">
        <v>956</v>
      </c>
      <c r="B674" t="s">
        <v>185</v>
      </c>
      <c r="C674">
        <v>18</v>
      </c>
      <c r="D674" t="s">
        <v>21</v>
      </c>
      <c r="E674" t="s">
        <v>73</v>
      </c>
      <c r="F674" t="s">
        <v>53</v>
      </c>
      <c r="G674" t="s">
        <v>54</v>
      </c>
      <c r="H674">
        <v>62</v>
      </c>
      <c r="I674">
        <v>83</v>
      </c>
      <c r="J674" t="s">
        <v>68</v>
      </c>
      <c r="K674">
        <v>20000</v>
      </c>
      <c r="L674">
        <v>21010</v>
      </c>
      <c r="M674">
        <v>2000</v>
      </c>
      <c r="N674" t="s">
        <v>26</v>
      </c>
      <c r="O674" t="s">
        <v>27</v>
      </c>
      <c r="P674" s="1">
        <v>46005</v>
      </c>
      <c r="Q674" s="1">
        <v>46035</v>
      </c>
      <c r="R674" s="2">
        <v>0.44722222222222224</v>
      </c>
      <c r="S674" s="2">
        <v>0.64375000000000004</v>
      </c>
      <c r="T674" t="str" cm="1">
        <f t="array" ref="T674">_xlfn.IFS(H674&gt;=90,"A",H674&gt;=75,"B",H674&gt;=60,"C",H674&lt;60,"D")</f>
        <v>C</v>
      </c>
      <c r="U674" t="str">
        <f t="shared" si="40"/>
        <v>10:44 AM</v>
      </c>
      <c r="V674" t="str">
        <f t="shared" si="41"/>
        <v>On Time</v>
      </c>
      <c r="W674" t="str">
        <f t="shared" si="42"/>
        <v>4 Hours 43 Minutes</v>
      </c>
      <c r="X674" t="str">
        <f t="shared" si="43"/>
        <v>Long Time Login</v>
      </c>
      <c r="AA674" s="34" t="s">
        <v>956</v>
      </c>
      <c r="AB674" s="34" t="s">
        <v>185</v>
      </c>
      <c r="AC674" s="34">
        <v>62</v>
      </c>
      <c r="AD674" s="34">
        <v>83</v>
      </c>
      <c r="AE674" s="34" t="s">
        <v>68</v>
      </c>
      <c r="AF674" s="34">
        <v>2000</v>
      </c>
      <c r="AH674" s="34" t="s">
        <v>27</v>
      </c>
    </row>
    <row r="675" spans="1:34">
      <c r="A675" t="s">
        <v>957</v>
      </c>
      <c r="B675" t="s">
        <v>234</v>
      </c>
      <c r="C675">
        <v>20</v>
      </c>
      <c r="D675" t="s">
        <v>35</v>
      </c>
      <c r="E675" t="s">
        <v>22</v>
      </c>
      <c r="F675" t="s">
        <v>49</v>
      </c>
      <c r="G675" t="s">
        <v>50</v>
      </c>
      <c r="H675">
        <v>82</v>
      </c>
      <c r="I675">
        <v>80</v>
      </c>
      <c r="J675" t="s">
        <v>45</v>
      </c>
      <c r="K675">
        <v>15000</v>
      </c>
      <c r="L675">
        <v>13700</v>
      </c>
      <c r="M675">
        <v>4000</v>
      </c>
      <c r="N675" t="s">
        <v>26</v>
      </c>
      <c r="O675" t="s">
        <v>27</v>
      </c>
      <c r="P675" s="1">
        <v>45922</v>
      </c>
      <c r="Q675" s="1">
        <v>46102</v>
      </c>
      <c r="R675" s="2">
        <v>0.44374999999999998</v>
      </c>
      <c r="S675" s="2">
        <v>0.5756944444444444</v>
      </c>
      <c r="T675" t="str" cm="1">
        <f t="array" ref="T675">_xlfn.IFS(H675&gt;=90,"A",H675&gt;=75,"B",H675&gt;=60,"C",H675&lt;60,"D")</f>
        <v>B</v>
      </c>
      <c r="U675" t="str">
        <f t="shared" si="40"/>
        <v>10:39 AM</v>
      </c>
      <c r="V675" t="str">
        <f t="shared" si="41"/>
        <v>Delayed</v>
      </c>
      <c r="W675" t="str">
        <f t="shared" si="42"/>
        <v>3 Hours 10 Minutes</v>
      </c>
      <c r="X675" t="str">
        <f t="shared" si="43"/>
        <v>Long Time Login</v>
      </c>
      <c r="AA675" s="35" t="s">
        <v>957</v>
      </c>
      <c r="AB675" s="35" t="s">
        <v>234</v>
      </c>
      <c r="AC675" s="35">
        <v>82</v>
      </c>
      <c r="AD675" s="35">
        <v>80</v>
      </c>
      <c r="AE675" s="35" t="s">
        <v>45</v>
      </c>
      <c r="AF675" s="35">
        <v>4000</v>
      </c>
      <c r="AH675" s="35" t="s">
        <v>27</v>
      </c>
    </row>
    <row r="676" spans="1:34">
      <c r="A676" t="s">
        <v>958</v>
      </c>
      <c r="B676" t="s">
        <v>278</v>
      </c>
      <c r="C676">
        <v>22</v>
      </c>
      <c r="D676" t="s">
        <v>21</v>
      </c>
      <c r="E676" t="s">
        <v>113</v>
      </c>
      <c r="F676" t="s">
        <v>53</v>
      </c>
      <c r="G676" t="s">
        <v>54</v>
      </c>
      <c r="H676">
        <v>65</v>
      </c>
      <c r="I676">
        <v>82</v>
      </c>
      <c r="J676" t="s">
        <v>68</v>
      </c>
      <c r="K676">
        <v>12000</v>
      </c>
      <c r="L676">
        <v>14160</v>
      </c>
      <c r="M676">
        <v>0</v>
      </c>
      <c r="N676" t="s">
        <v>11</v>
      </c>
      <c r="O676" t="s">
        <v>27</v>
      </c>
      <c r="P676" s="1">
        <v>45967</v>
      </c>
      <c r="Q676" s="1">
        <v>45997</v>
      </c>
      <c r="R676" s="2">
        <v>0.34305555555555556</v>
      </c>
      <c r="S676" s="2">
        <v>0.4597222222222222</v>
      </c>
      <c r="T676" t="str" cm="1">
        <f t="array" ref="T676">_xlfn.IFS(H676&gt;=90,"A",H676&gt;=75,"B",H676&gt;=60,"C",H676&lt;60,"D")</f>
        <v>C</v>
      </c>
      <c r="U676" t="str">
        <f t="shared" si="40"/>
        <v>08:14 AM</v>
      </c>
      <c r="V676" t="str">
        <f t="shared" si="41"/>
        <v>On Time</v>
      </c>
      <c r="W676" t="str">
        <f t="shared" si="42"/>
        <v>2 Hours 48 Minutes</v>
      </c>
      <c r="X676" t="str">
        <f t="shared" si="43"/>
        <v>Short Time Login</v>
      </c>
      <c r="AA676" s="34" t="s">
        <v>958</v>
      </c>
      <c r="AB676" s="34" t="s">
        <v>278</v>
      </c>
      <c r="AC676" s="34">
        <v>65</v>
      </c>
      <c r="AD676" s="34">
        <v>82</v>
      </c>
      <c r="AE676" s="34" t="s">
        <v>68</v>
      </c>
      <c r="AF676" s="34">
        <v>0</v>
      </c>
      <c r="AH676" s="34" t="s">
        <v>27</v>
      </c>
    </row>
    <row r="677" spans="1:34">
      <c r="A677" t="s">
        <v>959</v>
      </c>
      <c r="B677" t="s">
        <v>211</v>
      </c>
      <c r="C677">
        <v>18</v>
      </c>
      <c r="D677" t="s">
        <v>21</v>
      </c>
      <c r="E677" t="s">
        <v>44</v>
      </c>
      <c r="F677" t="s">
        <v>53</v>
      </c>
      <c r="G677" t="s">
        <v>54</v>
      </c>
      <c r="H677">
        <v>60</v>
      </c>
      <c r="I677">
        <v>75</v>
      </c>
      <c r="J677" t="s">
        <v>68</v>
      </c>
      <c r="K677">
        <v>10000</v>
      </c>
      <c r="L677">
        <v>7210</v>
      </c>
      <c r="M677">
        <v>4000</v>
      </c>
      <c r="N677" t="s">
        <v>26</v>
      </c>
      <c r="O677" t="s">
        <v>27</v>
      </c>
      <c r="P677" s="1">
        <v>46016</v>
      </c>
      <c r="Q677" s="1">
        <v>46076</v>
      </c>
      <c r="R677" s="2">
        <v>0.35416666666666669</v>
      </c>
      <c r="S677" s="2">
        <v>0.41736111111111113</v>
      </c>
      <c r="T677" t="str" cm="1">
        <f t="array" ref="T677">_xlfn.IFS(H677&gt;=90,"A",H677&gt;=75,"B",H677&gt;=60,"C",H677&lt;60,"D")</f>
        <v>C</v>
      </c>
      <c r="U677" t="str">
        <f t="shared" si="40"/>
        <v>08:30 AM</v>
      </c>
      <c r="V677" t="str">
        <f t="shared" si="41"/>
        <v>On Time</v>
      </c>
      <c r="W677" t="str">
        <f t="shared" si="42"/>
        <v>1 Hours 31 Minutes</v>
      </c>
      <c r="X677" t="str">
        <f t="shared" si="43"/>
        <v>Short Time Login</v>
      </c>
      <c r="AA677" s="35" t="s">
        <v>959</v>
      </c>
      <c r="AB677" s="35" t="s">
        <v>211</v>
      </c>
      <c r="AC677" s="35">
        <v>60</v>
      </c>
      <c r="AD677" s="35">
        <v>75</v>
      </c>
      <c r="AE677" s="35" t="s">
        <v>68</v>
      </c>
      <c r="AF677" s="35">
        <v>4000</v>
      </c>
      <c r="AH677" s="35" t="s">
        <v>27</v>
      </c>
    </row>
    <row r="678" spans="1:34">
      <c r="A678" t="s">
        <v>960</v>
      </c>
      <c r="B678" t="s">
        <v>661</v>
      </c>
      <c r="C678">
        <v>21</v>
      </c>
      <c r="D678" t="s">
        <v>35</v>
      </c>
      <c r="E678" t="s">
        <v>36</v>
      </c>
      <c r="F678" t="s">
        <v>31</v>
      </c>
      <c r="G678" t="s">
        <v>32</v>
      </c>
      <c r="H678">
        <v>48</v>
      </c>
      <c r="I678">
        <v>89</v>
      </c>
      <c r="J678" t="s">
        <v>25</v>
      </c>
      <c r="K678">
        <v>15000</v>
      </c>
      <c r="L678">
        <v>13110</v>
      </c>
      <c r="M678">
        <v>4000</v>
      </c>
      <c r="N678" t="s">
        <v>26</v>
      </c>
      <c r="O678" t="s">
        <v>27</v>
      </c>
      <c r="P678" s="1">
        <v>45796</v>
      </c>
      <c r="Q678" s="1">
        <v>45976</v>
      </c>
      <c r="R678" s="2">
        <v>0.40069444444444446</v>
      </c>
      <c r="S678" s="2">
        <v>0.58958333333333335</v>
      </c>
      <c r="T678" t="str" cm="1">
        <f t="array" ref="T678">_xlfn.IFS(H678&gt;=90,"A",H678&gt;=75,"B",H678&gt;=60,"C",H678&lt;60,"D")</f>
        <v>D</v>
      </c>
      <c r="U678" t="str">
        <f t="shared" si="40"/>
        <v>09:37 AM</v>
      </c>
      <c r="V678" t="str">
        <f t="shared" si="41"/>
        <v>Delayed</v>
      </c>
      <c r="W678" t="str">
        <f t="shared" si="42"/>
        <v>4 Hours 32 Minutes</v>
      </c>
      <c r="X678" t="str">
        <f t="shared" si="43"/>
        <v>Short Time Login</v>
      </c>
      <c r="AA678" s="34" t="s">
        <v>960</v>
      </c>
      <c r="AB678" s="34" t="s">
        <v>661</v>
      </c>
      <c r="AC678" s="34">
        <v>48</v>
      </c>
      <c r="AD678" s="34">
        <v>89</v>
      </c>
      <c r="AE678" s="34" t="s">
        <v>25</v>
      </c>
      <c r="AF678" s="34">
        <v>4000</v>
      </c>
      <c r="AH678" s="34" t="s">
        <v>27</v>
      </c>
    </row>
    <row r="679" spans="1:34">
      <c r="A679" t="s">
        <v>961</v>
      </c>
      <c r="B679" t="s">
        <v>124</v>
      </c>
      <c r="C679">
        <v>24</v>
      </c>
      <c r="D679" t="s">
        <v>35</v>
      </c>
      <c r="E679" t="s">
        <v>122</v>
      </c>
      <c r="F679" t="s">
        <v>63</v>
      </c>
      <c r="G679" t="s">
        <v>64</v>
      </c>
      <c r="H679">
        <v>38</v>
      </c>
      <c r="I679">
        <v>65</v>
      </c>
      <c r="J679" t="s">
        <v>25</v>
      </c>
      <c r="K679">
        <v>12000</v>
      </c>
      <c r="L679">
        <v>9570</v>
      </c>
      <c r="M679">
        <v>4000</v>
      </c>
      <c r="N679" t="s">
        <v>26</v>
      </c>
      <c r="O679" t="s">
        <v>27</v>
      </c>
      <c r="P679" s="1">
        <v>45665</v>
      </c>
      <c r="Q679" s="1">
        <v>45785</v>
      </c>
      <c r="R679" s="2">
        <v>0.44930555555555557</v>
      </c>
      <c r="S679" s="2">
        <v>0.6430555555555556</v>
      </c>
      <c r="T679" t="str" cm="1">
        <f t="array" ref="T679">_xlfn.IFS(H679&gt;=90,"A",H679&gt;=75,"B",H679&gt;=60,"C",H679&lt;60,"D")</f>
        <v>D</v>
      </c>
      <c r="U679" t="str">
        <f t="shared" si="40"/>
        <v>10:47 AM</v>
      </c>
      <c r="V679" t="str">
        <f t="shared" si="41"/>
        <v>Delayed</v>
      </c>
      <c r="W679" t="str">
        <f t="shared" si="42"/>
        <v>4 Hours 39 Minutes</v>
      </c>
      <c r="X679" t="str">
        <f t="shared" si="43"/>
        <v>Long Time Login</v>
      </c>
      <c r="AA679" s="35" t="s">
        <v>961</v>
      </c>
      <c r="AB679" s="35" t="s">
        <v>124</v>
      </c>
      <c r="AC679" s="35">
        <v>38</v>
      </c>
      <c r="AD679" s="35">
        <v>65</v>
      </c>
      <c r="AE679" s="35" t="s">
        <v>25</v>
      </c>
      <c r="AF679" s="35">
        <v>4000</v>
      </c>
      <c r="AH679" s="35" t="s">
        <v>27</v>
      </c>
    </row>
    <row r="680" spans="1:34">
      <c r="A680" t="s">
        <v>962</v>
      </c>
      <c r="B680" t="s">
        <v>963</v>
      </c>
      <c r="C680">
        <v>20</v>
      </c>
      <c r="D680" t="s">
        <v>21</v>
      </c>
      <c r="E680" t="s">
        <v>67</v>
      </c>
      <c r="F680" t="s">
        <v>31</v>
      </c>
      <c r="G680" t="s">
        <v>32</v>
      </c>
      <c r="H680">
        <v>91</v>
      </c>
      <c r="I680">
        <v>89</v>
      </c>
      <c r="J680" t="s">
        <v>59</v>
      </c>
      <c r="K680">
        <v>12000</v>
      </c>
      <c r="L680">
        <v>9570</v>
      </c>
      <c r="M680">
        <v>4000</v>
      </c>
      <c r="N680" t="s">
        <v>26</v>
      </c>
      <c r="O680" t="s">
        <v>27</v>
      </c>
      <c r="P680" s="1">
        <v>45865</v>
      </c>
      <c r="Q680" s="1">
        <v>45925</v>
      </c>
      <c r="R680" s="2">
        <v>0.33750000000000002</v>
      </c>
      <c r="S680" s="2">
        <v>0.46875</v>
      </c>
      <c r="T680" t="str" cm="1">
        <f t="array" ref="T680">_xlfn.IFS(H680&gt;=90,"A",H680&gt;=75,"B",H680&gt;=60,"C",H680&lt;60,"D")</f>
        <v>A</v>
      </c>
      <c r="U680" t="str">
        <f t="shared" si="40"/>
        <v>08:06 AM</v>
      </c>
      <c r="V680" t="str">
        <f t="shared" si="41"/>
        <v>On Time</v>
      </c>
      <c r="W680" t="str">
        <f t="shared" si="42"/>
        <v>3 Hours 9 Minutes</v>
      </c>
      <c r="X680" t="str">
        <f t="shared" si="43"/>
        <v>Short Time Login</v>
      </c>
      <c r="AA680" s="34" t="s">
        <v>962</v>
      </c>
      <c r="AB680" s="34" t="s">
        <v>963</v>
      </c>
      <c r="AC680" s="34">
        <v>91</v>
      </c>
      <c r="AD680" s="34">
        <v>89</v>
      </c>
      <c r="AE680" s="34" t="s">
        <v>59</v>
      </c>
      <c r="AF680" s="34">
        <v>4000</v>
      </c>
      <c r="AH680" s="34" t="s">
        <v>27</v>
      </c>
    </row>
    <row r="681" spans="1:34">
      <c r="A681" t="s">
        <v>964</v>
      </c>
      <c r="B681" t="s">
        <v>124</v>
      </c>
      <c r="C681">
        <v>21</v>
      </c>
      <c r="D681" t="s">
        <v>21</v>
      </c>
      <c r="E681" t="s">
        <v>48</v>
      </c>
      <c r="F681" t="s">
        <v>63</v>
      </c>
      <c r="G681" t="s">
        <v>64</v>
      </c>
      <c r="H681">
        <v>49</v>
      </c>
      <c r="I681">
        <v>82</v>
      </c>
      <c r="J681" t="s">
        <v>25</v>
      </c>
      <c r="K681">
        <v>20000</v>
      </c>
      <c r="L681">
        <v>18420</v>
      </c>
      <c r="M681">
        <v>4000</v>
      </c>
      <c r="N681" t="s">
        <v>26</v>
      </c>
      <c r="O681" t="s">
        <v>27</v>
      </c>
      <c r="P681" s="1">
        <v>45885</v>
      </c>
      <c r="Q681" s="1">
        <v>46005</v>
      </c>
      <c r="R681" s="2">
        <v>0.3576388888888889</v>
      </c>
      <c r="S681" s="2">
        <v>0.41388888888888886</v>
      </c>
      <c r="T681" t="str" cm="1">
        <f t="array" ref="T681">_xlfn.IFS(H681&gt;=90,"A",H681&gt;=75,"B",H681&gt;=60,"C",H681&lt;60,"D")</f>
        <v>D</v>
      </c>
      <c r="U681" t="str">
        <f t="shared" si="40"/>
        <v>08:35 AM</v>
      </c>
      <c r="V681" t="str">
        <f t="shared" si="41"/>
        <v>Delayed</v>
      </c>
      <c r="W681" t="str">
        <f t="shared" si="42"/>
        <v>1 Hours 21 Minutes</v>
      </c>
      <c r="X681" t="str">
        <f t="shared" si="43"/>
        <v>Short Time Login</v>
      </c>
      <c r="AA681" s="35" t="s">
        <v>964</v>
      </c>
      <c r="AB681" s="35" t="s">
        <v>124</v>
      </c>
      <c r="AC681" s="35">
        <v>49</v>
      </c>
      <c r="AD681" s="35">
        <v>82</v>
      </c>
      <c r="AE681" s="35" t="s">
        <v>25</v>
      </c>
      <c r="AF681" s="35">
        <v>4000</v>
      </c>
      <c r="AH681" s="35" t="s">
        <v>27</v>
      </c>
    </row>
    <row r="682" spans="1:34">
      <c r="A682" t="s">
        <v>965</v>
      </c>
      <c r="B682" t="s">
        <v>87</v>
      </c>
      <c r="C682">
        <v>28</v>
      </c>
      <c r="D682" t="s">
        <v>21</v>
      </c>
      <c r="E682" t="s">
        <v>67</v>
      </c>
      <c r="F682" t="s">
        <v>49</v>
      </c>
      <c r="G682" t="s">
        <v>50</v>
      </c>
      <c r="H682">
        <v>60</v>
      </c>
      <c r="I682">
        <v>68</v>
      </c>
      <c r="J682" t="s">
        <v>68</v>
      </c>
      <c r="K682">
        <v>18000</v>
      </c>
      <c r="L682">
        <v>16060</v>
      </c>
      <c r="M682">
        <v>4000</v>
      </c>
      <c r="N682" t="s">
        <v>26</v>
      </c>
      <c r="O682" t="s">
        <v>27</v>
      </c>
      <c r="P682" s="1">
        <v>45866</v>
      </c>
      <c r="Q682" s="1">
        <v>46046</v>
      </c>
      <c r="R682" s="2">
        <v>0.3972222222222222</v>
      </c>
      <c r="S682" s="2">
        <v>0.48055555555555557</v>
      </c>
      <c r="T682" t="str" cm="1">
        <f t="array" ref="T682">_xlfn.IFS(H682&gt;=90,"A",H682&gt;=75,"B",H682&gt;=60,"C",H682&lt;60,"D")</f>
        <v>C</v>
      </c>
      <c r="U682" t="str">
        <f t="shared" si="40"/>
        <v>09:32 AM</v>
      </c>
      <c r="V682" t="str">
        <f t="shared" si="41"/>
        <v>Delayed</v>
      </c>
      <c r="W682" t="str">
        <f t="shared" si="42"/>
        <v>2 Hours 0 Minutes</v>
      </c>
      <c r="X682" t="str">
        <f t="shared" si="43"/>
        <v>Short Time Login</v>
      </c>
      <c r="AA682" s="34" t="s">
        <v>965</v>
      </c>
      <c r="AB682" s="34" t="s">
        <v>87</v>
      </c>
      <c r="AC682" s="34">
        <v>60</v>
      </c>
      <c r="AD682" s="34">
        <v>68</v>
      </c>
      <c r="AE682" s="34" t="s">
        <v>68</v>
      </c>
      <c r="AF682" s="34">
        <v>4000</v>
      </c>
      <c r="AH682" s="34" t="s">
        <v>27</v>
      </c>
    </row>
    <row r="683" spans="1:34">
      <c r="A683" t="s">
        <v>966</v>
      </c>
      <c r="B683" t="s">
        <v>222</v>
      </c>
      <c r="C683">
        <v>21</v>
      </c>
      <c r="D683" t="s">
        <v>21</v>
      </c>
      <c r="E683" t="s">
        <v>39</v>
      </c>
      <c r="F683" t="s">
        <v>40</v>
      </c>
      <c r="G683" t="s">
        <v>41</v>
      </c>
      <c r="H683">
        <v>38</v>
      </c>
      <c r="I683">
        <v>85</v>
      </c>
      <c r="J683" t="s">
        <v>25</v>
      </c>
      <c r="K683">
        <v>10000</v>
      </c>
      <c r="L683">
        <v>8030</v>
      </c>
      <c r="M683">
        <v>2000</v>
      </c>
      <c r="N683" t="s">
        <v>26</v>
      </c>
      <c r="O683" t="s">
        <v>27</v>
      </c>
      <c r="P683" s="1">
        <v>46018</v>
      </c>
      <c r="Q683" s="1">
        <v>46108</v>
      </c>
      <c r="R683" s="2">
        <v>0.43958333333333333</v>
      </c>
      <c r="S683" s="2">
        <v>0.62569444444444444</v>
      </c>
      <c r="T683" t="str" cm="1">
        <f t="array" ref="T683">_xlfn.IFS(H683&gt;=90,"A",H683&gt;=75,"B",H683&gt;=60,"C",H683&lt;60,"D")</f>
        <v>D</v>
      </c>
      <c r="U683" t="str">
        <f t="shared" si="40"/>
        <v>10:33 AM</v>
      </c>
      <c r="V683" t="str">
        <f t="shared" si="41"/>
        <v>On Time</v>
      </c>
      <c r="W683" t="str">
        <f t="shared" si="42"/>
        <v>4 Hours 28 Minutes</v>
      </c>
      <c r="X683" t="str">
        <f t="shared" si="43"/>
        <v>Long Time Login</v>
      </c>
      <c r="AA683" s="35" t="s">
        <v>966</v>
      </c>
      <c r="AB683" s="35" t="s">
        <v>222</v>
      </c>
      <c r="AC683" s="35">
        <v>38</v>
      </c>
      <c r="AD683" s="35">
        <v>85</v>
      </c>
      <c r="AE683" s="35" t="s">
        <v>25</v>
      </c>
      <c r="AF683" s="35">
        <v>2000</v>
      </c>
      <c r="AH683" s="35" t="s">
        <v>27</v>
      </c>
    </row>
    <row r="684" spans="1:34">
      <c r="A684" t="s">
        <v>967</v>
      </c>
      <c r="B684" t="s">
        <v>243</v>
      </c>
      <c r="C684">
        <v>22</v>
      </c>
      <c r="D684" t="s">
        <v>35</v>
      </c>
      <c r="E684" t="s">
        <v>67</v>
      </c>
      <c r="F684" t="s">
        <v>88</v>
      </c>
      <c r="G684" t="s">
        <v>89</v>
      </c>
      <c r="H684">
        <v>85</v>
      </c>
      <c r="I684">
        <v>77</v>
      </c>
      <c r="J684" t="s">
        <v>45</v>
      </c>
      <c r="K684">
        <v>10000</v>
      </c>
      <c r="L684">
        <v>9210</v>
      </c>
      <c r="M684">
        <v>2000</v>
      </c>
      <c r="N684" t="s">
        <v>26</v>
      </c>
      <c r="O684" t="s">
        <v>27</v>
      </c>
      <c r="P684" s="1">
        <v>45913</v>
      </c>
      <c r="Q684" s="1">
        <v>45973</v>
      </c>
      <c r="R684" s="2">
        <v>0.38750000000000001</v>
      </c>
      <c r="S684" s="2">
        <v>0.56527777777777777</v>
      </c>
      <c r="T684" t="str" cm="1">
        <f t="array" ref="T684">_xlfn.IFS(H684&gt;=90,"A",H684&gt;=75,"B",H684&gt;=60,"C",H684&lt;60,"D")</f>
        <v>B</v>
      </c>
      <c r="U684" t="str">
        <f t="shared" si="40"/>
        <v>09:18 AM</v>
      </c>
      <c r="V684" t="str">
        <f t="shared" si="41"/>
        <v>On Time</v>
      </c>
      <c r="W684" t="str">
        <f t="shared" si="42"/>
        <v>4 Hours 16 Minutes</v>
      </c>
      <c r="X684" t="str">
        <f t="shared" si="43"/>
        <v>Short Time Login</v>
      </c>
      <c r="AA684" s="34" t="s">
        <v>967</v>
      </c>
      <c r="AB684" s="34" t="s">
        <v>243</v>
      </c>
      <c r="AC684" s="34">
        <v>85</v>
      </c>
      <c r="AD684" s="34">
        <v>77</v>
      </c>
      <c r="AE684" s="34" t="s">
        <v>45</v>
      </c>
      <c r="AF684" s="34">
        <v>2000</v>
      </c>
      <c r="AH684" s="34" t="s">
        <v>27</v>
      </c>
    </row>
    <row r="685" spans="1:34">
      <c r="A685" t="s">
        <v>968</v>
      </c>
      <c r="B685" t="s">
        <v>969</v>
      </c>
      <c r="C685">
        <v>28</v>
      </c>
      <c r="D685" t="s">
        <v>35</v>
      </c>
      <c r="E685" t="s">
        <v>44</v>
      </c>
      <c r="F685" t="s">
        <v>31</v>
      </c>
      <c r="G685" t="s">
        <v>32</v>
      </c>
      <c r="H685">
        <v>87</v>
      </c>
      <c r="I685">
        <v>88</v>
      </c>
      <c r="J685" t="s">
        <v>45</v>
      </c>
      <c r="K685">
        <v>12000</v>
      </c>
      <c r="L685">
        <v>8390</v>
      </c>
      <c r="M685">
        <v>4000</v>
      </c>
      <c r="N685" t="s">
        <v>26</v>
      </c>
      <c r="O685" t="s">
        <v>27</v>
      </c>
      <c r="P685" s="1">
        <v>45680</v>
      </c>
      <c r="Q685" s="1">
        <v>45800</v>
      </c>
      <c r="R685" s="2">
        <v>0.37986111111111109</v>
      </c>
      <c r="S685" s="2">
        <v>0.50416666666666665</v>
      </c>
      <c r="T685" t="str" cm="1">
        <f t="array" ref="T685">_xlfn.IFS(H685&gt;=90,"A",H685&gt;=75,"B",H685&gt;=60,"C",H685&lt;60,"D")</f>
        <v>B</v>
      </c>
      <c r="U685" t="str">
        <f t="shared" si="40"/>
        <v>09:07 AM</v>
      </c>
      <c r="V685" t="str">
        <f t="shared" si="41"/>
        <v>Delayed</v>
      </c>
      <c r="W685" t="str">
        <f t="shared" si="42"/>
        <v>2 Hours 59 Minutes</v>
      </c>
      <c r="X685" t="str">
        <f t="shared" si="43"/>
        <v>Short Time Login</v>
      </c>
      <c r="AA685" s="35" t="s">
        <v>968</v>
      </c>
      <c r="AB685" s="35" t="s">
        <v>969</v>
      </c>
      <c r="AC685" s="35">
        <v>87</v>
      </c>
      <c r="AD685" s="35">
        <v>88</v>
      </c>
      <c r="AE685" s="35" t="s">
        <v>45</v>
      </c>
      <c r="AF685" s="35">
        <v>4000</v>
      </c>
      <c r="AH685" s="35" t="s">
        <v>27</v>
      </c>
    </row>
    <row r="686" spans="1:34">
      <c r="A686" t="s">
        <v>970</v>
      </c>
      <c r="B686" t="s">
        <v>364</v>
      </c>
      <c r="C686">
        <v>18</v>
      </c>
      <c r="D686" t="s">
        <v>35</v>
      </c>
      <c r="E686" t="s">
        <v>113</v>
      </c>
      <c r="F686" t="s">
        <v>23</v>
      </c>
      <c r="G686" t="s">
        <v>24</v>
      </c>
      <c r="H686">
        <v>94</v>
      </c>
      <c r="I686">
        <v>96</v>
      </c>
      <c r="J686" t="s">
        <v>59</v>
      </c>
      <c r="K686">
        <v>20000</v>
      </c>
      <c r="L686">
        <v>19830</v>
      </c>
      <c r="M686">
        <v>2000</v>
      </c>
      <c r="N686" t="s">
        <v>26</v>
      </c>
      <c r="O686" t="s">
        <v>27</v>
      </c>
      <c r="P686" s="1">
        <v>45882</v>
      </c>
      <c r="Q686" s="1">
        <v>45972</v>
      </c>
      <c r="R686" s="2">
        <v>0.38819444444444445</v>
      </c>
      <c r="S686" s="2">
        <v>0.53819444444444442</v>
      </c>
      <c r="T686" t="str" cm="1">
        <f t="array" ref="T686">_xlfn.IFS(H686&gt;=90,"A",H686&gt;=75,"B",H686&gt;=60,"C",H686&lt;60,"D")</f>
        <v>A</v>
      </c>
      <c r="U686" t="str">
        <f t="shared" si="40"/>
        <v>09:19 AM</v>
      </c>
      <c r="V686" t="str">
        <f t="shared" si="41"/>
        <v>On Time</v>
      </c>
      <c r="W686" t="str">
        <f t="shared" si="42"/>
        <v>3 Hours 36 Minutes</v>
      </c>
      <c r="X686" t="str">
        <f t="shared" si="43"/>
        <v>Short Time Login</v>
      </c>
      <c r="AA686" s="34" t="s">
        <v>970</v>
      </c>
      <c r="AB686" s="34" t="s">
        <v>364</v>
      </c>
      <c r="AC686" s="34">
        <v>94</v>
      </c>
      <c r="AD686" s="34">
        <v>96</v>
      </c>
      <c r="AE686" s="34" t="s">
        <v>59</v>
      </c>
      <c r="AF686" s="34">
        <v>2000</v>
      </c>
      <c r="AH686" s="34" t="s">
        <v>27</v>
      </c>
    </row>
    <row r="687" spans="1:34">
      <c r="A687" t="s">
        <v>971</v>
      </c>
      <c r="B687" t="s">
        <v>914</v>
      </c>
      <c r="C687">
        <v>27</v>
      </c>
      <c r="D687" t="s">
        <v>21</v>
      </c>
      <c r="E687" t="s">
        <v>62</v>
      </c>
      <c r="F687" t="s">
        <v>63</v>
      </c>
      <c r="G687" t="s">
        <v>64</v>
      </c>
      <c r="H687">
        <v>50</v>
      </c>
      <c r="I687">
        <v>96</v>
      </c>
      <c r="J687" t="s">
        <v>25</v>
      </c>
      <c r="K687">
        <v>20000</v>
      </c>
      <c r="L687">
        <v>21830</v>
      </c>
      <c r="M687">
        <v>0</v>
      </c>
      <c r="N687" t="s">
        <v>11</v>
      </c>
      <c r="O687" t="s">
        <v>27</v>
      </c>
      <c r="P687" s="1">
        <v>45932</v>
      </c>
      <c r="Q687" s="1">
        <v>46112</v>
      </c>
      <c r="R687" s="2">
        <v>0.38750000000000001</v>
      </c>
      <c r="S687" s="2">
        <v>0.55972222222222223</v>
      </c>
      <c r="T687" t="str" cm="1">
        <f t="array" ref="T687">_xlfn.IFS(H687&gt;=90,"A",H687&gt;=75,"B",H687&gt;=60,"C",H687&lt;60,"D")</f>
        <v>D</v>
      </c>
      <c r="U687" t="str">
        <f t="shared" si="40"/>
        <v>09:18 AM</v>
      </c>
      <c r="V687" t="str">
        <f t="shared" si="41"/>
        <v>Delayed</v>
      </c>
      <c r="W687" t="str">
        <f t="shared" si="42"/>
        <v>4 Hours 8 Minutes</v>
      </c>
      <c r="X687" t="str">
        <f t="shared" si="43"/>
        <v>Short Time Login</v>
      </c>
      <c r="AA687" s="35" t="s">
        <v>971</v>
      </c>
      <c r="AB687" s="35" t="s">
        <v>914</v>
      </c>
      <c r="AC687" s="35">
        <v>50</v>
      </c>
      <c r="AD687" s="35">
        <v>96</v>
      </c>
      <c r="AE687" s="35" t="s">
        <v>25</v>
      </c>
      <c r="AF687" s="35">
        <v>0</v>
      </c>
      <c r="AH687" s="35" t="s">
        <v>27</v>
      </c>
    </row>
    <row r="688" spans="1:34">
      <c r="A688" t="s">
        <v>972</v>
      </c>
      <c r="B688" t="s">
        <v>222</v>
      </c>
      <c r="C688">
        <v>19</v>
      </c>
      <c r="D688" t="s">
        <v>35</v>
      </c>
      <c r="E688" t="s">
        <v>67</v>
      </c>
      <c r="F688" t="s">
        <v>57</v>
      </c>
      <c r="G688" t="s">
        <v>58</v>
      </c>
      <c r="H688">
        <v>69</v>
      </c>
      <c r="I688">
        <v>72</v>
      </c>
      <c r="J688" t="s">
        <v>68</v>
      </c>
      <c r="K688">
        <v>15000</v>
      </c>
      <c r="L688">
        <v>13930</v>
      </c>
      <c r="M688">
        <v>2000</v>
      </c>
      <c r="N688" t="s">
        <v>26</v>
      </c>
      <c r="O688" t="s">
        <v>27</v>
      </c>
      <c r="P688" s="1">
        <v>45677</v>
      </c>
      <c r="Q688" s="1">
        <v>45767</v>
      </c>
      <c r="R688" s="2">
        <v>0.40694444444444444</v>
      </c>
      <c r="S688" s="2">
        <v>0.53194444444444444</v>
      </c>
      <c r="T688" t="str" cm="1">
        <f t="array" ref="T688">_xlfn.IFS(H688&gt;=90,"A",H688&gt;=75,"B",H688&gt;=60,"C",H688&lt;60,"D")</f>
        <v>C</v>
      </c>
      <c r="U688" t="str">
        <f t="shared" si="40"/>
        <v>09:46 AM</v>
      </c>
      <c r="V688" t="str">
        <f t="shared" si="41"/>
        <v>On Time</v>
      </c>
      <c r="W688" t="str">
        <f t="shared" si="42"/>
        <v>3 Hours 0 Minutes</v>
      </c>
      <c r="X688" t="str">
        <f t="shared" si="43"/>
        <v>Short Time Login</v>
      </c>
      <c r="AA688" s="34" t="s">
        <v>972</v>
      </c>
      <c r="AB688" s="34" t="s">
        <v>222</v>
      </c>
      <c r="AC688" s="34">
        <v>69</v>
      </c>
      <c r="AD688" s="34">
        <v>72</v>
      </c>
      <c r="AE688" s="34" t="s">
        <v>68</v>
      </c>
      <c r="AF688" s="34">
        <v>2000</v>
      </c>
      <c r="AH688" s="34" t="s">
        <v>27</v>
      </c>
    </row>
    <row r="689" spans="1:34">
      <c r="A689" t="s">
        <v>973</v>
      </c>
      <c r="B689" t="s">
        <v>518</v>
      </c>
      <c r="C689">
        <v>22</v>
      </c>
      <c r="D689" t="s">
        <v>35</v>
      </c>
      <c r="E689" t="s">
        <v>113</v>
      </c>
      <c r="F689" t="s">
        <v>63</v>
      </c>
      <c r="G689" t="s">
        <v>64</v>
      </c>
      <c r="H689">
        <v>53</v>
      </c>
      <c r="I689">
        <v>60</v>
      </c>
      <c r="J689" t="s">
        <v>25</v>
      </c>
      <c r="K689">
        <v>18000</v>
      </c>
      <c r="L689">
        <v>15470</v>
      </c>
      <c r="M689">
        <v>4000</v>
      </c>
      <c r="N689" t="s">
        <v>26</v>
      </c>
      <c r="O689" t="s">
        <v>27</v>
      </c>
      <c r="P689" s="1">
        <v>45844</v>
      </c>
      <c r="Q689" s="1">
        <v>45904</v>
      </c>
      <c r="R689" s="2">
        <v>0.39097222222222222</v>
      </c>
      <c r="S689" s="2">
        <v>0.50208333333333333</v>
      </c>
      <c r="T689" t="str" cm="1">
        <f t="array" ref="T689">_xlfn.IFS(H689&gt;=90,"A",H689&gt;=75,"B",H689&gt;=60,"C",H689&lt;60,"D")</f>
        <v>D</v>
      </c>
      <c r="U689" t="str">
        <f t="shared" si="40"/>
        <v>09:23 AM</v>
      </c>
      <c r="V689" t="str">
        <f t="shared" si="41"/>
        <v>On Time</v>
      </c>
      <c r="W689" t="str">
        <f t="shared" si="42"/>
        <v>2 Hours 40 Minutes</v>
      </c>
      <c r="X689" t="str">
        <f t="shared" si="43"/>
        <v>Short Time Login</v>
      </c>
      <c r="AA689" s="35" t="s">
        <v>973</v>
      </c>
      <c r="AB689" s="35" t="s">
        <v>518</v>
      </c>
      <c r="AC689" s="35">
        <v>53</v>
      </c>
      <c r="AD689" s="35">
        <v>60</v>
      </c>
      <c r="AE689" s="35" t="s">
        <v>25</v>
      </c>
      <c r="AF689" s="35">
        <v>4000</v>
      </c>
      <c r="AH689" s="35" t="s">
        <v>27</v>
      </c>
    </row>
    <row r="690" spans="1:34">
      <c r="A690" t="s">
        <v>974</v>
      </c>
      <c r="B690" t="s">
        <v>536</v>
      </c>
      <c r="C690">
        <v>18</v>
      </c>
      <c r="D690" t="s">
        <v>35</v>
      </c>
      <c r="E690" t="s">
        <v>22</v>
      </c>
      <c r="F690" t="s">
        <v>53</v>
      </c>
      <c r="G690" t="s">
        <v>54</v>
      </c>
      <c r="H690">
        <v>98</v>
      </c>
      <c r="I690">
        <v>65</v>
      </c>
      <c r="J690" t="s">
        <v>59</v>
      </c>
      <c r="K690">
        <v>10000</v>
      </c>
      <c r="L690">
        <v>11210</v>
      </c>
      <c r="M690">
        <v>0</v>
      </c>
      <c r="N690" t="s">
        <v>11</v>
      </c>
      <c r="O690" t="s">
        <v>127</v>
      </c>
      <c r="P690" s="1">
        <v>45699</v>
      </c>
      <c r="Q690" s="1">
        <v>45819</v>
      </c>
      <c r="R690" s="2">
        <v>0.41805555555555557</v>
      </c>
      <c r="S690" s="2">
        <v>0.5625</v>
      </c>
      <c r="T690" t="str" cm="1">
        <f t="array" ref="T690">_xlfn.IFS(H690&gt;=90,"A",H690&gt;=75,"B",H690&gt;=60,"C",H690&lt;60,"D")</f>
        <v>A</v>
      </c>
      <c r="U690" t="str">
        <f t="shared" si="40"/>
        <v>10:02 AM</v>
      </c>
      <c r="V690" t="str">
        <f t="shared" si="41"/>
        <v>Delayed</v>
      </c>
      <c r="W690" t="str">
        <f t="shared" si="42"/>
        <v>3 Hours 28 Minutes</v>
      </c>
      <c r="X690" t="str">
        <f t="shared" si="43"/>
        <v>Long Time Login</v>
      </c>
      <c r="AA690" s="34" t="s">
        <v>974</v>
      </c>
      <c r="AB690" s="34" t="s">
        <v>536</v>
      </c>
      <c r="AC690" s="34">
        <v>98</v>
      </c>
      <c r="AD690" s="34">
        <v>65</v>
      </c>
      <c r="AE690" s="34" t="s">
        <v>59</v>
      </c>
      <c r="AF690" s="34">
        <v>0</v>
      </c>
      <c r="AH690" s="34" t="s">
        <v>127</v>
      </c>
    </row>
    <row r="691" spans="1:34">
      <c r="A691" t="s">
        <v>975</v>
      </c>
      <c r="B691" t="s">
        <v>175</v>
      </c>
      <c r="C691">
        <v>18</v>
      </c>
      <c r="D691" t="s">
        <v>35</v>
      </c>
      <c r="E691" t="s">
        <v>44</v>
      </c>
      <c r="F691" t="s">
        <v>57</v>
      </c>
      <c r="G691" t="s">
        <v>58</v>
      </c>
      <c r="H691">
        <v>68</v>
      </c>
      <c r="I691">
        <v>66</v>
      </c>
      <c r="J691" t="s">
        <v>68</v>
      </c>
      <c r="K691">
        <v>10000</v>
      </c>
      <c r="L691">
        <v>8620</v>
      </c>
      <c r="M691">
        <v>2000</v>
      </c>
      <c r="N691" t="s">
        <v>26</v>
      </c>
      <c r="O691" t="s">
        <v>27</v>
      </c>
      <c r="P691" s="1">
        <v>45984</v>
      </c>
      <c r="Q691" s="1">
        <v>46044</v>
      </c>
      <c r="R691" s="2">
        <v>0.44166666666666665</v>
      </c>
      <c r="S691" s="2">
        <v>0.58819444444444446</v>
      </c>
      <c r="T691" t="str" cm="1">
        <f t="array" ref="T691">_xlfn.IFS(H691&gt;=90,"A",H691&gt;=75,"B",H691&gt;=60,"C",H691&lt;60,"D")</f>
        <v>C</v>
      </c>
      <c r="U691" t="str">
        <f t="shared" si="40"/>
        <v>10:36 AM</v>
      </c>
      <c r="V691" t="str">
        <f t="shared" si="41"/>
        <v>On Time</v>
      </c>
      <c r="W691" t="str">
        <f t="shared" si="42"/>
        <v>3 Hours 31 Minutes</v>
      </c>
      <c r="X691" t="str">
        <f t="shared" si="43"/>
        <v>Long Time Login</v>
      </c>
      <c r="AA691" s="35" t="s">
        <v>975</v>
      </c>
      <c r="AB691" s="35" t="s">
        <v>175</v>
      </c>
      <c r="AC691" s="35">
        <v>68</v>
      </c>
      <c r="AD691" s="35">
        <v>66</v>
      </c>
      <c r="AE691" s="35" t="s">
        <v>68</v>
      </c>
      <c r="AF691" s="35">
        <v>2000</v>
      </c>
      <c r="AH691" s="35" t="s">
        <v>27</v>
      </c>
    </row>
    <row r="692" spans="1:34">
      <c r="A692" t="s">
        <v>976</v>
      </c>
      <c r="B692" t="s">
        <v>759</v>
      </c>
      <c r="C692">
        <v>18</v>
      </c>
      <c r="D692" t="s">
        <v>21</v>
      </c>
      <c r="E692" t="s">
        <v>39</v>
      </c>
      <c r="F692" t="s">
        <v>53</v>
      </c>
      <c r="G692" t="s">
        <v>54</v>
      </c>
      <c r="H692">
        <v>92</v>
      </c>
      <c r="I692">
        <v>87</v>
      </c>
      <c r="J692" t="s">
        <v>59</v>
      </c>
      <c r="K692">
        <v>12000</v>
      </c>
      <c r="L692">
        <v>10390</v>
      </c>
      <c r="M692">
        <v>2000</v>
      </c>
      <c r="N692" t="s">
        <v>26</v>
      </c>
      <c r="O692" t="s">
        <v>27</v>
      </c>
      <c r="P692" s="1">
        <v>45701</v>
      </c>
      <c r="Q692" s="1">
        <v>45881</v>
      </c>
      <c r="R692" s="2">
        <v>0.38263888888888886</v>
      </c>
      <c r="S692" s="2">
        <v>0.49583333333333335</v>
      </c>
      <c r="T692" t="str" cm="1">
        <f t="array" ref="T692">_xlfn.IFS(H692&gt;=90,"A",H692&gt;=75,"B",H692&gt;=60,"C",H692&lt;60,"D")</f>
        <v>A</v>
      </c>
      <c r="U692" t="str">
        <f t="shared" si="40"/>
        <v>09:11 AM</v>
      </c>
      <c r="V692" t="str">
        <f t="shared" si="41"/>
        <v>Delayed</v>
      </c>
      <c r="W692" t="str">
        <f t="shared" si="42"/>
        <v>2 Hours 43 Minutes</v>
      </c>
      <c r="X692" t="str">
        <f t="shared" si="43"/>
        <v>Short Time Login</v>
      </c>
      <c r="AA692" s="34" t="s">
        <v>976</v>
      </c>
      <c r="AB692" s="34" t="s">
        <v>759</v>
      </c>
      <c r="AC692" s="34">
        <v>92</v>
      </c>
      <c r="AD692" s="34">
        <v>87</v>
      </c>
      <c r="AE692" s="34" t="s">
        <v>59</v>
      </c>
      <c r="AF692" s="34">
        <v>2000</v>
      </c>
      <c r="AH692" s="34" t="s">
        <v>27</v>
      </c>
    </row>
    <row r="693" spans="1:34">
      <c r="A693" t="s">
        <v>977</v>
      </c>
      <c r="B693" t="s">
        <v>228</v>
      </c>
      <c r="C693">
        <v>22</v>
      </c>
      <c r="D693" t="s">
        <v>35</v>
      </c>
      <c r="E693" t="s">
        <v>22</v>
      </c>
      <c r="F693" t="s">
        <v>31</v>
      </c>
      <c r="G693" t="s">
        <v>32</v>
      </c>
      <c r="H693">
        <v>92</v>
      </c>
      <c r="I693">
        <v>100</v>
      </c>
      <c r="J693" t="s">
        <v>59</v>
      </c>
      <c r="K693">
        <v>10000</v>
      </c>
      <c r="L693">
        <v>9800</v>
      </c>
      <c r="M693">
        <v>2000</v>
      </c>
      <c r="N693" t="s">
        <v>26</v>
      </c>
      <c r="O693" t="s">
        <v>27</v>
      </c>
      <c r="P693" s="1">
        <v>45803</v>
      </c>
      <c r="Q693" s="1">
        <v>45863</v>
      </c>
      <c r="R693" s="2">
        <v>0.38472222222222224</v>
      </c>
      <c r="S693" s="2">
        <v>0.54652777777777772</v>
      </c>
      <c r="T693" t="str" cm="1">
        <f t="array" ref="T693">_xlfn.IFS(H693&gt;=90,"A",H693&gt;=75,"B",H693&gt;=60,"C",H693&lt;60,"D")</f>
        <v>A</v>
      </c>
      <c r="U693" t="str">
        <f t="shared" si="40"/>
        <v>09:14 AM</v>
      </c>
      <c r="V693" t="str">
        <f t="shared" si="41"/>
        <v>On Time</v>
      </c>
      <c r="W693" t="str">
        <f t="shared" si="42"/>
        <v>3 Hours 53 Minutes</v>
      </c>
      <c r="X693" t="str">
        <f t="shared" si="43"/>
        <v>Short Time Login</v>
      </c>
      <c r="AA693" s="35" t="s">
        <v>977</v>
      </c>
      <c r="AB693" s="35" t="s">
        <v>228</v>
      </c>
      <c r="AC693" s="35">
        <v>92</v>
      </c>
      <c r="AD693" s="35">
        <v>100</v>
      </c>
      <c r="AE693" s="35" t="s">
        <v>59</v>
      </c>
      <c r="AF693" s="35">
        <v>2000</v>
      </c>
      <c r="AH693" s="35" t="s">
        <v>27</v>
      </c>
    </row>
    <row r="694" spans="1:34">
      <c r="A694" t="s">
        <v>978</v>
      </c>
      <c r="B694" t="s">
        <v>129</v>
      </c>
      <c r="C694">
        <v>19</v>
      </c>
      <c r="D694" t="s">
        <v>35</v>
      </c>
      <c r="E694" t="s">
        <v>67</v>
      </c>
      <c r="F694" t="s">
        <v>31</v>
      </c>
      <c r="G694" t="s">
        <v>32</v>
      </c>
      <c r="H694">
        <v>37</v>
      </c>
      <c r="I694">
        <v>72</v>
      </c>
      <c r="J694" t="s">
        <v>25</v>
      </c>
      <c r="K694">
        <v>10000</v>
      </c>
      <c r="L694">
        <v>11800</v>
      </c>
      <c r="M694">
        <v>0</v>
      </c>
      <c r="N694" t="s">
        <v>11</v>
      </c>
      <c r="O694" t="s">
        <v>27</v>
      </c>
      <c r="P694" s="1">
        <v>45870</v>
      </c>
      <c r="Q694" s="1">
        <v>45990</v>
      </c>
      <c r="R694" s="2">
        <v>0.35972222222222222</v>
      </c>
      <c r="S694" s="2">
        <v>0.5180555555555556</v>
      </c>
      <c r="T694" t="str" cm="1">
        <f t="array" ref="T694">_xlfn.IFS(H694&gt;=90,"A",H694&gt;=75,"B",H694&gt;=60,"C",H694&lt;60,"D")</f>
        <v>D</v>
      </c>
      <c r="U694" t="str">
        <f t="shared" si="40"/>
        <v>08:38 AM</v>
      </c>
      <c r="V694" t="str">
        <f t="shared" si="41"/>
        <v>Delayed</v>
      </c>
      <c r="W694" t="str">
        <f t="shared" si="42"/>
        <v>3 Hours 48 Minutes</v>
      </c>
      <c r="X694" t="str">
        <f t="shared" si="43"/>
        <v>Short Time Login</v>
      </c>
      <c r="AA694" s="34" t="s">
        <v>978</v>
      </c>
      <c r="AB694" s="34" t="s">
        <v>129</v>
      </c>
      <c r="AC694" s="34">
        <v>37</v>
      </c>
      <c r="AD694" s="34">
        <v>72</v>
      </c>
      <c r="AE694" s="34" t="s">
        <v>25</v>
      </c>
      <c r="AF694" s="34">
        <v>0</v>
      </c>
      <c r="AH694" s="34" t="s">
        <v>27</v>
      </c>
    </row>
    <row r="695" spans="1:34">
      <c r="A695" t="s">
        <v>979</v>
      </c>
      <c r="B695" t="s">
        <v>300</v>
      </c>
      <c r="C695">
        <v>23</v>
      </c>
      <c r="D695" t="s">
        <v>35</v>
      </c>
      <c r="E695" t="s">
        <v>30</v>
      </c>
      <c r="F695" t="s">
        <v>23</v>
      </c>
      <c r="G695" t="s">
        <v>24</v>
      </c>
      <c r="H695">
        <v>67</v>
      </c>
      <c r="I695">
        <v>64</v>
      </c>
      <c r="J695" t="s">
        <v>68</v>
      </c>
      <c r="K695">
        <v>15000</v>
      </c>
      <c r="L695">
        <v>14520</v>
      </c>
      <c r="M695">
        <v>2000</v>
      </c>
      <c r="N695" t="s">
        <v>26</v>
      </c>
      <c r="O695" t="s">
        <v>27</v>
      </c>
      <c r="P695" s="1">
        <v>45733</v>
      </c>
      <c r="Q695" s="1">
        <v>45793</v>
      </c>
      <c r="R695" s="2">
        <v>0.40555555555555556</v>
      </c>
      <c r="S695" s="2">
        <v>0.52430555555555558</v>
      </c>
      <c r="T695" t="str" cm="1">
        <f t="array" ref="T695">_xlfn.IFS(H695&gt;=90,"A",H695&gt;=75,"B",H695&gt;=60,"C",H695&lt;60,"D")</f>
        <v>C</v>
      </c>
      <c r="U695" t="str">
        <f t="shared" si="40"/>
        <v>09:44 AM</v>
      </c>
      <c r="V695" t="str">
        <f t="shared" si="41"/>
        <v>On Time</v>
      </c>
      <c r="W695" t="str">
        <f t="shared" si="42"/>
        <v>2 Hours 51 Minutes</v>
      </c>
      <c r="X695" t="str">
        <f t="shared" si="43"/>
        <v>Short Time Login</v>
      </c>
      <c r="AA695" s="35" t="s">
        <v>979</v>
      </c>
      <c r="AB695" s="35" t="s">
        <v>300</v>
      </c>
      <c r="AC695" s="35">
        <v>67</v>
      </c>
      <c r="AD695" s="35">
        <v>64</v>
      </c>
      <c r="AE695" s="35" t="s">
        <v>68</v>
      </c>
      <c r="AF695" s="35">
        <v>2000</v>
      </c>
      <c r="AH695" s="35" t="s">
        <v>27</v>
      </c>
    </row>
    <row r="696" spans="1:34">
      <c r="A696" t="s">
        <v>980</v>
      </c>
      <c r="B696" t="s">
        <v>211</v>
      </c>
      <c r="C696">
        <v>18</v>
      </c>
      <c r="D696" t="s">
        <v>35</v>
      </c>
      <c r="E696" t="s">
        <v>48</v>
      </c>
      <c r="F696" t="s">
        <v>31</v>
      </c>
      <c r="G696" t="s">
        <v>32</v>
      </c>
      <c r="H696">
        <v>69</v>
      </c>
      <c r="I696">
        <v>71</v>
      </c>
      <c r="J696" t="s">
        <v>68</v>
      </c>
      <c r="K696">
        <v>18000</v>
      </c>
      <c r="L696">
        <v>15470</v>
      </c>
      <c r="M696">
        <v>4000</v>
      </c>
      <c r="N696" t="s">
        <v>26</v>
      </c>
      <c r="O696" t="s">
        <v>27</v>
      </c>
      <c r="P696" s="1">
        <v>45787</v>
      </c>
      <c r="Q696" s="1">
        <v>45817</v>
      </c>
      <c r="R696" s="2">
        <v>0.36041666666666666</v>
      </c>
      <c r="S696" s="2">
        <v>0.41736111111111113</v>
      </c>
      <c r="T696" t="str" cm="1">
        <f t="array" ref="T696">_xlfn.IFS(H696&gt;=90,"A",H696&gt;=75,"B",H696&gt;=60,"C",H696&lt;60,"D")</f>
        <v>C</v>
      </c>
      <c r="U696" t="str">
        <f t="shared" si="40"/>
        <v>08:39 AM</v>
      </c>
      <c r="V696" t="str">
        <f t="shared" si="41"/>
        <v>On Time</v>
      </c>
      <c r="W696" t="str">
        <f t="shared" si="42"/>
        <v>1 Hours 22 Minutes</v>
      </c>
      <c r="X696" t="str">
        <f t="shared" si="43"/>
        <v>Short Time Login</v>
      </c>
      <c r="AA696" s="34" t="s">
        <v>980</v>
      </c>
      <c r="AB696" s="34" t="s">
        <v>211</v>
      </c>
      <c r="AC696" s="34">
        <v>69</v>
      </c>
      <c r="AD696" s="34">
        <v>71</v>
      </c>
      <c r="AE696" s="34" t="s">
        <v>68</v>
      </c>
      <c r="AF696" s="34">
        <v>4000</v>
      </c>
      <c r="AH696" s="34" t="s">
        <v>27</v>
      </c>
    </row>
    <row r="697" spans="1:34">
      <c r="A697" t="s">
        <v>981</v>
      </c>
      <c r="B697" t="s">
        <v>148</v>
      </c>
      <c r="C697">
        <v>19</v>
      </c>
      <c r="D697" t="s">
        <v>21</v>
      </c>
      <c r="E697" t="s">
        <v>36</v>
      </c>
      <c r="F697" t="s">
        <v>53</v>
      </c>
      <c r="G697" t="s">
        <v>54</v>
      </c>
      <c r="H697">
        <v>79</v>
      </c>
      <c r="I697">
        <v>84</v>
      </c>
      <c r="J697" t="s">
        <v>45</v>
      </c>
      <c r="K697">
        <v>10000</v>
      </c>
      <c r="L697">
        <v>6620</v>
      </c>
      <c r="M697">
        <v>4000</v>
      </c>
      <c r="N697" t="s">
        <v>26</v>
      </c>
      <c r="O697" t="s">
        <v>27</v>
      </c>
      <c r="P697" s="1">
        <v>45825</v>
      </c>
      <c r="Q697" s="1">
        <v>45945</v>
      </c>
      <c r="R697" s="2">
        <v>0.33541666666666664</v>
      </c>
      <c r="S697" s="2">
        <v>0.49444444444444446</v>
      </c>
      <c r="T697" t="str" cm="1">
        <f t="array" ref="T697">_xlfn.IFS(H697&gt;=90,"A",H697&gt;=75,"B",H697&gt;=60,"C",H697&lt;60,"D")</f>
        <v>B</v>
      </c>
      <c r="U697" t="str">
        <f t="shared" si="40"/>
        <v>08:03 AM</v>
      </c>
      <c r="V697" t="str">
        <f t="shared" si="41"/>
        <v>Delayed</v>
      </c>
      <c r="W697" t="str">
        <f t="shared" si="42"/>
        <v>3 Hours 49 Minutes</v>
      </c>
      <c r="X697" t="str">
        <f t="shared" si="43"/>
        <v>Short Time Login</v>
      </c>
      <c r="AA697" s="35" t="s">
        <v>981</v>
      </c>
      <c r="AB697" s="35" t="s">
        <v>148</v>
      </c>
      <c r="AC697" s="35">
        <v>79</v>
      </c>
      <c r="AD697" s="35">
        <v>84</v>
      </c>
      <c r="AE697" s="35" t="s">
        <v>45</v>
      </c>
      <c r="AF697" s="35">
        <v>4000</v>
      </c>
      <c r="AH697" s="35" t="s">
        <v>27</v>
      </c>
    </row>
    <row r="698" spans="1:34">
      <c r="A698" t="s">
        <v>982</v>
      </c>
      <c r="B698" t="s">
        <v>586</v>
      </c>
      <c r="C698">
        <v>20</v>
      </c>
      <c r="D698" t="s">
        <v>35</v>
      </c>
      <c r="E698" t="s">
        <v>48</v>
      </c>
      <c r="F698" t="s">
        <v>57</v>
      </c>
      <c r="G698" t="s">
        <v>58</v>
      </c>
      <c r="H698">
        <v>73</v>
      </c>
      <c r="I698">
        <v>67</v>
      </c>
      <c r="J698" t="s">
        <v>68</v>
      </c>
      <c r="K698">
        <v>18000</v>
      </c>
      <c r="L698">
        <v>16060</v>
      </c>
      <c r="M698">
        <v>4000</v>
      </c>
      <c r="N698" t="s">
        <v>26</v>
      </c>
      <c r="O698" t="s">
        <v>27</v>
      </c>
      <c r="P698" s="1">
        <v>45713</v>
      </c>
      <c r="Q698" s="1">
        <v>45833</v>
      </c>
      <c r="R698" s="2">
        <v>0.41805555555555557</v>
      </c>
      <c r="S698" s="2">
        <v>0.58402777777777781</v>
      </c>
      <c r="T698" t="str" cm="1">
        <f t="array" ref="T698">_xlfn.IFS(H698&gt;=90,"A",H698&gt;=75,"B",H698&gt;=60,"C",H698&lt;60,"D")</f>
        <v>C</v>
      </c>
      <c r="U698" t="str">
        <f t="shared" si="40"/>
        <v>10:02 AM</v>
      </c>
      <c r="V698" t="str">
        <f t="shared" si="41"/>
        <v>Delayed</v>
      </c>
      <c r="W698" t="str">
        <f t="shared" si="42"/>
        <v>3 Hours 59 Minutes</v>
      </c>
      <c r="X698" t="str">
        <f t="shared" si="43"/>
        <v>Long Time Login</v>
      </c>
      <c r="AA698" s="34" t="s">
        <v>982</v>
      </c>
      <c r="AB698" s="34" t="s">
        <v>586</v>
      </c>
      <c r="AC698" s="34">
        <v>73</v>
      </c>
      <c r="AD698" s="34">
        <v>67</v>
      </c>
      <c r="AE698" s="34" t="s">
        <v>68</v>
      </c>
      <c r="AF698" s="34">
        <v>4000</v>
      </c>
      <c r="AH698" s="34" t="s">
        <v>27</v>
      </c>
    </row>
    <row r="699" spans="1:34">
      <c r="A699" t="s">
        <v>983</v>
      </c>
      <c r="B699" t="s">
        <v>220</v>
      </c>
      <c r="C699">
        <v>27</v>
      </c>
      <c r="D699" t="s">
        <v>35</v>
      </c>
      <c r="E699" t="s">
        <v>36</v>
      </c>
      <c r="F699" t="s">
        <v>40</v>
      </c>
      <c r="G699" t="s">
        <v>41</v>
      </c>
      <c r="H699">
        <v>72</v>
      </c>
      <c r="I699">
        <v>89</v>
      </c>
      <c r="J699" t="s">
        <v>68</v>
      </c>
      <c r="K699">
        <v>15000</v>
      </c>
      <c r="L699">
        <v>17700</v>
      </c>
      <c r="M699">
        <v>0</v>
      </c>
      <c r="N699" t="s">
        <v>11</v>
      </c>
      <c r="O699" t="s">
        <v>27</v>
      </c>
      <c r="P699" s="1">
        <v>45966</v>
      </c>
      <c r="Q699" s="1">
        <v>46056</v>
      </c>
      <c r="R699" s="2">
        <v>0.4548611111111111</v>
      </c>
      <c r="S699" s="2">
        <v>0.62847222222222221</v>
      </c>
      <c r="T699" t="str" cm="1">
        <f t="array" ref="T699">_xlfn.IFS(H699&gt;=90,"A",H699&gt;=75,"B",H699&gt;=60,"C",H699&lt;60,"D")</f>
        <v>C</v>
      </c>
      <c r="U699" t="str">
        <f t="shared" si="40"/>
        <v>10:55 AM</v>
      </c>
      <c r="V699" t="str">
        <f t="shared" si="41"/>
        <v>On Time</v>
      </c>
      <c r="W699" t="str">
        <f t="shared" si="42"/>
        <v>4 Hours 10 Minutes</v>
      </c>
      <c r="X699" t="str">
        <f t="shared" si="43"/>
        <v>Long Time Login</v>
      </c>
      <c r="AA699" s="35" t="s">
        <v>983</v>
      </c>
      <c r="AB699" s="35" t="s">
        <v>220</v>
      </c>
      <c r="AC699" s="35">
        <v>72</v>
      </c>
      <c r="AD699" s="35">
        <v>89</v>
      </c>
      <c r="AE699" s="35" t="s">
        <v>68</v>
      </c>
      <c r="AF699" s="35">
        <v>0</v>
      </c>
      <c r="AH699" s="35" t="s">
        <v>27</v>
      </c>
    </row>
    <row r="700" spans="1:34">
      <c r="A700" t="s">
        <v>984</v>
      </c>
      <c r="B700" t="s">
        <v>146</v>
      </c>
      <c r="C700">
        <v>18</v>
      </c>
      <c r="D700" t="s">
        <v>35</v>
      </c>
      <c r="E700" t="s">
        <v>62</v>
      </c>
      <c r="F700" t="s">
        <v>31</v>
      </c>
      <c r="G700" t="s">
        <v>32</v>
      </c>
      <c r="H700">
        <v>53</v>
      </c>
      <c r="I700">
        <v>62</v>
      </c>
      <c r="J700" t="s">
        <v>25</v>
      </c>
      <c r="K700">
        <v>10000</v>
      </c>
      <c r="L700">
        <v>6620</v>
      </c>
      <c r="M700">
        <v>4000</v>
      </c>
      <c r="N700" t="s">
        <v>26</v>
      </c>
      <c r="O700" t="s">
        <v>27</v>
      </c>
      <c r="P700" s="1">
        <v>45834</v>
      </c>
      <c r="Q700" s="1">
        <v>46014</v>
      </c>
      <c r="R700" s="2">
        <v>0.40069444444444446</v>
      </c>
      <c r="S700" s="2">
        <v>0.6</v>
      </c>
      <c r="T700" t="str" cm="1">
        <f t="array" ref="T700">_xlfn.IFS(H700&gt;=90,"A",H700&gt;=75,"B",H700&gt;=60,"C",H700&lt;60,"D")</f>
        <v>D</v>
      </c>
      <c r="U700" t="str">
        <f t="shared" si="40"/>
        <v>09:37 AM</v>
      </c>
      <c r="V700" t="str">
        <f t="shared" si="41"/>
        <v>Delayed</v>
      </c>
      <c r="W700" t="str">
        <f t="shared" si="42"/>
        <v>4 Hours 47 Minutes</v>
      </c>
      <c r="X700" t="str">
        <f t="shared" si="43"/>
        <v>Short Time Login</v>
      </c>
      <c r="AA700" s="34" t="s">
        <v>984</v>
      </c>
      <c r="AB700" s="34" t="s">
        <v>146</v>
      </c>
      <c r="AC700" s="34">
        <v>53</v>
      </c>
      <c r="AD700" s="34">
        <v>62</v>
      </c>
      <c r="AE700" s="34" t="s">
        <v>25</v>
      </c>
      <c r="AF700" s="34">
        <v>4000</v>
      </c>
      <c r="AH700" s="34" t="s">
        <v>27</v>
      </c>
    </row>
    <row r="701" spans="1:34">
      <c r="A701" t="s">
        <v>985</v>
      </c>
      <c r="B701" t="s">
        <v>986</v>
      </c>
      <c r="C701">
        <v>24</v>
      </c>
      <c r="D701" t="s">
        <v>35</v>
      </c>
      <c r="E701" t="s">
        <v>122</v>
      </c>
      <c r="F701" t="s">
        <v>49</v>
      </c>
      <c r="G701" t="s">
        <v>50</v>
      </c>
      <c r="H701">
        <v>95</v>
      </c>
      <c r="I701">
        <v>84</v>
      </c>
      <c r="J701" t="s">
        <v>59</v>
      </c>
      <c r="K701">
        <v>12000</v>
      </c>
      <c r="L701">
        <v>8390</v>
      </c>
      <c r="M701">
        <v>4000</v>
      </c>
      <c r="N701" t="s">
        <v>26</v>
      </c>
      <c r="O701" t="s">
        <v>27</v>
      </c>
      <c r="P701" s="1">
        <v>45923</v>
      </c>
      <c r="Q701" s="1">
        <v>45983</v>
      </c>
      <c r="R701" s="2">
        <v>0.35555555555555557</v>
      </c>
      <c r="S701" s="2">
        <v>0.5493055555555556</v>
      </c>
      <c r="T701" t="str" cm="1">
        <f t="array" ref="T701">_xlfn.IFS(H701&gt;=90,"A",H701&gt;=75,"B",H701&gt;=60,"C",H701&lt;60,"D")</f>
        <v>A</v>
      </c>
      <c r="U701" t="str">
        <f t="shared" si="40"/>
        <v>08:32 AM</v>
      </c>
      <c r="V701" t="str">
        <f t="shared" si="41"/>
        <v>On Time</v>
      </c>
      <c r="W701" t="str">
        <f t="shared" si="42"/>
        <v>4 Hours 39 Minutes</v>
      </c>
      <c r="X701" t="str">
        <f t="shared" si="43"/>
        <v>Short Time Login</v>
      </c>
      <c r="AA701" s="35" t="s">
        <v>985</v>
      </c>
      <c r="AB701" s="35" t="s">
        <v>986</v>
      </c>
      <c r="AC701" s="35">
        <v>95</v>
      </c>
      <c r="AD701" s="35">
        <v>84</v>
      </c>
      <c r="AE701" s="35" t="s">
        <v>59</v>
      </c>
      <c r="AF701" s="35">
        <v>4000</v>
      </c>
      <c r="AH701" s="35" t="s">
        <v>27</v>
      </c>
    </row>
    <row r="702" spans="1:34">
      <c r="A702" t="s">
        <v>987</v>
      </c>
      <c r="B702" t="s">
        <v>465</v>
      </c>
      <c r="C702">
        <v>20</v>
      </c>
      <c r="D702" t="s">
        <v>21</v>
      </c>
      <c r="E702" t="s">
        <v>122</v>
      </c>
      <c r="F702" t="s">
        <v>57</v>
      </c>
      <c r="G702" t="s">
        <v>58</v>
      </c>
      <c r="H702">
        <v>75</v>
      </c>
      <c r="I702">
        <v>68</v>
      </c>
      <c r="J702" t="s">
        <v>45</v>
      </c>
      <c r="K702">
        <v>15000</v>
      </c>
      <c r="L702">
        <v>17700</v>
      </c>
      <c r="M702">
        <v>0</v>
      </c>
      <c r="N702" t="s">
        <v>11</v>
      </c>
      <c r="O702" t="s">
        <v>27</v>
      </c>
      <c r="P702" s="1">
        <v>45691</v>
      </c>
      <c r="Q702" s="1">
        <v>45871</v>
      </c>
      <c r="R702" s="2">
        <v>0.44166666666666665</v>
      </c>
      <c r="S702" s="2">
        <v>0.50486111111111109</v>
      </c>
      <c r="T702" t="str" cm="1">
        <f t="array" ref="T702">_xlfn.IFS(H702&gt;=90,"A",H702&gt;=75,"B",H702&gt;=60,"C",H702&lt;60,"D")</f>
        <v>B</v>
      </c>
      <c r="U702" t="str">
        <f t="shared" si="40"/>
        <v>10:36 AM</v>
      </c>
      <c r="V702" t="str">
        <f t="shared" si="41"/>
        <v>Delayed</v>
      </c>
      <c r="W702" t="str">
        <f t="shared" si="42"/>
        <v>1 Hours 31 Minutes</v>
      </c>
      <c r="X702" t="str">
        <f t="shared" si="43"/>
        <v>Long Time Login</v>
      </c>
      <c r="AA702" s="34" t="s">
        <v>987</v>
      </c>
      <c r="AB702" s="34" t="s">
        <v>465</v>
      </c>
      <c r="AC702" s="34">
        <v>75</v>
      </c>
      <c r="AD702" s="34">
        <v>68</v>
      </c>
      <c r="AE702" s="34" t="s">
        <v>45</v>
      </c>
      <c r="AF702" s="34">
        <v>0</v>
      </c>
      <c r="AH702" s="34" t="s">
        <v>27</v>
      </c>
    </row>
    <row r="703" spans="1:34">
      <c r="A703" t="s">
        <v>988</v>
      </c>
      <c r="B703" t="s">
        <v>675</v>
      </c>
      <c r="C703">
        <v>22</v>
      </c>
      <c r="D703" t="s">
        <v>35</v>
      </c>
      <c r="E703" t="s">
        <v>44</v>
      </c>
      <c r="F703" t="s">
        <v>31</v>
      </c>
      <c r="G703" t="s">
        <v>32</v>
      </c>
      <c r="H703">
        <v>50</v>
      </c>
      <c r="I703">
        <v>74</v>
      </c>
      <c r="J703" t="s">
        <v>25</v>
      </c>
      <c r="K703">
        <v>12000</v>
      </c>
      <c r="L703">
        <v>8390</v>
      </c>
      <c r="M703">
        <v>4000</v>
      </c>
      <c r="N703" t="s">
        <v>26</v>
      </c>
      <c r="O703" t="s">
        <v>27</v>
      </c>
      <c r="P703" s="1">
        <v>45911</v>
      </c>
      <c r="Q703" s="1">
        <v>45941</v>
      </c>
      <c r="R703" s="2">
        <v>0.36666666666666664</v>
      </c>
      <c r="S703" s="2">
        <v>0.48541666666666666</v>
      </c>
      <c r="T703" t="str" cm="1">
        <f t="array" ref="T703">_xlfn.IFS(H703&gt;=90,"A",H703&gt;=75,"B",H703&gt;=60,"C",H703&lt;60,"D")</f>
        <v>D</v>
      </c>
      <c r="U703" t="str">
        <f t="shared" si="40"/>
        <v>08:48 AM</v>
      </c>
      <c r="V703" t="str">
        <f t="shared" si="41"/>
        <v>On Time</v>
      </c>
      <c r="W703" t="str">
        <f t="shared" si="42"/>
        <v>2 Hours 51 Minutes</v>
      </c>
      <c r="X703" t="str">
        <f t="shared" si="43"/>
        <v>Short Time Login</v>
      </c>
      <c r="AA703" s="35" t="s">
        <v>988</v>
      </c>
      <c r="AB703" s="35" t="s">
        <v>675</v>
      </c>
      <c r="AC703" s="35">
        <v>50</v>
      </c>
      <c r="AD703" s="35">
        <v>74</v>
      </c>
      <c r="AE703" s="35" t="s">
        <v>25</v>
      </c>
      <c r="AF703" s="35">
        <v>4000</v>
      </c>
      <c r="AH703" s="35" t="s">
        <v>27</v>
      </c>
    </row>
    <row r="704" spans="1:34">
      <c r="A704" t="s">
        <v>989</v>
      </c>
      <c r="B704" t="s">
        <v>302</v>
      </c>
      <c r="C704">
        <v>20</v>
      </c>
      <c r="D704" t="s">
        <v>35</v>
      </c>
      <c r="E704" t="s">
        <v>36</v>
      </c>
      <c r="F704" t="s">
        <v>57</v>
      </c>
      <c r="G704" t="s">
        <v>58</v>
      </c>
      <c r="H704">
        <v>54</v>
      </c>
      <c r="I704">
        <v>78</v>
      </c>
      <c r="J704" t="s">
        <v>25</v>
      </c>
      <c r="K704">
        <v>20000</v>
      </c>
      <c r="L704">
        <v>23600</v>
      </c>
      <c r="M704">
        <v>0</v>
      </c>
      <c r="N704" t="s">
        <v>11</v>
      </c>
      <c r="O704" t="s">
        <v>27</v>
      </c>
      <c r="P704" s="1">
        <v>45780</v>
      </c>
      <c r="Q704" s="1">
        <v>45810</v>
      </c>
      <c r="R704" s="2">
        <v>0.36875000000000002</v>
      </c>
      <c r="S704" s="2">
        <v>0.43333333333333335</v>
      </c>
      <c r="T704" t="str" cm="1">
        <f t="array" ref="T704">_xlfn.IFS(H704&gt;=90,"A",H704&gt;=75,"B",H704&gt;=60,"C",H704&lt;60,"D")</f>
        <v>D</v>
      </c>
      <c r="U704" t="str">
        <f t="shared" si="40"/>
        <v>08:51 AM</v>
      </c>
      <c r="V704" t="str">
        <f t="shared" si="41"/>
        <v>On Time</v>
      </c>
      <c r="W704" t="str">
        <f t="shared" si="42"/>
        <v>1 Hours 33 Minutes</v>
      </c>
      <c r="X704" t="str">
        <f t="shared" si="43"/>
        <v>Short Time Login</v>
      </c>
      <c r="AA704" s="34" t="s">
        <v>989</v>
      </c>
      <c r="AB704" s="34" t="s">
        <v>302</v>
      </c>
      <c r="AC704" s="34">
        <v>54</v>
      </c>
      <c r="AD704" s="34">
        <v>78</v>
      </c>
      <c r="AE704" s="34" t="s">
        <v>25</v>
      </c>
      <c r="AF704" s="34">
        <v>0</v>
      </c>
      <c r="AH704" s="34" t="s">
        <v>27</v>
      </c>
    </row>
    <row r="705" spans="1:34">
      <c r="A705" t="s">
        <v>990</v>
      </c>
      <c r="B705" t="s">
        <v>316</v>
      </c>
      <c r="C705">
        <v>21</v>
      </c>
      <c r="D705" t="s">
        <v>35</v>
      </c>
      <c r="E705" t="s">
        <v>22</v>
      </c>
      <c r="F705" t="s">
        <v>57</v>
      </c>
      <c r="G705" t="s">
        <v>58</v>
      </c>
      <c r="H705">
        <v>60</v>
      </c>
      <c r="I705">
        <v>95</v>
      </c>
      <c r="J705" t="s">
        <v>68</v>
      </c>
      <c r="K705">
        <v>15000</v>
      </c>
      <c r="L705">
        <v>17700</v>
      </c>
      <c r="M705">
        <v>0</v>
      </c>
      <c r="N705" t="s">
        <v>11</v>
      </c>
      <c r="O705" t="s">
        <v>27</v>
      </c>
      <c r="P705" s="1">
        <v>45828</v>
      </c>
      <c r="Q705" s="1">
        <v>45858</v>
      </c>
      <c r="R705" s="2">
        <v>0.40833333333333333</v>
      </c>
      <c r="S705" s="2">
        <v>0.55208333333333337</v>
      </c>
      <c r="T705" t="str" cm="1">
        <f t="array" ref="T705">_xlfn.IFS(H705&gt;=90,"A",H705&gt;=75,"B",H705&gt;=60,"C",H705&lt;60,"D")</f>
        <v>C</v>
      </c>
      <c r="U705" t="str">
        <f t="shared" si="40"/>
        <v>09:48 AM</v>
      </c>
      <c r="V705" t="str">
        <f t="shared" si="41"/>
        <v>On Time</v>
      </c>
      <c r="W705" t="str">
        <f t="shared" si="42"/>
        <v>3 Hours 27 Minutes</v>
      </c>
      <c r="X705" t="str">
        <f t="shared" si="43"/>
        <v>Short Time Login</v>
      </c>
      <c r="AA705" s="35" t="s">
        <v>990</v>
      </c>
      <c r="AB705" s="35" t="s">
        <v>316</v>
      </c>
      <c r="AC705" s="35">
        <v>60</v>
      </c>
      <c r="AD705" s="35">
        <v>95</v>
      </c>
      <c r="AE705" s="35" t="s">
        <v>68</v>
      </c>
      <c r="AF705" s="35">
        <v>0</v>
      </c>
      <c r="AH705" s="35" t="s">
        <v>27</v>
      </c>
    </row>
    <row r="706" spans="1:34">
      <c r="A706" t="s">
        <v>991</v>
      </c>
      <c r="B706" t="s">
        <v>526</v>
      </c>
      <c r="C706">
        <v>27</v>
      </c>
      <c r="D706" t="s">
        <v>21</v>
      </c>
      <c r="E706" t="s">
        <v>48</v>
      </c>
      <c r="F706" t="s">
        <v>31</v>
      </c>
      <c r="G706" t="s">
        <v>32</v>
      </c>
      <c r="H706">
        <v>86</v>
      </c>
      <c r="I706">
        <v>90</v>
      </c>
      <c r="J706" t="s">
        <v>45</v>
      </c>
      <c r="K706">
        <v>10000</v>
      </c>
      <c r="L706">
        <v>8620</v>
      </c>
      <c r="M706">
        <v>2000</v>
      </c>
      <c r="N706" t="s">
        <v>26</v>
      </c>
      <c r="O706" t="s">
        <v>27</v>
      </c>
      <c r="P706" s="1">
        <v>45939</v>
      </c>
      <c r="Q706" s="1">
        <v>46119</v>
      </c>
      <c r="R706" s="2">
        <v>0.36319444444444443</v>
      </c>
      <c r="S706" s="2">
        <v>0.56944444444444442</v>
      </c>
      <c r="T706" t="str" cm="1">
        <f t="array" ref="T706">_xlfn.IFS(H706&gt;=90,"A",H706&gt;=75,"B",H706&gt;=60,"C",H706&lt;60,"D")</f>
        <v>B</v>
      </c>
      <c r="U706" t="str">
        <f t="shared" ref="U706:U769" si="44">TEXT(R706,"hh:mm AM/PM")</f>
        <v>08:43 AM</v>
      </c>
      <c r="V706" t="str">
        <f t="shared" ref="V706:V769" si="45">IF(_xlfn.DAYS(Q706,P706)&lt;=90,"On Time","Delayed")</f>
        <v>Delayed</v>
      </c>
      <c r="W706" t="str">
        <f t="shared" ref="W706:W769" si="46">HOUR(S706-R706)&amp;" Hours "&amp;MINUTE(S706-R706)&amp;" Minutes"</f>
        <v>4 Hours 57 Minutes</v>
      </c>
      <c r="X706" t="str">
        <f t="shared" ref="X706:X769" si="47">IF(R706&gt;TIME(10,0,0),"Long Time Login","Short Time Login")</f>
        <v>Short Time Login</v>
      </c>
      <c r="AA706" s="34" t="s">
        <v>991</v>
      </c>
      <c r="AB706" s="34" t="s">
        <v>526</v>
      </c>
      <c r="AC706" s="34">
        <v>86</v>
      </c>
      <c r="AD706" s="34">
        <v>90</v>
      </c>
      <c r="AE706" s="34" t="s">
        <v>45</v>
      </c>
      <c r="AF706" s="34">
        <v>2000</v>
      </c>
      <c r="AH706" s="34" t="s">
        <v>27</v>
      </c>
    </row>
    <row r="707" spans="1:34">
      <c r="A707" t="s">
        <v>992</v>
      </c>
      <c r="B707" t="s">
        <v>618</v>
      </c>
      <c r="C707">
        <v>28</v>
      </c>
      <c r="D707" t="s">
        <v>21</v>
      </c>
      <c r="E707" t="s">
        <v>36</v>
      </c>
      <c r="F707" t="s">
        <v>31</v>
      </c>
      <c r="G707" t="s">
        <v>32</v>
      </c>
      <c r="H707">
        <v>93</v>
      </c>
      <c r="I707">
        <v>70</v>
      </c>
      <c r="J707" t="s">
        <v>59</v>
      </c>
      <c r="K707">
        <v>10000</v>
      </c>
      <c r="L707">
        <v>11800</v>
      </c>
      <c r="M707">
        <v>0</v>
      </c>
      <c r="N707" t="s">
        <v>11</v>
      </c>
      <c r="O707" t="s">
        <v>27</v>
      </c>
      <c r="P707" s="1">
        <v>45702</v>
      </c>
      <c r="Q707" s="1">
        <v>45732</v>
      </c>
      <c r="R707" s="2">
        <v>0.40416666666666667</v>
      </c>
      <c r="S707" s="2">
        <v>0.60277777777777775</v>
      </c>
      <c r="T707" t="str" cm="1">
        <f t="array" ref="T707">_xlfn.IFS(H707&gt;=90,"A",H707&gt;=75,"B",H707&gt;=60,"C",H707&lt;60,"D")</f>
        <v>A</v>
      </c>
      <c r="U707" t="str">
        <f t="shared" si="44"/>
        <v>09:42 AM</v>
      </c>
      <c r="V707" t="str">
        <f t="shared" si="45"/>
        <v>On Time</v>
      </c>
      <c r="W707" t="str">
        <f t="shared" si="46"/>
        <v>4 Hours 46 Minutes</v>
      </c>
      <c r="X707" t="str">
        <f t="shared" si="47"/>
        <v>Short Time Login</v>
      </c>
      <c r="AA707" s="35" t="s">
        <v>992</v>
      </c>
      <c r="AB707" s="35" t="s">
        <v>618</v>
      </c>
      <c r="AC707" s="35">
        <v>93</v>
      </c>
      <c r="AD707" s="35">
        <v>70</v>
      </c>
      <c r="AE707" s="35" t="s">
        <v>59</v>
      </c>
      <c r="AF707" s="35">
        <v>0</v>
      </c>
      <c r="AH707" s="35" t="s">
        <v>27</v>
      </c>
    </row>
    <row r="708" spans="1:34">
      <c r="A708" t="s">
        <v>993</v>
      </c>
      <c r="B708" t="s">
        <v>282</v>
      </c>
      <c r="C708">
        <v>25</v>
      </c>
      <c r="D708" t="s">
        <v>35</v>
      </c>
      <c r="E708" t="s">
        <v>30</v>
      </c>
      <c r="F708" t="s">
        <v>53</v>
      </c>
      <c r="G708" t="s">
        <v>54</v>
      </c>
      <c r="H708">
        <v>81</v>
      </c>
      <c r="I708">
        <v>98</v>
      </c>
      <c r="J708" t="s">
        <v>45</v>
      </c>
      <c r="K708">
        <v>12000</v>
      </c>
      <c r="L708">
        <v>12160</v>
      </c>
      <c r="M708">
        <v>2000</v>
      </c>
      <c r="N708" t="s">
        <v>26</v>
      </c>
      <c r="O708" t="s">
        <v>27</v>
      </c>
      <c r="P708" s="1">
        <v>45795</v>
      </c>
      <c r="Q708" s="1">
        <v>45825</v>
      </c>
      <c r="R708" s="2">
        <v>0.4</v>
      </c>
      <c r="S708" s="2">
        <v>0.56597222222222221</v>
      </c>
      <c r="T708" t="str" cm="1">
        <f t="array" ref="T708">_xlfn.IFS(H708&gt;=90,"A",H708&gt;=75,"B",H708&gt;=60,"C",H708&lt;60,"D")</f>
        <v>B</v>
      </c>
      <c r="U708" t="str">
        <f t="shared" si="44"/>
        <v>09:36 AM</v>
      </c>
      <c r="V708" t="str">
        <f t="shared" si="45"/>
        <v>On Time</v>
      </c>
      <c r="W708" t="str">
        <f t="shared" si="46"/>
        <v>3 Hours 59 Minutes</v>
      </c>
      <c r="X708" t="str">
        <f t="shared" si="47"/>
        <v>Short Time Login</v>
      </c>
      <c r="AA708" s="34" t="s">
        <v>993</v>
      </c>
      <c r="AB708" s="34" t="s">
        <v>282</v>
      </c>
      <c r="AC708" s="34">
        <v>81</v>
      </c>
      <c r="AD708" s="34">
        <v>98</v>
      </c>
      <c r="AE708" s="34" t="s">
        <v>45</v>
      </c>
      <c r="AF708" s="34">
        <v>2000</v>
      </c>
      <c r="AH708" s="34" t="s">
        <v>27</v>
      </c>
    </row>
    <row r="709" spans="1:34">
      <c r="A709" t="s">
        <v>994</v>
      </c>
      <c r="B709" t="s">
        <v>500</v>
      </c>
      <c r="C709">
        <v>18</v>
      </c>
      <c r="D709" t="s">
        <v>35</v>
      </c>
      <c r="E709" t="s">
        <v>67</v>
      </c>
      <c r="F709" t="s">
        <v>88</v>
      </c>
      <c r="G709" t="s">
        <v>89</v>
      </c>
      <c r="H709">
        <v>61</v>
      </c>
      <c r="I709">
        <v>97</v>
      </c>
      <c r="J709" t="s">
        <v>68</v>
      </c>
      <c r="K709">
        <v>18000</v>
      </c>
      <c r="L709">
        <v>17240</v>
      </c>
      <c r="M709">
        <v>4000</v>
      </c>
      <c r="N709" t="s">
        <v>26</v>
      </c>
      <c r="O709" t="s">
        <v>27</v>
      </c>
      <c r="P709" s="1">
        <v>45689</v>
      </c>
      <c r="Q709" s="1">
        <v>45719</v>
      </c>
      <c r="R709" s="2">
        <v>0.40277777777777779</v>
      </c>
      <c r="S709" s="2">
        <v>0.57291666666666663</v>
      </c>
      <c r="T709" t="str" cm="1">
        <f t="array" ref="T709">_xlfn.IFS(H709&gt;=90,"A",H709&gt;=75,"B",H709&gt;=60,"C",H709&lt;60,"D")</f>
        <v>C</v>
      </c>
      <c r="U709" t="str">
        <f t="shared" si="44"/>
        <v>09:40 AM</v>
      </c>
      <c r="V709" t="str">
        <f t="shared" si="45"/>
        <v>On Time</v>
      </c>
      <c r="W709" t="str">
        <f t="shared" si="46"/>
        <v>4 Hours 5 Minutes</v>
      </c>
      <c r="X709" t="str">
        <f t="shared" si="47"/>
        <v>Short Time Login</v>
      </c>
      <c r="AA709" s="35" t="s">
        <v>994</v>
      </c>
      <c r="AB709" s="35" t="s">
        <v>500</v>
      </c>
      <c r="AC709" s="35">
        <v>61</v>
      </c>
      <c r="AD709" s="35">
        <v>97</v>
      </c>
      <c r="AE709" s="35" t="s">
        <v>68</v>
      </c>
      <c r="AF709" s="35">
        <v>4000</v>
      </c>
      <c r="AH709" s="35" t="s">
        <v>27</v>
      </c>
    </row>
    <row r="710" spans="1:34">
      <c r="A710" t="s">
        <v>995</v>
      </c>
      <c r="B710" t="s">
        <v>518</v>
      </c>
      <c r="C710">
        <v>27</v>
      </c>
      <c r="D710" t="s">
        <v>35</v>
      </c>
      <c r="E710" t="s">
        <v>39</v>
      </c>
      <c r="F710" t="s">
        <v>23</v>
      </c>
      <c r="G710" t="s">
        <v>24</v>
      </c>
      <c r="H710">
        <v>66</v>
      </c>
      <c r="I710">
        <v>71</v>
      </c>
      <c r="J710" t="s">
        <v>68</v>
      </c>
      <c r="K710">
        <v>18000</v>
      </c>
      <c r="L710">
        <v>20650</v>
      </c>
      <c r="M710">
        <v>0</v>
      </c>
      <c r="N710" t="s">
        <v>11</v>
      </c>
      <c r="O710" t="s">
        <v>27</v>
      </c>
      <c r="P710" s="1">
        <v>45973</v>
      </c>
      <c r="Q710" s="1">
        <v>46093</v>
      </c>
      <c r="R710" s="2">
        <v>0.40625</v>
      </c>
      <c r="S710" s="2">
        <v>0.51249999999999996</v>
      </c>
      <c r="T710" t="str" cm="1">
        <f t="array" ref="T710">_xlfn.IFS(H710&gt;=90,"A",H710&gt;=75,"B",H710&gt;=60,"C",H710&lt;60,"D")</f>
        <v>C</v>
      </c>
      <c r="U710" t="str">
        <f t="shared" si="44"/>
        <v>09:45 AM</v>
      </c>
      <c r="V710" t="str">
        <f t="shared" si="45"/>
        <v>Delayed</v>
      </c>
      <c r="W710" t="str">
        <f t="shared" si="46"/>
        <v>2 Hours 33 Minutes</v>
      </c>
      <c r="X710" t="str">
        <f t="shared" si="47"/>
        <v>Short Time Login</v>
      </c>
      <c r="AA710" s="34" t="s">
        <v>995</v>
      </c>
      <c r="AB710" s="34" t="s">
        <v>518</v>
      </c>
      <c r="AC710" s="34">
        <v>66</v>
      </c>
      <c r="AD710" s="34">
        <v>71</v>
      </c>
      <c r="AE710" s="34" t="s">
        <v>68</v>
      </c>
      <c r="AF710" s="34">
        <v>0</v>
      </c>
      <c r="AH710" s="34" t="s">
        <v>27</v>
      </c>
    </row>
    <row r="711" spans="1:34">
      <c r="A711" t="s">
        <v>996</v>
      </c>
      <c r="B711" t="s">
        <v>156</v>
      </c>
      <c r="C711">
        <v>23</v>
      </c>
      <c r="D711" t="s">
        <v>35</v>
      </c>
      <c r="E711" t="s">
        <v>48</v>
      </c>
      <c r="F711" t="s">
        <v>49</v>
      </c>
      <c r="G711" t="s">
        <v>50</v>
      </c>
      <c r="H711">
        <v>49</v>
      </c>
      <c r="I711">
        <v>67</v>
      </c>
      <c r="J711" t="s">
        <v>25</v>
      </c>
      <c r="K711">
        <v>15000</v>
      </c>
      <c r="L711">
        <v>15700</v>
      </c>
      <c r="M711">
        <v>2000</v>
      </c>
      <c r="N711" t="s">
        <v>26</v>
      </c>
      <c r="O711" t="s">
        <v>27</v>
      </c>
      <c r="P711" s="1">
        <v>45708</v>
      </c>
      <c r="Q711" s="1">
        <v>45828</v>
      </c>
      <c r="R711" s="2">
        <v>0.41944444444444445</v>
      </c>
      <c r="S711" s="2">
        <v>0.56944444444444442</v>
      </c>
      <c r="T711" t="str" cm="1">
        <f t="array" ref="T711">_xlfn.IFS(H711&gt;=90,"A",H711&gt;=75,"B",H711&gt;=60,"C",H711&lt;60,"D")</f>
        <v>D</v>
      </c>
      <c r="U711" t="str">
        <f t="shared" si="44"/>
        <v>10:04 AM</v>
      </c>
      <c r="V711" t="str">
        <f t="shared" si="45"/>
        <v>Delayed</v>
      </c>
      <c r="W711" t="str">
        <f t="shared" si="46"/>
        <v>3 Hours 36 Minutes</v>
      </c>
      <c r="X711" t="str">
        <f t="shared" si="47"/>
        <v>Long Time Login</v>
      </c>
      <c r="AA711" s="35" t="s">
        <v>996</v>
      </c>
      <c r="AB711" s="35" t="s">
        <v>156</v>
      </c>
      <c r="AC711" s="35">
        <v>49</v>
      </c>
      <c r="AD711" s="35">
        <v>67</v>
      </c>
      <c r="AE711" s="35" t="s">
        <v>25</v>
      </c>
      <c r="AF711" s="35">
        <v>2000</v>
      </c>
      <c r="AH711" s="35" t="s">
        <v>27</v>
      </c>
    </row>
    <row r="712" spans="1:34">
      <c r="A712" t="s">
        <v>997</v>
      </c>
      <c r="B712" t="s">
        <v>146</v>
      </c>
      <c r="C712">
        <v>19</v>
      </c>
      <c r="D712" t="s">
        <v>35</v>
      </c>
      <c r="E712" t="s">
        <v>67</v>
      </c>
      <c r="F712" t="s">
        <v>23</v>
      </c>
      <c r="G712" t="s">
        <v>24</v>
      </c>
      <c r="H712">
        <v>100</v>
      </c>
      <c r="I712">
        <v>70</v>
      </c>
      <c r="J712" t="s">
        <v>59</v>
      </c>
      <c r="K712">
        <v>15000</v>
      </c>
      <c r="L712">
        <v>13110</v>
      </c>
      <c r="M712">
        <v>4000</v>
      </c>
      <c r="N712" t="s">
        <v>26</v>
      </c>
      <c r="O712" t="s">
        <v>27</v>
      </c>
      <c r="P712" s="1">
        <v>45824</v>
      </c>
      <c r="Q712" s="1">
        <v>45914</v>
      </c>
      <c r="R712" s="2">
        <v>0.41249999999999998</v>
      </c>
      <c r="S712" s="2">
        <v>0.49583333333333335</v>
      </c>
      <c r="T712" t="str" cm="1">
        <f t="array" ref="T712">_xlfn.IFS(H712&gt;=90,"A",H712&gt;=75,"B",H712&gt;=60,"C",H712&lt;60,"D")</f>
        <v>A</v>
      </c>
      <c r="U712" t="str">
        <f t="shared" si="44"/>
        <v>09:54 AM</v>
      </c>
      <c r="V712" t="str">
        <f t="shared" si="45"/>
        <v>On Time</v>
      </c>
      <c r="W712" t="str">
        <f t="shared" si="46"/>
        <v>2 Hours 0 Minutes</v>
      </c>
      <c r="X712" t="str">
        <f t="shared" si="47"/>
        <v>Short Time Login</v>
      </c>
      <c r="AA712" s="34" t="s">
        <v>997</v>
      </c>
      <c r="AB712" s="34" t="s">
        <v>146</v>
      </c>
      <c r="AC712" s="34">
        <v>100</v>
      </c>
      <c r="AD712" s="34">
        <v>70</v>
      </c>
      <c r="AE712" s="34" t="s">
        <v>59</v>
      </c>
      <c r="AF712" s="34">
        <v>4000</v>
      </c>
      <c r="AH712" s="34" t="s">
        <v>27</v>
      </c>
    </row>
    <row r="713" spans="1:34">
      <c r="A713" t="s">
        <v>998</v>
      </c>
      <c r="B713" t="s">
        <v>642</v>
      </c>
      <c r="C713">
        <v>18</v>
      </c>
      <c r="D713" t="s">
        <v>35</v>
      </c>
      <c r="E713" t="s">
        <v>96</v>
      </c>
      <c r="F713" t="s">
        <v>57</v>
      </c>
      <c r="G713" t="s">
        <v>58</v>
      </c>
      <c r="H713">
        <v>35</v>
      </c>
      <c r="I713">
        <v>70</v>
      </c>
      <c r="J713" t="s">
        <v>25</v>
      </c>
      <c r="K713">
        <v>10000</v>
      </c>
      <c r="L713">
        <v>10620</v>
      </c>
      <c r="M713">
        <v>0</v>
      </c>
      <c r="N713" t="s">
        <v>11</v>
      </c>
      <c r="O713" t="s">
        <v>27</v>
      </c>
      <c r="P713" s="1">
        <v>46014</v>
      </c>
      <c r="Q713" s="1">
        <v>46074</v>
      </c>
      <c r="R713" s="2">
        <v>0.36249999999999999</v>
      </c>
      <c r="S713" s="2">
        <v>0.53472222222222221</v>
      </c>
      <c r="T713" t="str" cm="1">
        <f t="array" ref="T713">_xlfn.IFS(H713&gt;=90,"A",H713&gt;=75,"B",H713&gt;=60,"C",H713&lt;60,"D")</f>
        <v>D</v>
      </c>
      <c r="U713" t="str">
        <f t="shared" si="44"/>
        <v>08:42 AM</v>
      </c>
      <c r="V713" t="str">
        <f t="shared" si="45"/>
        <v>On Time</v>
      </c>
      <c r="W713" t="str">
        <f t="shared" si="46"/>
        <v>4 Hours 8 Minutes</v>
      </c>
      <c r="X713" t="str">
        <f t="shared" si="47"/>
        <v>Short Time Login</v>
      </c>
      <c r="AA713" s="35" t="s">
        <v>998</v>
      </c>
      <c r="AB713" s="35" t="s">
        <v>642</v>
      </c>
      <c r="AC713" s="35">
        <v>35</v>
      </c>
      <c r="AD713" s="35">
        <v>70</v>
      </c>
      <c r="AE713" s="35" t="s">
        <v>25</v>
      </c>
      <c r="AF713" s="35">
        <v>0</v>
      </c>
      <c r="AH713" s="35" t="s">
        <v>27</v>
      </c>
    </row>
    <row r="714" spans="1:34">
      <c r="A714" t="s">
        <v>999</v>
      </c>
      <c r="B714" t="s">
        <v>618</v>
      </c>
      <c r="C714">
        <v>28</v>
      </c>
      <c r="D714" t="s">
        <v>35</v>
      </c>
      <c r="E714" t="s">
        <v>44</v>
      </c>
      <c r="F714" t="s">
        <v>31</v>
      </c>
      <c r="G714" t="s">
        <v>32</v>
      </c>
      <c r="H714">
        <v>97</v>
      </c>
      <c r="I714">
        <v>71</v>
      </c>
      <c r="J714" t="s">
        <v>59</v>
      </c>
      <c r="K714">
        <v>15000</v>
      </c>
      <c r="L714">
        <v>14520</v>
      </c>
      <c r="M714">
        <v>2000</v>
      </c>
      <c r="N714" t="s">
        <v>26</v>
      </c>
      <c r="O714" t="s">
        <v>27</v>
      </c>
      <c r="P714" s="1">
        <v>45939</v>
      </c>
      <c r="Q714" s="1">
        <v>46059</v>
      </c>
      <c r="R714" s="2">
        <v>0.40763888888888888</v>
      </c>
      <c r="S714" s="2">
        <v>0.47847222222222224</v>
      </c>
      <c r="T714" t="str" cm="1">
        <f t="array" ref="T714">_xlfn.IFS(H714&gt;=90,"A",H714&gt;=75,"B",H714&gt;=60,"C",H714&lt;60,"D")</f>
        <v>A</v>
      </c>
      <c r="U714" t="str">
        <f t="shared" si="44"/>
        <v>09:47 AM</v>
      </c>
      <c r="V714" t="str">
        <f t="shared" si="45"/>
        <v>Delayed</v>
      </c>
      <c r="W714" t="str">
        <f t="shared" si="46"/>
        <v>1 Hours 42 Minutes</v>
      </c>
      <c r="X714" t="str">
        <f t="shared" si="47"/>
        <v>Short Time Login</v>
      </c>
      <c r="AA714" s="34" t="s">
        <v>999</v>
      </c>
      <c r="AB714" s="34" t="s">
        <v>618</v>
      </c>
      <c r="AC714" s="34">
        <v>97</v>
      </c>
      <c r="AD714" s="34">
        <v>71</v>
      </c>
      <c r="AE714" s="34" t="s">
        <v>59</v>
      </c>
      <c r="AF714" s="34">
        <v>2000</v>
      </c>
      <c r="AH714" s="34" t="s">
        <v>27</v>
      </c>
    </row>
    <row r="715" spans="1:34">
      <c r="A715" t="s">
        <v>1000</v>
      </c>
      <c r="B715" t="s">
        <v>43</v>
      </c>
      <c r="C715">
        <v>21</v>
      </c>
      <c r="D715" t="s">
        <v>35</v>
      </c>
      <c r="E715" t="s">
        <v>22</v>
      </c>
      <c r="F715" t="s">
        <v>53</v>
      </c>
      <c r="G715" t="s">
        <v>54</v>
      </c>
      <c r="H715">
        <v>87</v>
      </c>
      <c r="I715">
        <v>99</v>
      </c>
      <c r="J715" t="s">
        <v>45</v>
      </c>
      <c r="K715">
        <v>15000</v>
      </c>
      <c r="L715">
        <v>12520</v>
      </c>
      <c r="M715">
        <v>4000</v>
      </c>
      <c r="N715" t="s">
        <v>26</v>
      </c>
      <c r="O715" t="s">
        <v>27</v>
      </c>
      <c r="P715" s="1">
        <v>45717</v>
      </c>
      <c r="Q715" s="1">
        <v>45747</v>
      </c>
      <c r="R715" s="2">
        <v>0.43888888888888888</v>
      </c>
      <c r="S715" s="2">
        <v>0.55069444444444449</v>
      </c>
      <c r="T715" t="str" cm="1">
        <f t="array" ref="T715">_xlfn.IFS(H715&gt;=90,"A",H715&gt;=75,"B",H715&gt;=60,"C",H715&lt;60,"D")</f>
        <v>B</v>
      </c>
      <c r="U715" t="str">
        <f t="shared" si="44"/>
        <v>10:32 AM</v>
      </c>
      <c r="V715" t="str">
        <f t="shared" si="45"/>
        <v>On Time</v>
      </c>
      <c r="W715" t="str">
        <f t="shared" si="46"/>
        <v>2 Hours 41 Minutes</v>
      </c>
      <c r="X715" t="str">
        <f t="shared" si="47"/>
        <v>Long Time Login</v>
      </c>
      <c r="AA715" s="35" t="s">
        <v>1000</v>
      </c>
      <c r="AB715" s="35" t="s">
        <v>43</v>
      </c>
      <c r="AC715" s="35">
        <v>87</v>
      </c>
      <c r="AD715" s="35">
        <v>99</v>
      </c>
      <c r="AE715" s="35" t="s">
        <v>45</v>
      </c>
      <c r="AF715" s="35">
        <v>4000</v>
      </c>
      <c r="AH715" s="35" t="s">
        <v>27</v>
      </c>
    </row>
    <row r="716" spans="1:34">
      <c r="A716" t="s">
        <v>1001</v>
      </c>
      <c r="B716" t="s">
        <v>187</v>
      </c>
      <c r="C716">
        <v>27</v>
      </c>
      <c r="D716" t="s">
        <v>35</v>
      </c>
      <c r="E716" t="s">
        <v>48</v>
      </c>
      <c r="F716" t="s">
        <v>57</v>
      </c>
      <c r="G716" t="s">
        <v>58</v>
      </c>
      <c r="H716">
        <v>66</v>
      </c>
      <c r="I716">
        <v>74</v>
      </c>
      <c r="J716" t="s">
        <v>68</v>
      </c>
      <c r="K716">
        <v>15000</v>
      </c>
      <c r="L716">
        <v>11930</v>
      </c>
      <c r="M716">
        <v>4000</v>
      </c>
      <c r="N716" t="s">
        <v>26</v>
      </c>
      <c r="O716" t="s">
        <v>27</v>
      </c>
      <c r="P716" s="1">
        <v>45868</v>
      </c>
      <c r="Q716" s="1">
        <v>46048</v>
      </c>
      <c r="R716" s="2">
        <v>0.44166666666666665</v>
      </c>
      <c r="S716" s="2">
        <v>0.52083333333333337</v>
      </c>
      <c r="T716" t="str" cm="1">
        <f t="array" ref="T716">_xlfn.IFS(H716&gt;=90,"A",H716&gt;=75,"B",H716&gt;=60,"C",H716&lt;60,"D")</f>
        <v>C</v>
      </c>
      <c r="U716" t="str">
        <f t="shared" si="44"/>
        <v>10:36 AM</v>
      </c>
      <c r="V716" t="str">
        <f t="shared" si="45"/>
        <v>Delayed</v>
      </c>
      <c r="W716" t="str">
        <f t="shared" si="46"/>
        <v>1 Hours 54 Minutes</v>
      </c>
      <c r="X716" t="str">
        <f t="shared" si="47"/>
        <v>Long Time Login</v>
      </c>
      <c r="AA716" s="34" t="s">
        <v>1001</v>
      </c>
      <c r="AB716" s="34" t="s">
        <v>187</v>
      </c>
      <c r="AC716" s="34">
        <v>66</v>
      </c>
      <c r="AD716" s="34">
        <v>74</v>
      </c>
      <c r="AE716" s="34" t="s">
        <v>68</v>
      </c>
      <c r="AF716" s="34">
        <v>4000</v>
      </c>
      <c r="AH716" s="34" t="s">
        <v>27</v>
      </c>
    </row>
    <row r="717" spans="1:34">
      <c r="A717" t="s">
        <v>1002</v>
      </c>
      <c r="B717" t="s">
        <v>481</v>
      </c>
      <c r="C717">
        <v>21</v>
      </c>
      <c r="D717" t="s">
        <v>21</v>
      </c>
      <c r="E717" t="s">
        <v>30</v>
      </c>
      <c r="F717" t="s">
        <v>57</v>
      </c>
      <c r="G717" t="s">
        <v>58</v>
      </c>
      <c r="H717">
        <v>67</v>
      </c>
      <c r="I717">
        <v>68</v>
      </c>
      <c r="J717" t="s">
        <v>68</v>
      </c>
      <c r="K717">
        <v>15000</v>
      </c>
      <c r="L717">
        <v>13930</v>
      </c>
      <c r="M717">
        <v>2000</v>
      </c>
      <c r="N717" t="s">
        <v>26</v>
      </c>
      <c r="O717" t="s">
        <v>27</v>
      </c>
      <c r="P717" s="1">
        <v>45677</v>
      </c>
      <c r="Q717" s="1">
        <v>45707</v>
      </c>
      <c r="R717" s="2">
        <v>0.4201388888888889</v>
      </c>
      <c r="S717" s="2">
        <v>0.61319444444444449</v>
      </c>
      <c r="T717" t="str" cm="1">
        <f t="array" ref="T717">_xlfn.IFS(H717&gt;=90,"A",H717&gt;=75,"B",H717&gt;=60,"C",H717&lt;60,"D")</f>
        <v>C</v>
      </c>
      <c r="U717" t="str">
        <f t="shared" si="44"/>
        <v>10:05 AM</v>
      </c>
      <c r="V717" t="str">
        <f t="shared" si="45"/>
        <v>On Time</v>
      </c>
      <c r="W717" t="str">
        <f t="shared" si="46"/>
        <v>4 Hours 38 Minutes</v>
      </c>
      <c r="X717" t="str">
        <f t="shared" si="47"/>
        <v>Long Time Login</v>
      </c>
      <c r="AA717" s="35" t="s">
        <v>1002</v>
      </c>
      <c r="AB717" s="35" t="s">
        <v>481</v>
      </c>
      <c r="AC717" s="35">
        <v>67</v>
      </c>
      <c r="AD717" s="35">
        <v>68</v>
      </c>
      <c r="AE717" s="35" t="s">
        <v>68</v>
      </c>
      <c r="AF717" s="35">
        <v>2000</v>
      </c>
      <c r="AH717" s="35" t="s">
        <v>27</v>
      </c>
    </row>
    <row r="718" spans="1:34">
      <c r="A718" t="s">
        <v>1003</v>
      </c>
      <c r="B718" t="s">
        <v>112</v>
      </c>
      <c r="C718">
        <v>21</v>
      </c>
      <c r="D718" t="s">
        <v>21</v>
      </c>
      <c r="E718" t="s">
        <v>48</v>
      </c>
      <c r="F718" t="s">
        <v>88</v>
      </c>
      <c r="G718" t="s">
        <v>89</v>
      </c>
      <c r="H718">
        <v>100</v>
      </c>
      <c r="I718">
        <v>66</v>
      </c>
      <c r="J718" t="s">
        <v>59</v>
      </c>
      <c r="K718">
        <v>18000</v>
      </c>
      <c r="L718">
        <v>20650</v>
      </c>
      <c r="M718">
        <v>0</v>
      </c>
      <c r="N718" t="s">
        <v>11</v>
      </c>
      <c r="O718" t="s">
        <v>27</v>
      </c>
      <c r="P718" s="1">
        <v>45691</v>
      </c>
      <c r="Q718" s="1">
        <v>45781</v>
      </c>
      <c r="R718" s="2">
        <v>0.35347222222222224</v>
      </c>
      <c r="S718" s="2">
        <v>0.42916666666666664</v>
      </c>
      <c r="T718" t="str" cm="1">
        <f t="array" ref="T718">_xlfn.IFS(H718&gt;=90,"A",H718&gt;=75,"B",H718&gt;=60,"C",H718&lt;60,"D")</f>
        <v>A</v>
      </c>
      <c r="U718" t="str">
        <f t="shared" si="44"/>
        <v>08:29 AM</v>
      </c>
      <c r="V718" t="str">
        <f t="shared" si="45"/>
        <v>On Time</v>
      </c>
      <c r="W718" t="str">
        <f t="shared" si="46"/>
        <v>1 Hours 49 Minutes</v>
      </c>
      <c r="X718" t="str">
        <f t="shared" si="47"/>
        <v>Short Time Login</v>
      </c>
      <c r="AA718" s="34" t="s">
        <v>1003</v>
      </c>
      <c r="AB718" s="34" t="s">
        <v>112</v>
      </c>
      <c r="AC718" s="34">
        <v>100</v>
      </c>
      <c r="AD718" s="34">
        <v>66</v>
      </c>
      <c r="AE718" s="34" t="s">
        <v>59</v>
      </c>
      <c r="AF718" s="34">
        <v>0</v>
      </c>
      <c r="AH718" s="34" t="s">
        <v>27</v>
      </c>
    </row>
    <row r="719" spans="1:34">
      <c r="A719" t="s">
        <v>1004</v>
      </c>
      <c r="B719" t="s">
        <v>419</v>
      </c>
      <c r="C719">
        <v>20</v>
      </c>
      <c r="D719" t="s">
        <v>35</v>
      </c>
      <c r="E719" t="s">
        <v>96</v>
      </c>
      <c r="F719" t="s">
        <v>31</v>
      </c>
      <c r="G719" t="s">
        <v>32</v>
      </c>
      <c r="H719">
        <v>53</v>
      </c>
      <c r="I719">
        <v>66</v>
      </c>
      <c r="J719" t="s">
        <v>25</v>
      </c>
      <c r="K719">
        <v>18000</v>
      </c>
      <c r="L719">
        <v>20650</v>
      </c>
      <c r="M719">
        <v>0</v>
      </c>
      <c r="N719" t="s">
        <v>11</v>
      </c>
      <c r="O719" t="s">
        <v>127</v>
      </c>
      <c r="P719" s="1">
        <v>45803</v>
      </c>
      <c r="Q719" s="1">
        <v>45983</v>
      </c>
      <c r="R719" s="2">
        <v>0.44097222222222221</v>
      </c>
      <c r="S719" s="2">
        <v>0.57638888888888884</v>
      </c>
      <c r="T719" t="str" cm="1">
        <f t="array" ref="T719">_xlfn.IFS(H719&gt;=90,"A",H719&gt;=75,"B",H719&gt;=60,"C",H719&lt;60,"D")</f>
        <v>D</v>
      </c>
      <c r="U719" t="str">
        <f t="shared" si="44"/>
        <v>10:35 AM</v>
      </c>
      <c r="V719" t="str">
        <f t="shared" si="45"/>
        <v>Delayed</v>
      </c>
      <c r="W719" t="str">
        <f t="shared" si="46"/>
        <v>3 Hours 15 Minutes</v>
      </c>
      <c r="X719" t="str">
        <f t="shared" si="47"/>
        <v>Long Time Login</v>
      </c>
      <c r="AA719" s="35" t="s">
        <v>1004</v>
      </c>
      <c r="AB719" s="35" t="s">
        <v>419</v>
      </c>
      <c r="AC719" s="35">
        <v>53</v>
      </c>
      <c r="AD719" s="35">
        <v>66</v>
      </c>
      <c r="AE719" s="35" t="s">
        <v>25</v>
      </c>
      <c r="AF719" s="35">
        <v>0</v>
      </c>
      <c r="AH719" s="35" t="s">
        <v>127</v>
      </c>
    </row>
    <row r="720" spans="1:34">
      <c r="A720" t="s">
        <v>1005</v>
      </c>
      <c r="B720" t="s">
        <v>391</v>
      </c>
      <c r="C720">
        <v>23</v>
      </c>
      <c r="D720" t="s">
        <v>35</v>
      </c>
      <c r="E720" t="s">
        <v>67</v>
      </c>
      <c r="F720" t="s">
        <v>57</v>
      </c>
      <c r="G720" t="s">
        <v>58</v>
      </c>
      <c r="H720">
        <v>82</v>
      </c>
      <c r="I720">
        <v>76</v>
      </c>
      <c r="J720" t="s">
        <v>45</v>
      </c>
      <c r="K720">
        <v>18000</v>
      </c>
      <c r="L720">
        <v>20060</v>
      </c>
      <c r="M720">
        <v>0</v>
      </c>
      <c r="N720" t="s">
        <v>11</v>
      </c>
      <c r="O720" t="s">
        <v>27</v>
      </c>
      <c r="P720" s="1">
        <v>45860</v>
      </c>
      <c r="Q720" s="1">
        <v>45920</v>
      </c>
      <c r="R720" s="2">
        <v>0.3923611111111111</v>
      </c>
      <c r="S720" s="2">
        <v>0.52708333333333335</v>
      </c>
      <c r="T720" t="str" cm="1">
        <f t="array" ref="T720">_xlfn.IFS(H720&gt;=90,"A",H720&gt;=75,"B",H720&gt;=60,"C",H720&lt;60,"D")</f>
        <v>B</v>
      </c>
      <c r="U720" t="str">
        <f t="shared" si="44"/>
        <v>09:25 AM</v>
      </c>
      <c r="V720" t="str">
        <f t="shared" si="45"/>
        <v>On Time</v>
      </c>
      <c r="W720" t="str">
        <f t="shared" si="46"/>
        <v>3 Hours 14 Minutes</v>
      </c>
      <c r="X720" t="str">
        <f t="shared" si="47"/>
        <v>Short Time Login</v>
      </c>
      <c r="AA720" s="34" t="s">
        <v>1005</v>
      </c>
      <c r="AB720" s="34" t="s">
        <v>391</v>
      </c>
      <c r="AC720" s="34">
        <v>82</v>
      </c>
      <c r="AD720" s="34">
        <v>76</v>
      </c>
      <c r="AE720" s="34" t="s">
        <v>45</v>
      </c>
      <c r="AF720" s="34">
        <v>0</v>
      </c>
      <c r="AH720" s="34" t="s">
        <v>27</v>
      </c>
    </row>
    <row r="721" spans="1:34">
      <c r="A721" t="s">
        <v>1006</v>
      </c>
      <c r="B721" t="s">
        <v>169</v>
      </c>
      <c r="C721">
        <v>24</v>
      </c>
      <c r="D721" t="s">
        <v>21</v>
      </c>
      <c r="E721" t="s">
        <v>36</v>
      </c>
      <c r="F721" t="s">
        <v>88</v>
      </c>
      <c r="G721" t="s">
        <v>89</v>
      </c>
      <c r="H721">
        <v>89</v>
      </c>
      <c r="I721">
        <v>75</v>
      </c>
      <c r="J721" t="s">
        <v>45</v>
      </c>
      <c r="K721">
        <v>10000</v>
      </c>
      <c r="L721">
        <v>10620</v>
      </c>
      <c r="M721">
        <v>0</v>
      </c>
      <c r="N721" t="s">
        <v>11</v>
      </c>
      <c r="O721" t="s">
        <v>27</v>
      </c>
      <c r="P721" s="1">
        <v>45865</v>
      </c>
      <c r="Q721" s="1">
        <v>45985</v>
      </c>
      <c r="R721" s="2">
        <v>0.3576388888888889</v>
      </c>
      <c r="S721" s="2">
        <v>0.55208333333333337</v>
      </c>
      <c r="T721" t="str" cm="1">
        <f t="array" ref="T721">_xlfn.IFS(H721&gt;=90,"A",H721&gt;=75,"B",H721&gt;=60,"C",H721&lt;60,"D")</f>
        <v>B</v>
      </c>
      <c r="U721" t="str">
        <f t="shared" si="44"/>
        <v>08:35 AM</v>
      </c>
      <c r="V721" t="str">
        <f t="shared" si="45"/>
        <v>Delayed</v>
      </c>
      <c r="W721" t="str">
        <f t="shared" si="46"/>
        <v>4 Hours 40 Minutes</v>
      </c>
      <c r="X721" t="str">
        <f t="shared" si="47"/>
        <v>Short Time Login</v>
      </c>
      <c r="AA721" s="35" t="s">
        <v>1006</v>
      </c>
      <c r="AB721" s="35" t="s">
        <v>169</v>
      </c>
      <c r="AC721" s="35">
        <v>89</v>
      </c>
      <c r="AD721" s="35">
        <v>75</v>
      </c>
      <c r="AE721" s="35" t="s">
        <v>45</v>
      </c>
      <c r="AF721" s="35">
        <v>0</v>
      </c>
      <c r="AH721" s="35" t="s">
        <v>27</v>
      </c>
    </row>
    <row r="722" spans="1:34">
      <c r="A722" t="s">
        <v>1007</v>
      </c>
      <c r="B722" t="s">
        <v>313</v>
      </c>
      <c r="C722">
        <v>27</v>
      </c>
      <c r="D722" t="s">
        <v>21</v>
      </c>
      <c r="E722" t="s">
        <v>96</v>
      </c>
      <c r="F722" t="s">
        <v>88</v>
      </c>
      <c r="G722" t="s">
        <v>89</v>
      </c>
      <c r="H722">
        <v>75</v>
      </c>
      <c r="I722">
        <v>99</v>
      </c>
      <c r="J722" t="s">
        <v>45</v>
      </c>
      <c r="K722">
        <v>10000</v>
      </c>
      <c r="L722">
        <v>9210</v>
      </c>
      <c r="M722">
        <v>2000</v>
      </c>
      <c r="N722" t="s">
        <v>26</v>
      </c>
      <c r="O722" t="s">
        <v>27</v>
      </c>
      <c r="P722" s="1">
        <v>45754</v>
      </c>
      <c r="Q722" s="1">
        <v>45844</v>
      </c>
      <c r="R722" s="2">
        <v>0.37013888888888891</v>
      </c>
      <c r="S722" s="2">
        <v>0.41180555555555554</v>
      </c>
      <c r="T722" t="str" cm="1">
        <f t="array" ref="T722">_xlfn.IFS(H722&gt;=90,"A",H722&gt;=75,"B",H722&gt;=60,"C",H722&lt;60,"D")</f>
        <v>B</v>
      </c>
      <c r="U722" t="str">
        <f t="shared" si="44"/>
        <v>08:53 AM</v>
      </c>
      <c r="V722" t="str">
        <f t="shared" si="45"/>
        <v>On Time</v>
      </c>
      <c r="W722" t="str">
        <f t="shared" si="46"/>
        <v>1 Hours 0 Minutes</v>
      </c>
      <c r="X722" t="str">
        <f t="shared" si="47"/>
        <v>Short Time Login</v>
      </c>
      <c r="AA722" s="34" t="s">
        <v>1007</v>
      </c>
      <c r="AB722" s="34" t="s">
        <v>313</v>
      </c>
      <c r="AC722" s="34">
        <v>75</v>
      </c>
      <c r="AD722" s="34">
        <v>99</v>
      </c>
      <c r="AE722" s="34" t="s">
        <v>45</v>
      </c>
      <c r="AF722" s="34">
        <v>2000</v>
      </c>
      <c r="AH722" s="34" t="s">
        <v>27</v>
      </c>
    </row>
    <row r="723" spans="1:34">
      <c r="A723" t="s">
        <v>1008</v>
      </c>
      <c r="B723" t="s">
        <v>152</v>
      </c>
      <c r="C723">
        <v>27</v>
      </c>
      <c r="D723" t="s">
        <v>35</v>
      </c>
      <c r="E723" t="s">
        <v>30</v>
      </c>
      <c r="F723" t="s">
        <v>23</v>
      </c>
      <c r="G723" t="s">
        <v>24</v>
      </c>
      <c r="H723">
        <v>90</v>
      </c>
      <c r="I723">
        <v>67</v>
      </c>
      <c r="J723" t="s">
        <v>59</v>
      </c>
      <c r="K723">
        <v>15000</v>
      </c>
      <c r="L723">
        <v>16520</v>
      </c>
      <c r="M723">
        <v>0</v>
      </c>
      <c r="N723" t="s">
        <v>11</v>
      </c>
      <c r="O723" t="s">
        <v>27</v>
      </c>
      <c r="P723" s="1">
        <v>45662</v>
      </c>
      <c r="Q723" s="1">
        <v>45692</v>
      </c>
      <c r="R723" s="2">
        <v>0.44722222222222224</v>
      </c>
      <c r="S723" s="2">
        <v>0.54166666666666663</v>
      </c>
      <c r="T723" t="str" cm="1">
        <f t="array" ref="T723">_xlfn.IFS(H723&gt;=90,"A",H723&gt;=75,"B",H723&gt;=60,"C",H723&lt;60,"D")</f>
        <v>A</v>
      </c>
      <c r="U723" t="str">
        <f t="shared" si="44"/>
        <v>10:44 AM</v>
      </c>
      <c r="V723" t="str">
        <f t="shared" si="45"/>
        <v>On Time</v>
      </c>
      <c r="W723" t="str">
        <f t="shared" si="46"/>
        <v>2 Hours 16 Minutes</v>
      </c>
      <c r="X723" t="str">
        <f t="shared" si="47"/>
        <v>Long Time Login</v>
      </c>
      <c r="AA723" s="35" t="s">
        <v>1008</v>
      </c>
      <c r="AB723" s="35" t="s">
        <v>152</v>
      </c>
      <c r="AC723" s="35">
        <v>90</v>
      </c>
      <c r="AD723" s="35">
        <v>67</v>
      </c>
      <c r="AE723" s="35" t="s">
        <v>59</v>
      </c>
      <c r="AF723" s="35">
        <v>0</v>
      </c>
      <c r="AH723" s="35" t="s">
        <v>27</v>
      </c>
    </row>
    <row r="724" spans="1:34">
      <c r="A724" t="s">
        <v>1009</v>
      </c>
      <c r="B724" t="s">
        <v>759</v>
      </c>
      <c r="C724">
        <v>22</v>
      </c>
      <c r="D724" t="s">
        <v>35</v>
      </c>
      <c r="E724" t="s">
        <v>39</v>
      </c>
      <c r="F724" t="s">
        <v>57</v>
      </c>
      <c r="G724" t="s">
        <v>58</v>
      </c>
      <c r="H724">
        <v>98</v>
      </c>
      <c r="I724">
        <v>70</v>
      </c>
      <c r="J724" t="s">
        <v>59</v>
      </c>
      <c r="K724">
        <v>15000</v>
      </c>
      <c r="L724">
        <v>12520</v>
      </c>
      <c r="M724">
        <v>4000</v>
      </c>
      <c r="N724" t="s">
        <v>26</v>
      </c>
      <c r="O724" t="s">
        <v>27</v>
      </c>
      <c r="P724" s="1">
        <v>45678</v>
      </c>
      <c r="Q724" s="1">
        <v>45798</v>
      </c>
      <c r="R724" s="2">
        <v>0.41249999999999998</v>
      </c>
      <c r="S724" s="2">
        <v>0.50277777777777777</v>
      </c>
      <c r="T724" t="str" cm="1">
        <f t="array" ref="T724">_xlfn.IFS(H724&gt;=90,"A",H724&gt;=75,"B",H724&gt;=60,"C",H724&lt;60,"D")</f>
        <v>A</v>
      </c>
      <c r="U724" t="str">
        <f t="shared" si="44"/>
        <v>09:54 AM</v>
      </c>
      <c r="V724" t="str">
        <f t="shared" si="45"/>
        <v>Delayed</v>
      </c>
      <c r="W724" t="str">
        <f t="shared" si="46"/>
        <v>2 Hours 10 Minutes</v>
      </c>
      <c r="X724" t="str">
        <f t="shared" si="47"/>
        <v>Short Time Login</v>
      </c>
      <c r="AA724" s="34" t="s">
        <v>1009</v>
      </c>
      <c r="AB724" s="34" t="s">
        <v>759</v>
      </c>
      <c r="AC724" s="34">
        <v>98</v>
      </c>
      <c r="AD724" s="34">
        <v>70</v>
      </c>
      <c r="AE724" s="34" t="s">
        <v>59</v>
      </c>
      <c r="AF724" s="34">
        <v>4000</v>
      </c>
      <c r="AH724" s="34" t="s">
        <v>27</v>
      </c>
    </row>
    <row r="725" spans="1:34">
      <c r="A725" t="s">
        <v>1010</v>
      </c>
      <c r="B725" t="s">
        <v>121</v>
      </c>
      <c r="C725">
        <v>28</v>
      </c>
      <c r="D725" t="s">
        <v>21</v>
      </c>
      <c r="E725" t="s">
        <v>113</v>
      </c>
      <c r="F725" t="s">
        <v>31</v>
      </c>
      <c r="G725" t="s">
        <v>32</v>
      </c>
      <c r="H725">
        <v>61</v>
      </c>
      <c r="I725">
        <v>76</v>
      </c>
      <c r="J725" t="s">
        <v>68</v>
      </c>
      <c r="K725">
        <v>15000</v>
      </c>
      <c r="L725">
        <v>14520</v>
      </c>
      <c r="M725">
        <v>2000</v>
      </c>
      <c r="N725" t="s">
        <v>26</v>
      </c>
      <c r="O725" t="s">
        <v>27</v>
      </c>
      <c r="P725" s="1">
        <v>45722</v>
      </c>
      <c r="Q725" s="1">
        <v>45842</v>
      </c>
      <c r="R725" s="2">
        <v>0.34097222222222223</v>
      </c>
      <c r="S725" s="2">
        <v>0.41944444444444445</v>
      </c>
      <c r="T725" t="str" cm="1">
        <f t="array" ref="T725">_xlfn.IFS(H725&gt;=90,"A",H725&gt;=75,"B",H725&gt;=60,"C",H725&lt;60,"D")</f>
        <v>C</v>
      </c>
      <c r="U725" t="str">
        <f t="shared" si="44"/>
        <v>08:11 AM</v>
      </c>
      <c r="V725" t="str">
        <f t="shared" si="45"/>
        <v>Delayed</v>
      </c>
      <c r="W725" t="str">
        <f t="shared" si="46"/>
        <v>1 Hours 53 Minutes</v>
      </c>
      <c r="X725" t="str">
        <f t="shared" si="47"/>
        <v>Short Time Login</v>
      </c>
      <c r="AA725" s="35" t="s">
        <v>1010</v>
      </c>
      <c r="AB725" s="35" t="s">
        <v>121</v>
      </c>
      <c r="AC725" s="35">
        <v>61</v>
      </c>
      <c r="AD725" s="35">
        <v>76</v>
      </c>
      <c r="AE725" s="35" t="s">
        <v>68</v>
      </c>
      <c r="AF725" s="35">
        <v>2000</v>
      </c>
      <c r="AH725" s="35" t="s">
        <v>27</v>
      </c>
    </row>
    <row r="726" spans="1:34">
      <c r="A726" t="s">
        <v>1011</v>
      </c>
      <c r="B726" t="s">
        <v>399</v>
      </c>
      <c r="C726">
        <v>23</v>
      </c>
      <c r="D726" t="s">
        <v>35</v>
      </c>
      <c r="E726" t="s">
        <v>62</v>
      </c>
      <c r="F726" t="s">
        <v>31</v>
      </c>
      <c r="G726" t="s">
        <v>32</v>
      </c>
      <c r="H726">
        <v>88</v>
      </c>
      <c r="I726">
        <v>94</v>
      </c>
      <c r="J726" t="s">
        <v>45</v>
      </c>
      <c r="K726">
        <v>20000</v>
      </c>
      <c r="L726">
        <v>18420</v>
      </c>
      <c r="M726">
        <v>4000</v>
      </c>
      <c r="N726" t="s">
        <v>26</v>
      </c>
      <c r="O726" t="s">
        <v>27</v>
      </c>
      <c r="P726" s="1">
        <v>45844</v>
      </c>
      <c r="Q726" s="1">
        <v>45964</v>
      </c>
      <c r="R726" s="2">
        <v>0.37916666666666665</v>
      </c>
      <c r="S726" s="2">
        <v>0.48194444444444445</v>
      </c>
      <c r="T726" t="str" cm="1">
        <f t="array" ref="T726">_xlfn.IFS(H726&gt;=90,"A",H726&gt;=75,"B",H726&gt;=60,"C",H726&lt;60,"D")</f>
        <v>B</v>
      </c>
      <c r="U726" t="str">
        <f t="shared" si="44"/>
        <v>09:06 AM</v>
      </c>
      <c r="V726" t="str">
        <f t="shared" si="45"/>
        <v>Delayed</v>
      </c>
      <c r="W726" t="str">
        <f t="shared" si="46"/>
        <v>2 Hours 28 Minutes</v>
      </c>
      <c r="X726" t="str">
        <f t="shared" si="47"/>
        <v>Short Time Login</v>
      </c>
      <c r="AA726" s="34" t="s">
        <v>1011</v>
      </c>
      <c r="AB726" s="34" t="s">
        <v>399</v>
      </c>
      <c r="AC726" s="34">
        <v>88</v>
      </c>
      <c r="AD726" s="34">
        <v>94</v>
      </c>
      <c r="AE726" s="34" t="s">
        <v>45</v>
      </c>
      <c r="AF726" s="34">
        <v>4000</v>
      </c>
      <c r="AH726" s="34" t="s">
        <v>27</v>
      </c>
    </row>
    <row r="727" spans="1:34">
      <c r="A727" t="s">
        <v>1012</v>
      </c>
      <c r="B727" t="s">
        <v>117</v>
      </c>
      <c r="C727">
        <v>18</v>
      </c>
      <c r="D727" t="s">
        <v>35</v>
      </c>
      <c r="E727" t="s">
        <v>44</v>
      </c>
      <c r="F727" t="s">
        <v>23</v>
      </c>
      <c r="G727" t="s">
        <v>24</v>
      </c>
      <c r="H727">
        <v>71</v>
      </c>
      <c r="I727">
        <v>78</v>
      </c>
      <c r="J727" t="s">
        <v>68</v>
      </c>
      <c r="K727">
        <v>18000</v>
      </c>
      <c r="L727">
        <v>21240</v>
      </c>
      <c r="M727">
        <v>0</v>
      </c>
      <c r="N727" t="s">
        <v>11</v>
      </c>
      <c r="O727" t="s">
        <v>27</v>
      </c>
      <c r="P727" s="1">
        <v>45825</v>
      </c>
      <c r="Q727" s="1">
        <v>46005</v>
      </c>
      <c r="R727" s="2">
        <v>0.41249999999999998</v>
      </c>
      <c r="S727" s="2">
        <v>0.53819444444444442</v>
      </c>
      <c r="T727" t="str" cm="1">
        <f t="array" ref="T727">_xlfn.IFS(H727&gt;=90,"A",H727&gt;=75,"B",H727&gt;=60,"C",H727&lt;60,"D")</f>
        <v>C</v>
      </c>
      <c r="U727" t="str">
        <f t="shared" si="44"/>
        <v>09:54 AM</v>
      </c>
      <c r="V727" t="str">
        <f t="shared" si="45"/>
        <v>Delayed</v>
      </c>
      <c r="W727" t="str">
        <f t="shared" si="46"/>
        <v>3 Hours 1 Minutes</v>
      </c>
      <c r="X727" t="str">
        <f t="shared" si="47"/>
        <v>Short Time Login</v>
      </c>
      <c r="AA727" s="35" t="s">
        <v>1012</v>
      </c>
      <c r="AB727" s="35" t="s">
        <v>117</v>
      </c>
      <c r="AC727" s="35">
        <v>71</v>
      </c>
      <c r="AD727" s="35">
        <v>78</v>
      </c>
      <c r="AE727" s="35" t="s">
        <v>68</v>
      </c>
      <c r="AF727" s="35">
        <v>0</v>
      </c>
      <c r="AH727" s="35" t="s">
        <v>27</v>
      </c>
    </row>
    <row r="728" spans="1:34">
      <c r="A728" t="s">
        <v>1013</v>
      </c>
      <c r="B728" t="s">
        <v>419</v>
      </c>
      <c r="C728">
        <v>19</v>
      </c>
      <c r="D728" t="s">
        <v>21</v>
      </c>
      <c r="E728" t="s">
        <v>39</v>
      </c>
      <c r="F728" t="s">
        <v>23</v>
      </c>
      <c r="G728" t="s">
        <v>24</v>
      </c>
      <c r="H728">
        <v>55</v>
      </c>
      <c r="I728">
        <v>87</v>
      </c>
      <c r="J728" t="s">
        <v>25</v>
      </c>
      <c r="K728">
        <v>15000</v>
      </c>
      <c r="L728">
        <v>17700</v>
      </c>
      <c r="M728">
        <v>0</v>
      </c>
      <c r="N728" t="s">
        <v>11</v>
      </c>
      <c r="O728" t="s">
        <v>27</v>
      </c>
      <c r="P728" s="1">
        <v>45671</v>
      </c>
      <c r="Q728" s="1">
        <v>45851</v>
      </c>
      <c r="R728" s="2">
        <v>0.35208333333333336</v>
      </c>
      <c r="S728" s="2">
        <v>0.40416666666666667</v>
      </c>
      <c r="T728" t="str" cm="1">
        <f t="array" ref="T728">_xlfn.IFS(H728&gt;=90,"A",H728&gt;=75,"B",H728&gt;=60,"C",H728&lt;60,"D")</f>
        <v>D</v>
      </c>
      <c r="U728" t="str">
        <f t="shared" si="44"/>
        <v>08:27 AM</v>
      </c>
      <c r="V728" t="str">
        <f t="shared" si="45"/>
        <v>Delayed</v>
      </c>
      <c r="W728" t="str">
        <f t="shared" si="46"/>
        <v>1 Hours 15 Minutes</v>
      </c>
      <c r="X728" t="str">
        <f t="shared" si="47"/>
        <v>Short Time Login</v>
      </c>
      <c r="AA728" s="34" t="s">
        <v>1013</v>
      </c>
      <c r="AB728" s="34" t="s">
        <v>419</v>
      </c>
      <c r="AC728" s="34">
        <v>55</v>
      </c>
      <c r="AD728" s="34">
        <v>87</v>
      </c>
      <c r="AE728" s="34" t="s">
        <v>25</v>
      </c>
      <c r="AF728" s="34">
        <v>0</v>
      </c>
      <c r="AH728" s="34" t="s">
        <v>27</v>
      </c>
    </row>
    <row r="729" spans="1:34">
      <c r="A729" t="s">
        <v>1014</v>
      </c>
      <c r="B729" t="s">
        <v>134</v>
      </c>
      <c r="C729">
        <v>22</v>
      </c>
      <c r="D729" t="s">
        <v>21</v>
      </c>
      <c r="E729" t="s">
        <v>48</v>
      </c>
      <c r="F729" t="s">
        <v>23</v>
      </c>
      <c r="G729" t="s">
        <v>24</v>
      </c>
      <c r="H729">
        <v>59</v>
      </c>
      <c r="I729">
        <v>89</v>
      </c>
      <c r="J729" t="s">
        <v>25</v>
      </c>
      <c r="K729">
        <v>20000</v>
      </c>
      <c r="L729">
        <v>21600</v>
      </c>
      <c r="M729">
        <v>2000</v>
      </c>
      <c r="N729" t="s">
        <v>26</v>
      </c>
      <c r="O729" t="s">
        <v>27</v>
      </c>
      <c r="P729" s="1">
        <v>45956</v>
      </c>
      <c r="Q729" s="1">
        <v>46046</v>
      </c>
      <c r="R729" s="2">
        <v>0.35208333333333336</v>
      </c>
      <c r="S729" s="2">
        <v>0.39583333333333331</v>
      </c>
      <c r="T729" t="str" cm="1">
        <f t="array" ref="T729">_xlfn.IFS(H729&gt;=90,"A",H729&gt;=75,"B",H729&gt;=60,"C",H729&lt;60,"D")</f>
        <v>D</v>
      </c>
      <c r="U729" t="str">
        <f t="shared" si="44"/>
        <v>08:27 AM</v>
      </c>
      <c r="V729" t="str">
        <f t="shared" si="45"/>
        <v>On Time</v>
      </c>
      <c r="W729" t="str">
        <f t="shared" si="46"/>
        <v>1 Hours 3 Minutes</v>
      </c>
      <c r="X729" t="str">
        <f t="shared" si="47"/>
        <v>Short Time Login</v>
      </c>
      <c r="AA729" s="35" t="s">
        <v>1014</v>
      </c>
      <c r="AB729" s="35" t="s">
        <v>134</v>
      </c>
      <c r="AC729" s="35">
        <v>59</v>
      </c>
      <c r="AD729" s="35">
        <v>89</v>
      </c>
      <c r="AE729" s="35" t="s">
        <v>25</v>
      </c>
      <c r="AF729" s="35">
        <v>2000</v>
      </c>
      <c r="AH729" s="35" t="s">
        <v>27</v>
      </c>
    </row>
    <row r="730" spans="1:34">
      <c r="A730" t="s">
        <v>1015</v>
      </c>
      <c r="B730" t="s">
        <v>222</v>
      </c>
      <c r="C730">
        <v>21</v>
      </c>
      <c r="D730" t="s">
        <v>35</v>
      </c>
      <c r="E730" t="s">
        <v>48</v>
      </c>
      <c r="F730" t="s">
        <v>23</v>
      </c>
      <c r="G730" t="s">
        <v>24</v>
      </c>
      <c r="H730">
        <v>55</v>
      </c>
      <c r="I730">
        <v>70</v>
      </c>
      <c r="J730" t="s">
        <v>25</v>
      </c>
      <c r="K730">
        <v>20000</v>
      </c>
      <c r="L730">
        <v>21010</v>
      </c>
      <c r="M730">
        <v>2000</v>
      </c>
      <c r="N730" t="s">
        <v>26</v>
      </c>
      <c r="O730" t="s">
        <v>27</v>
      </c>
      <c r="P730" s="1">
        <v>45773</v>
      </c>
      <c r="Q730" s="1">
        <v>45833</v>
      </c>
      <c r="R730" s="2">
        <v>0.38333333333333336</v>
      </c>
      <c r="S730" s="2">
        <v>0.53263888888888888</v>
      </c>
      <c r="T730" t="str" cm="1">
        <f t="array" ref="T730">_xlfn.IFS(H730&gt;=90,"A",H730&gt;=75,"B",H730&gt;=60,"C",H730&lt;60,"D")</f>
        <v>D</v>
      </c>
      <c r="U730" t="str">
        <f t="shared" si="44"/>
        <v>09:12 AM</v>
      </c>
      <c r="V730" t="str">
        <f t="shared" si="45"/>
        <v>On Time</v>
      </c>
      <c r="W730" t="str">
        <f t="shared" si="46"/>
        <v>3 Hours 35 Minutes</v>
      </c>
      <c r="X730" t="str">
        <f t="shared" si="47"/>
        <v>Short Time Login</v>
      </c>
      <c r="AA730" s="34" t="s">
        <v>1015</v>
      </c>
      <c r="AB730" s="34" t="s">
        <v>222</v>
      </c>
      <c r="AC730" s="34">
        <v>55</v>
      </c>
      <c r="AD730" s="34">
        <v>70</v>
      </c>
      <c r="AE730" s="34" t="s">
        <v>25</v>
      </c>
      <c r="AF730" s="34">
        <v>2000</v>
      </c>
      <c r="AH730" s="34" t="s">
        <v>27</v>
      </c>
    </row>
    <row r="731" spans="1:34">
      <c r="A731" t="s">
        <v>1016</v>
      </c>
      <c r="B731" t="s">
        <v>207</v>
      </c>
      <c r="C731">
        <v>19</v>
      </c>
      <c r="D731" t="s">
        <v>35</v>
      </c>
      <c r="E731" t="s">
        <v>22</v>
      </c>
      <c r="F731" t="s">
        <v>31</v>
      </c>
      <c r="G731" t="s">
        <v>32</v>
      </c>
      <c r="H731">
        <v>84</v>
      </c>
      <c r="I731">
        <v>82</v>
      </c>
      <c r="J731" t="s">
        <v>45</v>
      </c>
      <c r="K731">
        <v>12000</v>
      </c>
      <c r="L731">
        <v>10390</v>
      </c>
      <c r="M731">
        <v>2000</v>
      </c>
      <c r="N731" t="s">
        <v>26</v>
      </c>
      <c r="O731" t="s">
        <v>27</v>
      </c>
      <c r="P731" s="1">
        <v>45970</v>
      </c>
      <c r="Q731" s="1">
        <v>46150</v>
      </c>
      <c r="R731" s="2">
        <v>0.42986111111111114</v>
      </c>
      <c r="S731" s="2">
        <v>0.58333333333333337</v>
      </c>
      <c r="T731" t="str" cm="1">
        <f t="array" ref="T731">_xlfn.IFS(H731&gt;=90,"A",H731&gt;=75,"B",H731&gt;=60,"C",H731&lt;60,"D")</f>
        <v>B</v>
      </c>
      <c r="U731" t="str">
        <f t="shared" si="44"/>
        <v>10:19 AM</v>
      </c>
      <c r="V731" t="str">
        <f t="shared" si="45"/>
        <v>Delayed</v>
      </c>
      <c r="W731" t="str">
        <f t="shared" si="46"/>
        <v>3 Hours 41 Minutes</v>
      </c>
      <c r="X731" t="str">
        <f t="shared" si="47"/>
        <v>Long Time Login</v>
      </c>
      <c r="AA731" s="35" t="s">
        <v>1016</v>
      </c>
      <c r="AB731" s="35" t="s">
        <v>207</v>
      </c>
      <c r="AC731" s="35">
        <v>84</v>
      </c>
      <c r="AD731" s="35">
        <v>82</v>
      </c>
      <c r="AE731" s="35" t="s">
        <v>45</v>
      </c>
      <c r="AF731" s="35">
        <v>2000</v>
      </c>
      <c r="AH731" s="35" t="s">
        <v>27</v>
      </c>
    </row>
    <row r="732" spans="1:34">
      <c r="A732" t="s">
        <v>1017</v>
      </c>
      <c r="B732" t="s">
        <v>720</v>
      </c>
      <c r="C732">
        <v>24</v>
      </c>
      <c r="D732" t="s">
        <v>21</v>
      </c>
      <c r="E732" t="s">
        <v>44</v>
      </c>
      <c r="F732" t="s">
        <v>40</v>
      </c>
      <c r="G732" t="s">
        <v>41</v>
      </c>
      <c r="H732">
        <v>99</v>
      </c>
      <c r="I732">
        <v>93</v>
      </c>
      <c r="J732" t="s">
        <v>59</v>
      </c>
      <c r="K732">
        <v>18000</v>
      </c>
      <c r="L732">
        <v>20650</v>
      </c>
      <c r="M732">
        <v>0</v>
      </c>
      <c r="N732" t="s">
        <v>11</v>
      </c>
      <c r="O732" t="s">
        <v>27</v>
      </c>
      <c r="P732" s="1">
        <v>45704</v>
      </c>
      <c r="Q732" s="1">
        <v>45794</v>
      </c>
      <c r="R732" s="2">
        <v>0.38680555555555557</v>
      </c>
      <c r="S732" s="2">
        <v>0.56458333333333333</v>
      </c>
      <c r="T732" t="str" cm="1">
        <f t="array" ref="T732">_xlfn.IFS(H732&gt;=90,"A",H732&gt;=75,"B",H732&gt;=60,"C",H732&lt;60,"D")</f>
        <v>A</v>
      </c>
      <c r="U732" t="str">
        <f t="shared" si="44"/>
        <v>09:17 AM</v>
      </c>
      <c r="V732" t="str">
        <f t="shared" si="45"/>
        <v>On Time</v>
      </c>
      <c r="W732" t="str">
        <f t="shared" si="46"/>
        <v>4 Hours 16 Minutes</v>
      </c>
      <c r="X732" t="str">
        <f t="shared" si="47"/>
        <v>Short Time Login</v>
      </c>
      <c r="AA732" s="34" t="s">
        <v>1017</v>
      </c>
      <c r="AB732" s="34" t="s">
        <v>720</v>
      </c>
      <c r="AC732" s="34">
        <v>99</v>
      </c>
      <c r="AD732" s="34">
        <v>93</v>
      </c>
      <c r="AE732" s="34" t="s">
        <v>59</v>
      </c>
      <c r="AF732" s="34">
        <v>0</v>
      </c>
      <c r="AH732" s="34" t="s">
        <v>27</v>
      </c>
    </row>
    <row r="733" spans="1:34">
      <c r="A733" t="s">
        <v>1018</v>
      </c>
      <c r="B733" t="s">
        <v>610</v>
      </c>
      <c r="C733">
        <v>22</v>
      </c>
      <c r="D733" t="s">
        <v>35</v>
      </c>
      <c r="E733" t="s">
        <v>30</v>
      </c>
      <c r="F733" t="s">
        <v>40</v>
      </c>
      <c r="G733" t="s">
        <v>41</v>
      </c>
      <c r="H733">
        <v>98</v>
      </c>
      <c r="I733">
        <v>81</v>
      </c>
      <c r="J733" t="s">
        <v>59</v>
      </c>
      <c r="K733">
        <v>12000</v>
      </c>
      <c r="L733">
        <v>9570</v>
      </c>
      <c r="M733">
        <v>4000</v>
      </c>
      <c r="N733" t="s">
        <v>26</v>
      </c>
      <c r="O733" t="s">
        <v>27</v>
      </c>
      <c r="P733" s="1">
        <v>45848</v>
      </c>
      <c r="Q733" s="1">
        <v>45908</v>
      </c>
      <c r="R733" s="2">
        <v>0.3611111111111111</v>
      </c>
      <c r="S733" s="2">
        <v>0.43125000000000002</v>
      </c>
      <c r="T733" t="str" cm="1">
        <f t="array" ref="T733">_xlfn.IFS(H733&gt;=90,"A",H733&gt;=75,"B",H733&gt;=60,"C",H733&lt;60,"D")</f>
        <v>A</v>
      </c>
      <c r="U733" t="str">
        <f t="shared" si="44"/>
        <v>08:40 AM</v>
      </c>
      <c r="V733" t="str">
        <f t="shared" si="45"/>
        <v>On Time</v>
      </c>
      <c r="W733" t="str">
        <f t="shared" si="46"/>
        <v>1 Hours 41 Minutes</v>
      </c>
      <c r="X733" t="str">
        <f t="shared" si="47"/>
        <v>Short Time Login</v>
      </c>
      <c r="AA733" s="35" t="s">
        <v>1018</v>
      </c>
      <c r="AB733" s="35" t="s">
        <v>610</v>
      </c>
      <c r="AC733" s="35">
        <v>98</v>
      </c>
      <c r="AD733" s="35">
        <v>81</v>
      </c>
      <c r="AE733" s="35" t="s">
        <v>59</v>
      </c>
      <c r="AF733" s="35">
        <v>4000</v>
      </c>
      <c r="AH733" s="35" t="s">
        <v>27</v>
      </c>
    </row>
    <row r="734" spans="1:34">
      <c r="A734" t="s">
        <v>1019</v>
      </c>
      <c r="B734" t="s">
        <v>66</v>
      </c>
      <c r="C734">
        <v>23</v>
      </c>
      <c r="D734" t="s">
        <v>35</v>
      </c>
      <c r="E734" t="s">
        <v>73</v>
      </c>
      <c r="F734" t="s">
        <v>88</v>
      </c>
      <c r="G734" t="s">
        <v>89</v>
      </c>
      <c r="H734">
        <v>43</v>
      </c>
      <c r="I734">
        <v>63</v>
      </c>
      <c r="J734" t="s">
        <v>25</v>
      </c>
      <c r="K734">
        <v>12000</v>
      </c>
      <c r="L734">
        <v>9570</v>
      </c>
      <c r="M734">
        <v>4000</v>
      </c>
      <c r="N734" t="s">
        <v>26</v>
      </c>
      <c r="O734" t="s">
        <v>27</v>
      </c>
      <c r="P734" s="1">
        <v>45658</v>
      </c>
      <c r="Q734" s="1">
        <v>45688</v>
      </c>
      <c r="R734" s="2">
        <v>0.40416666666666667</v>
      </c>
      <c r="S734" s="2">
        <v>0.60347222222222219</v>
      </c>
      <c r="T734" t="str" cm="1">
        <f t="array" ref="T734">_xlfn.IFS(H734&gt;=90,"A",H734&gt;=75,"B",H734&gt;=60,"C",H734&lt;60,"D")</f>
        <v>D</v>
      </c>
      <c r="U734" t="str">
        <f t="shared" si="44"/>
        <v>09:42 AM</v>
      </c>
      <c r="V734" t="str">
        <f t="shared" si="45"/>
        <v>On Time</v>
      </c>
      <c r="W734" t="str">
        <f t="shared" si="46"/>
        <v>4 Hours 47 Minutes</v>
      </c>
      <c r="X734" t="str">
        <f t="shared" si="47"/>
        <v>Short Time Login</v>
      </c>
      <c r="AA734" s="34" t="s">
        <v>1019</v>
      </c>
      <c r="AB734" s="34" t="s">
        <v>66</v>
      </c>
      <c r="AC734" s="34">
        <v>43</v>
      </c>
      <c r="AD734" s="34">
        <v>63</v>
      </c>
      <c r="AE734" s="34" t="s">
        <v>25</v>
      </c>
      <c r="AF734" s="34">
        <v>4000</v>
      </c>
      <c r="AH734" s="34" t="s">
        <v>27</v>
      </c>
    </row>
    <row r="735" spans="1:34">
      <c r="A735" t="s">
        <v>1020</v>
      </c>
      <c r="B735" t="s">
        <v>230</v>
      </c>
      <c r="C735">
        <v>23</v>
      </c>
      <c r="D735" t="s">
        <v>21</v>
      </c>
      <c r="E735" t="s">
        <v>48</v>
      </c>
      <c r="F735" t="s">
        <v>40</v>
      </c>
      <c r="G735" t="s">
        <v>41</v>
      </c>
      <c r="H735">
        <v>40</v>
      </c>
      <c r="I735">
        <v>66</v>
      </c>
      <c r="J735" t="s">
        <v>25</v>
      </c>
      <c r="K735">
        <v>20000</v>
      </c>
      <c r="L735">
        <v>19830</v>
      </c>
      <c r="M735">
        <v>2000</v>
      </c>
      <c r="N735" t="s">
        <v>26</v>
      </c>
      <c r="O735" t="s">
        <v>27</v>
      </c>
      <c r="P735" s="1">
        <v>45822</v>
      </c>
      <c r="Q735" s="1">
        <v>45912</v>
      </c>
      <c r="R735" s="2">
        <v>0.33958333333333335</v>
      </c>
      <c r="S735" s="2">
        <v>0.40486111111111112</v>
      </c>
      <c r="T735" t="str" cm="1">
        <f t="array" ref="T735">_xlfn.IFS(H735&gt;=90,"A",H735&gt;=75,"B",H735&gt;=60,"C",H735&lt;60,"D")</f>
        <v>D</v>
      </c>
      <c r="U735" t="str">
        <f t="shared" si="44"/>
        <v>08:09 AM</v>
      </c>
      <c r="V735" t="str">
        <f t="shared" si="45"/>
        <v>On Time</v>
      </c>
      <c r="W735" t="str">
        <f t="shared" si="46"/>
        <v>1 Hours 34 Minutes</v>
      </c>
      <c r="X735" t="str">
        <f t="shared" si="47"/>
        <v>Short Time Login</v>
      </c>
      <c r="AA735" s="35" t="s">
        <v>1020</v>
      </c>
      <c r="AB735" s="35" t="s">
        <v>230</v>
      </c>
      <c r="AC735" s="35">
        <v>40</v>
      </c>
      <c r="AD735" s="35">
        <v>66</v>
      </c>
      <c r="AE735" s="35" t="s">
        <v>25</v>
      </c>
      <c r="AF735" s="35">
        <v>2000</v>
      </c>
      <c r="AH735" s="35" t="s">
        <v>27</v>
      </c>
    </row>
    <row r="736" spans="1:34">
      <c r="A736" t="s">
        <v>1021</v>
      </c>
      <c r="B736" t="s">
        <v>148</v>
      </c>
      <c r="C736">
        <v>24</v>
      </c>
      <c r="D736" t="s">
        <v>35</v>
      </c>
      <c r="E736" t="s">
        <v>36</v>
      </c>
      <c r="F736" t="s">
        <v>63</v>
      </c>
      <c r="G736" t="s">
        <v>64</v>
      </c>
      <c r="H736">
        <v>83</v>
      </c>
      <c r="I736">
        <v>82</v>
      </c>
      <c r="J736" t="s">
        <v>45</v>
      </c>
      <c r="K736">
        <v>18000</v>
      </c>
      <c r="L736">
        <v>15470</v>
      </c>
      <c r="M736">
        <v>4000</v>
      </c>
      <c r="N736" t="s">
        <v>26</v>
      </c>
      <c r="O736" t="s">
        <v>27</v>
      </c>
      <c r="P736" s="1">
        <v>45711</v>
      </c>
      <c r="Q736" s="1">
        <v>45771</v>
      </c>
      <c r="R736" s="2">
        <v>0.4152777777777778</v>
      </c>
      <c r="S736" s="2">
        <v>0.60277777777777775</v>
      </c>
      <c r="T736" t="str" cm="1">
        <f t="array" ref="T736">_xlfn.IFS(H736&gt;=90,"A",H736&gt;=75,"B",H736&gt;=60,"C",H736&lt;60,"D")</f>
        <v>B</v>
      </c>
      <c r="U736" t="str">
        <f t="shared" si="44"/>
        <v>09:58 AM</v>
      </c>
      <c r="V736" t="str">
        <f t="shared" si="45"/>
        <v>On Time</v>
      </c>
      <c r="W736" t="str">
        <f t="shared" si="46"/>
        <v>4 Hours 30 Minutes</v>
      </c>
      <c r="X736" t="str">
        <f t="shared" si="47"/>
        <v>Short Time Login</v>
      </c>
      <c r="AA736" s="34" t="s">
        <v>1021</v>
      </c>
      <c r="AB736" s="34" t="s">
        <v>148</v>
      </c>
      <c r="AC736" s="34">
        <v>83</v>
      </c>
      <c r="AD736" s="34">
        <v>82</v>
      </c>
      <c r="AE736" s="34" t="s">
        <v>45</v>
      </c>
      <c r="AF736" s="34">
        <v>4000</v>
      </c>
      <c r="AH736" s="34" t="s">
        <v>27</v>
      </c>
    </row>
    <row r="737" spans="1:34">
      <c r="A737" t="s">
        <v>1022</v>
      </c>
      <c r="B737" t="s">
        <v>391</v>
      </c>
      <c r="C737">
        <v>20</v>
      </c>
      <c r="D737" t="s">
        <v>21</v>
      </c>
      <c r="E737" t="s">
        <v>48</v>
      </c>
      <c r="F737" t="s">
        <v>88</v>
      </c>
      <c r="G737" t="s">
        <v>89</v>
      </c>
      <c r="H737">
        <v>91</v>
      </c>
      <c r="I737">
        <v>76</v>
      </c>
      <c r="J737" t="s">
        <v>59</v>
      </c>
      <c r="K737">
        <v>12000</v>
      </c>
      <c r="L737">
        <v>8390</v>
      </c>
      <c r="M737">
        <v>4000</v>
      </c>
      <c r="N737" t="s">
        <v>26</v>
      </c>
      <c r="O737" t="s">
        <v>27</v>
      </c>
      <c r="P737" s="1">
        <v>45923</v>
      </c>
      <c r="Q737" s="1">
        <v>46013</v>
      </c>
      <c r="R737" s="2">
        <v>0.35902777777777778</v>
      </c>
      <c r="S737" s="2">
        <v>0.4548611111111111</v>
      </c>
      <c r="T737" t="str" cm="1">
        <f t="array" ref="T737">_xlfn.IFS(H737&gt;=90,"A",H737&gt;=75,"B",H737&gt;=60,"C",H737&lt;60,"D")</f>
        <v>A</v>
      </c>
      <c r="U737" t="str">
        <f t="shared" si="44"/>
        <v>08:37 AM</v>
      </c>
      <c r="V737" t="str">
        <f t="shared" si="45"/>
        <v>On Time</v>
      </c>
      <c r="W737" t="str">
        <f t="shared" si="46"/>
        <v>2 Hours 18 Minutes</v>
      </c>
      <c r="X737" t="str">
        <f t="shared" si="47"/>
        <v>Short Time Login</v>
      </c>
      <c r="AA737" s="35" t="s">
        <v>1022</v>
      </c>
      <c r="AB737" s="35" t="s">
        <v>391</v>
      </c>
      <c r="AC737" s="35">
        <v>91</v>
      </c>
      <c r="AD737" s="35">
        <v>76</v>
      </c>
      <c r="AE737" s="35" t="s">
        <v>59</v>
      </c>
      <c r="AF737" s="35">
        <v>4000</v>
      </c>
      <c r="AH737" s="35" t="s">
        <v>27</v>
      </c>
    </row>
    <row r="738" spans="1:34">
      <c r="A738" t="s">
        <v>1023</v>
      </c>
      <c r="B738" t="s">
        <v>770</v>
      </c>
      <c r="C738">
        <v>27</v>
      </c>
      <c r="D738" t="s">
        <v>35</v>
      </c>
      <c r="E738" t="s">
        <v>44</v>
      </c>
      <c r="F738" t="s">
        <v>31</v>
      </c>
      <c r="G738" t="s">
        <v>32</v>
      </c>
      <c r="H738">
        <v>66</v>
      </c>
      <c r="I738">
        <v>79</v>
      </c>
      <c r="J738" t="s">
        <v>68</v>
      </c>
      <c r="K738">
        <v>12000</v>
      </c>
      <c r="L738">
        <v>13570</v>
      </c>
      <c r="M738">
        <v>0</v>
      </c>
      <c r="N738" t="s">
        <v>11</v>
      </c>
      <c r="O738" t="s">
        <v>27</v>
      </c>
      <c r="P738" s="1">
        <v>45878</v>
      </c>
      <c r="Q738" s="1">
        <v>45908</v>
      </c>
      <c r="R738" s="2">
        <v>0.44861111111111113</v>
      </c>
      <c r="S738" s="2">
        <v>0.55138888888888893</v>
      </c>
      <c r="T738" t="str" cm="1">
        <f t="array" ref="T738">_xlfn.IFS(H738&gt;=90,"A",H738&gt;=75,"B",H738&gt;=60,"C",H738&lt;60,"D")</f>
        <v>C</v>
      </c>
      <c r="U738" t="str">
        <f t="shared" si="44"/>
        <v>10:46 AM</v>
      </c>
      <c r="V738" t="str">
        <f t="shared" si="45"/>
        <v>On Time</v>
      </c>
      <c r="W738" t="str">
        <f t="shared" si="46"/>
        <v>2 Hours 28 Minutes</v>
      </c>
      <c r="X738" t="str">
        <f t="shared" si="47"/>
        <v>Long Time Login</v>
      </c>
      <c r="AA738" s="34" t="s">
        <v>1023</v>
      </c>
      <c r="AB738" s="34" t="s">
        <v>770</v>
      </c>
      <c r="AC738" s="34">
        <v>66</v>
      </c>
      <c r="AD738" s="34">
        <v>79</v>
      </c>
      <c r="AE738" s="34" t="s">
        <v>68</v>
      </c>
      <c r="AF738" s="34">
        <v>0</v>
      </c>
      <c r="AH738" s="34" t="s">
        <v>27</v>
      </c>
    </row>
    <row r="739" spans="1:34">
      <c r="A739" t="s">
        <v>1024</v>
      </c>
      <c r="B739" t="s">
        <v>268</v>
      </c>
      <c r="C739">
        <v>26</v>
      </c>
      <c r="D739" t="s">
        <v>21</v>
      </c>
      <c r="E739" t="s">
        <v>36</v>
      </c>
      <c r="F739" t="s">
        <v>57</v>
      </c>
      <c r="G739" t="s">
        <v>58</v>
      </c>
      <c r="H739">
        <v>97</v>
      </c>
      <c r="I739">
        <v>67</v>
      </c>
      <c r="J739" t="s">
        <v>59</v>
      </c>
      <c r="K739">
        <v>15000</v>
      </c>
      <c r="L739">
        <v>14520</v>
      </c>
      <c r="M739">
        <v>2000</v>
      </c>
      <c r="N739" t="s">
        <v>26</v>
      </c>
      <c r="O739" t="s">
        <v>27</v>
      </c>
      <c r="P739" s="1">
        <v>45974</v>
      </c>
      <c r="Q739" s="1">
        <v>46034</v>
      </c>
      <c r="R739" s="2">
        <v>0.40555555555555556</v>
      </c>
      <c r="S739" s="2">
        <v>0.54722222222222228</v>
      </c>
      <c r="T739" t="str" cm="1">
        <f t="array" ref="T739">_xlfn.IFS(H739&gt;=90,"A",H739&gt;=75,"B",H739&gt;=60,"C",H739&lt;60,"D")</f>
        <v>A</v>
      </c>
      <c r="U739" t="str">
        <f t="shared" si="44"/>
        <v>09:44 AM</v>
      </c>
      <c r="V739" t="str">
        <f t="shared" si="45"/>
        <v>On Time</v>
      </c>
      <c r="W739" t="str">
        <f t="shared" si="46"/>
        <v>3 Hours 24 Minutes</v>
      </c>
      <c r="X739" t="str">
        <f t="shared" si="47"/>
        <v>Short Time Login</v>
      </c>
      <c r="AA739" s="35" t="s">
        <v>1024</v>
      </c>
      <c r="AB739" s="35" t="s">
        <v>268</v>
      </c>
      <c r="AC739" s="35">
        <v>97</v>
      </c>
      <c r="AD739" s="35">
        <v>67</v>
      </c>
      <c r="AE739" s="35" t="s">
        <v>59</v>
      </c>
      <c r="AF739" s="35">
        <v>2000</v>
      </c>
      <c r="AH739" s="35" t="s">
        <v>27</v>
      </c>
    </row>
    <row r="740" spans="1:34">
      <c r="A740" t="s">
        <v>1025</v>
      </c>
      <c r="B740" t="s">
        <v>217</v>
      </c>
      <c r="C740">
        <v>21</v>
      </c>
      <c r="D740" t="s">
        <v>21</v>
      </c>
      <c r="E740" t="s">
        <v>44</v>
      </c>
      <c r="F740" t="s">
        <v>40</v>
      </c>
      <c r="G740" t="s">
        <v>41</v>
      </c>
      <c r="H740">
        <v>71</v>
      </c>
      <c r="I740">
        <v>68</v>
      </c>
      <c r="J740" t="s">
        <v>68</v>
      </c>
      <c r="K740">
        <v>20000</v>
      </c>
      <c r="L740">
        <v>19830</v>
      </c>
      <c r="M740">
        <v>2000</v>
      </c>
      <c r="N740" t="s">
        <v>26</v>
      </c>
      <c r="O740" t="s">
        <v>27</v>
      </c>
      <c r="P740" s="1">
        <v>45870</v>
      </c>
      <c r="Q740" s="1">
        <v>45930</v>
      </c>
      <c r="R740" s="2">
        <v>0.37847222222222221</v>
      </c>
      <c r="S740" s="2">
        <v>0.49652777777777779</v>
      </c>
      <c r="T740" t="str" cm="1">
        <f t="array" ref="T740">_xlfn.IFS(H740&gt;=90,"A",H740&gt;=75,"B",H740&gt;=60,"C",H740&lt;60,"D")</f>
        <v>C</v>
      </c>
      <c r="U740" t="str">
        <f t="shared" si="44"/>
        <v>09:05 AM</v>
      </c>
      <c r="V740" t="str">
        <f t="shared" si="45"/>
        <v>On Time</v>
      </c>
      <c r="W740" t="str">
        <f t="shared" si="46"/>
        <v>2 Hours 50 Minutes</v>
      </c>
      <c r="X740" t="str">
        <f t="shared" si="47"/>
        <v>Short Time Login</v>
      </c>
      <c r="AA740" s="34" t="s">
        <v>1025</v>
      </c>
      <c r="AB740" s="34" t="s">
        <v>217</v>
      </c>
      <c r="AC740" s="34">
        <v>71</v>
      </c>
      <c r="AD740" s="34">
        <v>68</v>
      </c>
      <c r="AE740" s="34" t="s">
        <v>68</v>
      </c>
      <c r="AF740" s="34">
        <v>2000</v>
      </c>
      <c r="AH740" s="34" t="s">
        <v>27</v>
      </c>
    </row>
    <row r="741" spans="1:34">
      <c r="A741" t="s">
        <v>1026</v>
      </c>
      <c r="B741" t="s">
        <v>47</v>
      </c>
      <c r="C741">
        <v>26</v>
      </c>
      <c r="D741" t="s">
        <v>35</v>
      </c>
      <c r="E741" t="s">
        <v>48</v>
      </c>
      <c r="F741" t="s">
        <v>57</v>
      </c>
      <c r="G741" t="s">
        <v>58</v>
      </c>
      <c r="H741">
        <v>35</v>
      </c>
      <c r="I741">
        <v>100</v>
      </c>
      <c r="J741" t="s">
        <v>25</v>
      </c>
      <c r="K741">
        <v>15000</v>
      </c>
      <c r="L741">
        <v>14520</v>
      </c>
      <c r="M741">
        <v>2000</v>
      </c>
      <c r="N741" t="s">
        <v>26</v>
      </c>
      <c r="O741" t="s">
        <v>27</v>
      </c>
      <c r="P741" s="1">
        <v>45900</v>
      </c>
      <c r="Q741" s="1">
        <v>45990</v>
      </c>
      <c r="R741" s="2">
        <v>0.45763888888888887</v>
      </c>
      <c r="S741" s="2">
        <v>0.54652777777777772</v>
      </c>
      <c r="T741" t="str" cm="1">
        <f t="array" ref="T741">_xlfn.IFS(H741&gt;=90,"A",H741&gt;=75,"B",H741&gt;=60,"C",H741&lt;60,"D")</f>
        <v>D</v>
      </c>
      <c r="U741" t="str">
        <f t="shared" si="44"/>
        <v>10:59 AM</v>
      </c>
      <c r="V741" t="str">
        <f t="shared" si="45"/>
        <v>On Time</v>
      </c>
      <c r="W741" t="str">
        <f t="shared" si="46"/>
        <v>2 Hours 8 Minutes</v>
      </c>
      <c r="X741" t="str">
        <f t="shared" si="47"/>
        <v>Long Time Login</v>
      </c>
      <c r="AA741" s="35" t="s">
        <v>1026</v>
      </c>
      <c r="AB741" s="35" t="s">
        <v>47</v>
      </c>
      <c r="AC741" s="35">
        <v>35</v>
      </c>
      <c r="AD741" s="35">
        <v>100</v>
      </c>
      <c r="AE741" s="35" t="s">
        <v>25</v>
      </c>
      <c r="AF741" s="35">
        <v>2000</v>
      </c>
      <c r="AH741" s="35" t="s">
        <v>27</v>
      </c>
    </row>
    <row r="742" spans="1:34">
      <c r="A742" t="s">
        <v>1027</v>
      </c>
      <c r="B742" t="s">
        <v>396</v>
      </c>
      <c r="C742">
        <v>20</v>
      </c>
      <c r="D742" t="s">
        <v>21</v>
      </c>
      <c r="E742" t="s">
        <v>39</v>
      </c>
      <c r="F742" t="s">
        <v>63</v>
      </c>
      <c r="G742" t="s">
        <v>64</v>
      </c>
      <c r="H742">
        <v>72</v>
      </c>
      <c r="I742">
        <v>61</v>
      </c>
      <c r="J742" t="s">
        <v>68</v>
      </c>
      <c r="K742">
        <v>18000</v>
      </c>
      <c r="L742">
        <v>20650</v>
      </c>
      <c r="M742">
        <v>0</v>
      </c>
      <c r="N742" t="s">
        <v>11</v>
      </c>
      <c r="O742" t="s">
        <v>27</v>
      </c>
      <c r="P742" s="1">
        <v>45811</v>
      </c>
      <c r="Q742" s="1">
        <v>45901</v>
      </c>
      <c r="R742" s="2">
        <v>0.33958333333333335</v>
      </c>
      <c r="S742" s="2">
        <v>0.53541666666666665</v>
      </c>
      <c r="T742" t="str" cm="1">
        <f t="array" ref="T742">_xlfn.IFS(H742&gt;=90,"A",H742&gt;=75,"B",H742&gt;=60,"C",H742&lt;60,"D")</f>
        <v>C</v>
      </c>
      <c r="U742" t="str">
        <f t="shared" si="44"/>
        <v>08:09 AM</v>
      </c>
      <c r="V742" t="str">
        <f t="shared" si="45"/>
        <v>On Time</v>
      </c>
      <c r="W742" t="str">
        <f t="shared" si="46"/>
        <v>4 Hours 42 Minutes</v>
      </c>
      <c r="X742" t="str">
        <f t="shared" si="47"/>
        <v>Short Time Login</v>
      </c>
      <c r="AA742" s="34" t="s">
        <v>1027</v>
      </c>
      <c r="AB742" s="34" t="s">
        <v>396</v>
      </c>
      <c r="AC742" s="34">
        <v>72</v>
      </c>
      <c r="AD742" s="34">
        <v>61</v>
      </c>
      <c r="AE742" s="34" t="s">
        <v>68</v>
      </c>
      <c r="AF742" s="34">
        <v>0</v>
      </c>
      <c r="AH742" s="34" t="s">
        <v>27</v>
      </c>
    </row>
    <row r="743" spans="1:34">
      <c r="A743" t="s">
        <v>1028</v>
      </c>
      <c r="B743" t="s">
        <v>465</v>
      </c>
      <c r="C743">
        <v>21</v>
      </c>
      <c r="D743" t="s">
        <v>35</v>
      </c>
      <c r="E743" t="s">
        <v>30</v>
      </c>
      <c r="F743" t="s">
        <v>31</v>
      </c>
      <c r="G743" t="s">
        <v>32</v>
      </c>
      <c r="H743">
        <v>100</v>
      </c>
      <c r="I743">
        <v>91</v>
      </c>
      <c r="J743" t="s">
        <v>59</v>
      </c>
      <c r="K743">
        <v>15000</v>
      </c>
      <c r="L743">
        <v>17110</v>
      </c>
      <c r="M743">
        <v>0</v>
      </c>
      <c r="N743" t="s">
        <v>11</v>
      </c>
      <c r="O743" t="s">
        <v>27</v>
      </c>
      <c r="P743" s="1">
        <v>45889</v>
      </c>
      <c r="Q743" s="1">
        <v>45949</v>
      </c>
      <c r="R743" s="2">
        <v>0.36805555555555558</v>
      </c>
      <c r="S743" s="2">
        <v>0.46527777777777779</v>
      </c>
      <c r="T743" t="str" cm="1">
        <f t="array" ref="T743">_xlfn.IFS(H743&gt;=90,"A",H743&gt;=75,"B",H743&gt;=60,"C",H743&lt;60,"D")</f>
        <v>A</v>
      </c>
      <c r="U743" t="str">
        <f t="shared" si="44"/>
        <v>08:50 AM</v>
      </c>
      <c r="V743" t="str">
        <f t="shared" si="45"/>
        <v>On Time</v>
      </c>
      <c r="W743" t="str">
        <f t="shared" si="46"/>
        <v>2 Hours 20 Minutes</v>
      </c>
      <c r="X743" t="str">
        <f t="shared" si="47"/>
        <v>Short Time Login</v>
      </c>
      <c r="AA743" s="35" t="s">
        <v>1028</v>
      </c>
      <c r="AB743" s="35" t="s">
        <v>465</v>
      </c>
      <c r="AC743" s="35">
        <v>100</v>
      </c>
      <c r="AD743" s="35">
        <v>91</v>
      </c>
      <c r="AE743" s="35" t="s">
        <v>59</v>
      </c>
      <c r="AF743" s="35">
        <v>0</v>
      </c>
      <c r="AH743" s="35" t="s">
        <v>27</v>
      </c>
    </row>
    <row r="744" spans="1:34">
      <c r="A744" t="s">
        <v>1029</v>
      </c>
      <c r="B744" t="s">
        <v>689</v>
      </c>
      <c r="C744">
        <v>26</v>
      </c>
      <c r="D744" t="s">
        <v>21</v>
      </c>
      <c r="E744" t="s">
        <v>122</v>
      </c>
      <c r="F744" t="s">
        <v>31</v>
      </c>
      <c r="G744" t="s">
        <v>32</v>
      </c>
      <c r="H744">
        <v>54</v>
      </c>
      <c r="I744">
        <v>64</v>
      </c>
      <c r="J744" t="s">
        <v>25</v>
      </c>
      <c r="K744">
        <v>15000</v>
      </c>
      <c r="L744">
        <v>15700</v>
      </c>
      <c r="M744">
        <v>2000</v>
      </c>
      <c r="N744" t="s">
        <v>26</v>
      </c>
      <c r="O744" t="s">
        <v>27</v>
      </c>
      <c r="P744" s="1">
        <v>45819</v>
      </c>
      <c r="Q744" s="1">
        <v>45879</v>
      </c>
      <c r="R744" s="2">
        <v>0.37152777777777779</v>
      </c>
      <c r="S744" s="2">
        <v>0.56874999999999998</v>
      </c>
      <c r="T744" t="str" cm="1">
        <f t="array" ref="T744">_xlfn.IFS(H744&gt;=90,"A",H744&gt;=75,"B",H744&gt;=60,"C",H744&lt;60,"D")</f>
        <v>D</v>
      </c>
      <c r="U744" t="str">
        <f t="shared" si="44"/>
        <v>08:55 AM</v>
      </c>
      <c r="V744" t="str">
        <f t="shared" si="45"/>
        <v>On Time</v>
      </c>
      <c r="W744" t="str">
        <f t="shared" si="46"/>
        <v>4 Hours 44 Minutes</v>
      </c>
      <c r="X744" t="str">
        <f t="shared" si="47"/>
        <v>Short Time Login</v>
      </c>
      <c r="AA744" s="34" t="s">
        <v>1029</v>
      </c>
      <c r="AB744" s="34" t="s">
        <v>689</v>
      </c>
      <c r="AC744" s="34">
        <v>54</v>
      </c>
      <c r="AD744" s="34">
        <v>64</v>
      </c>
      <c r="AE744" s="34" t="s">
        <v>25</v>
      </c>
      <c r="AF744" s="34">
        <v>2000</v>
      </c>
      <c r="AH744" s="34" t="s">
        <v>27</v>
      </c>
    </row>
    <row r="745" spans="1:34">
      <c r="A745" t="s">
        <v>1030</v>
      </c>
      <c r="B745" t="s">
        <v>243</v>
      </c>
      <c r="C745">
        <v>28</v>
      </c>
      <c r="D745" t="s">
        <v>35</v>
      </c>
      <c r="E745" t="s">
        <v>30</v>
      </c>
      <c r="F745" t="s">
        <v>40</v>
      </c>
      <c r="G745" t="s">
        <v>41</v>
      </c>
      <c r="H745">
        <v>79</v>
      </c>
      <c r="I745">
        <v>63</v>
      </c>
      <c r="J745" t="s">
        <v>45</v>
      </c>
      <c r="K745">
        <v>15000</v>
      </c>
      <c r="L745">
        <v>13700</v>
      </c>
      <c r="M745">
        <v>4000</v>
      </c>
      <c r="N745" t="s">
        <v>26</v>
      </c>
      <c r="O745" t="s">
        <v>27</v>
      </c>
      <c r="P745" s="1">
        <v>45673</v>
      </c>
      <c r="Q745" s="1">
        <v>45703</v>
      </c>
      <c r="R745" s="2">
        <v>0.45763888888888887</v>
      </c>
      <c r="S745" s="2">
        <v>0.50555555555555554</v>
      </c>
      <c r="T745" t="str" cm="1">
        <f t="array" ref="T745">_xlfn.IFS(H745&gt;=90,"A",H745&gt;=75,"B",H745&gt;=60,"C",H745&lt;60,"D")</f>
        <v>B</v>
      </c>
      <c r="U745" t="str">
        <f t="shared" si="44"/>
        <v>10:59 AM</v>
      </c>
      <c r="V745" t="str">
        <f t="shared" si="45"/>
        <v>On Time</v>
      </c>
      <c r="W745" t="str">
        <f t="shared" si="46"/>
        <v>1 Hours 9 Minutes</v>
      </c>
      <c r="X745" t="str">
        <f t="shared" si="47"/>
        <v>Long Time Login</v>
      </c>
      <c r="AA745" s="35" t="s">
        <v>1030</v>
      </c>
      <c r="AB745" s="35" t="s">
        <v>243</v>
      </c>
      <c r="AC745" s="35">
        <v>79</v>
      </c>
      <c r="AD745" s="35">
        <v>63</v>
      </c>
      <c r="AE745" s="35" t="s">
        <v>45</v>
      </c>
      <c r="AF745" s="35">
        <v>4000</v>
      </c>
      <c r="AH745" s="35" t="s">
        <v>27</v>
      </c>
    </row>
    <row r="746" spans="1:34">
      <c r="A746" t="s">
        <v>1031</v>
      </c>
      <c r="B746" t="s">
        <v>250</v>
      </c>
      <c r="C746">
        <v>18</v>
      </c>
      <c r="D746" t="s">
        <v>21</v>
      </c>
      <c r="E746" t="s">
        <v>30</v>
      </c>
      <c r="F746" t="s">
        <v>57</v>
      </c>
      <c r="G746" t="s">
        <v>58</v>
      </c>
      <c r="H746">
        <v>44</v>
      </c>
      <c r="I746">
        <v>78</v>
      </c>
      <c r="J746" t="s">
        <v>25</v>
      </c>
      <c r="K746">
        <v>15000</v>
      </c>
      <c r="L746">
        <v>11930</v>
      </c>
      <c r="M746">
        <v>4000</v>
      </c>
      <c r="N746" t="s">
        <v>26</v>
      </c>
      <c r="O746" t="s">
        <v>27</v>
      </c>
      <c r="P746" s="1">
        <v>46005</v>
      </c>
      <c r="Q746" s="1">
        <v>46185</v>
      </c>
      <c r="R746" s="2">
        <v>0.34305555555555556</v>
      </c>
      <c r="S746" s="2">
        <v>0.53194444444444444</v>
      </c>
      <c r="T746" t="str" cm="1">
        <f t="array" ref="T746">_xlfn.IFS(H746&gt;=90,"A",H746&gt;=75,"B",H746&gt;=60,"C",H746&lt;60,"D")</f>
        <v>D</v>
      </c>
      <c r="U746" t="str">
        <f t="shared" si="44"/>
        <v>08:14 AM</v>
      </c>
      <c r="V746" t="str">
        <f t="shared" si="45"/>
        <v>Delayed</v>
      </c>
      <c r="W746" t="str">
        <f t="shared" si="46"/>
        <v>4 Hours 32 Minutes</v>
      </c>
      <c r="X746" t="str">
        <f t="shared" si="47"/>
        <v>Short Time Login</v>
      </c>
      <c r="AA746" s="34" t="s">
        <v>1031</v>
      </c>
      <c r="AB746" s="34" t="s">
        <v>250</v>
      </c>
      <c r="AC746" s="34">
        <v>44</v>
      </c>
      <c r="AD746" s="34">
        <v>78</v>
      </c>
      <c r="AE746" s="34" t="s">
        <v>25</v>
      </c>
      <c r="AF746" s="34">
        <v>4000</v>
      </c>
      <c r="AH746" s="34" t="s">
        <v>27</v>
      </c>
    </row>
    <row r="747" spans="1:34">
      <c r="A747" t="s">
        <v>1032</v>
      </c>
      <c r="B747" t="s">
        <v>586</v>
      </c>
      <c r="C747">
        <v>20</v>
      </c>
      <c r="D747" t="s">
        <v>21</v>
      </c>
      <c r="E747" t="s">
        <v>113</v>
      </c>
      <c r="F747" t="s">
        <v>88</v>
      </c>
      <c r="G747" t="s">
        <v>89</v>
      </c>
      <c r="H747">
        <v>45</v>
      </c>
      <c r="I747">
        <v>96</v>
      </c>
      <c r="J747" t="s">
        <v>25</v>
      </c>
      <c r="K747">
        <v>20000</v>
      </c>
      <c r="L747">
        <v>20420</v>
      </c>
      <c r="M747">
        <v>2000</v>
      </c>
      <c r="N747" t="s">
        <v>26</v>
      </c>
      <c r="O747" t="s">
        <v>27</v>
      </c>
      <c r="P747" s="1">
        <v>45684</v>
      </c>
      <c r="Q747" s="1">
        <v>45774</v>
      </c>
      <c r="R747" s="2">
        <v>0.41805555555555557</v>
      </c>
      <c r="S747" s="2">
        <v>0.59930555555555554</v>
      </c>
      <c r="T747" t="str" cm="1">
        <f t="array" ref="T747">_xlfn.IFS(H747&gt;=90,"A",H747&gt;=75,"B",H747&gt;=60,"C",H747&lt;60,"D")</f>
        <v>D</v>
      </c>
      <c r="U747" t="str">
        <f t="shared" si="44"/>
        <v>10:02 AM</v>
      </c>
      <c r="V747" t="str">
        <f t="shared" si="45"/>
        <v>On Time</v>
      </c>
      <c r="W747" t="str">
        <f t="shared" si="46"/>
        <v>4 Hours 21 Minutes</v>
      </c>
      <c r="X747" t="str">
        <f t="shared" si="47"/>
        <v>Long Time Login</v>
      </c>
      <c r="AA747" s="35" t="s">
        <v>1032</v>
      </c>
      <c r="AB747" s="35" t="s">
        <v>586</v>
      </c>
      <c r="AC747" s="35">
        <v>45</v>
      </c>
      <c r="AD747" s="35">
        <v>96</v>
      </c>
      <c r="AE747" s="35" t="s">
        <v>25</v>
      </c>
      <c r="AF747" s="35">
        <v>2000</v>
      </c>
      <c r="AH747" s="35" t="s">
        <v>27</v>
      </c>
    </row>
    <row r="748" spans="1:34">
      <c r="A748" t="s">
        <v>1033</v>
      </c>
      <c r="B748" t="s">
        <v>98</v>
      </c>
      <c r="C748">
        <v>18</v>
      </c>
      <c r="D748" t="s">
        <v>35</v>
      </c>
      <c r="E748" t="s">
        <v>96</v>
      </c>
      <c r="F748" t="s">
        <v>40</v>
      </c>
      <c r="G748" t="s">
        <v>41</v>
      </c>
      <c r="H748">
        <v>65</v>
      </c>
      <c r="I748">
        <v>92</v>
      </c>
      <c r="J748" t="s">
        <v>68</v>
      </c>
      <c r="K748">
        <v>20000</v>
      </c>
      <c r="L748">
        <v>19830</v>
      </c>
      <c r="M748">
        <v>2000</v>
      </c>
      <c r="N748" t="s">
        <v>26</v>
      </c>
      <c r="O748" t="s">
        <v>27</v>
      </c>
      <c r="P748" s="1">
        <v>45963</v>
      </c>
      <c r="Q748" s="1">
        <v>46143</v>
      </c>
      <c r="R748" s="2">
        <v>0.34513888888888888</v>
      </c>
      <c r="S748" s="2">
        <v>0.46944444444444444</v>
      </c>
      <c r="T748" t="str" cm="1">
        <f t="array" ref="T748">_xlfn.IFS(H748&gt;=90,"A",H748&gt;=75,"B",H748&gt;=60,"C",H748&lt;60,"D")</f>
        <v>C</v>
      </c>
      <c r="U748" t="str">
        <f t="shared" si="44"/>
        <v>08:17 AM</v>
      </c>
      <c r="V748" t="str">
        <f t="shared" si="45"/>
        <v>Delayed</v>
      </c>
      <c r="W748" t="str">
        <f t="shared" si="46"/>
        <v>2 Hours 59 Minutes</v>
      </c>
      <c r="X748" t="str">
        <f t="shared" si="47"/>
        <v>Short Time Login</v>
      </c>
      <c r="AA748" s="34" t="s">
        <v>1033</v>
      </c>
      <c r="AB748" s="34" t="s">
        <v>98</v>
      </c>
      <c r="AC748" s="34">
        <v>65</v>
      </c>
      <c r="AD748" s="34">
        <v>92</v>
      </c>
      <c r="AE748" s="34" t="s">
        <v>68</v>
      </c>
      <c r="AF748" s="34">
        <v>2000</v>
      </c>
      <c r="AH748" s="34" t="s">
        <v>27</v>
      </c>
    </row>
    <row r="749" spans="1:34">
      <c r="A749" t="s">
        <v>1034</v>
      </c>
      <c r="B749" t="s">
        <v>562</v>
      </c>
      <c r="C749">
        <v>25</v>
      </c>
      <c r="D749" t="s">
        <v>21</v>
      </c>
      <c r="E749" t="s">
        <v>62</v>
      </c>
      <c r="F749" t="s">
        <v>88</v>
      </c>
      <c r="G749" t="s">
        <v>89</v>
      </c>
      <c r="H749">
        <v>73</v>
      </c>
      <c r="I749">
        <v>76</v>
      </c>
      <c r="J749" t="s">
        <v>68</v>
      </c>
      <c r="K749">
        <v>15000</v>
      </c>
      <c r="L749">
        <v>12520</v>
      </c>
      <c r="M749">
        <v>4000</v>
      </c>
      <c r="N749" t="s">
        <v>26</v>
      </c>
      <c r="O749" t="s">
        <v>27</v>
      </c>
      <c r="P749" s="1">
        <v>45707</v>
      </c>
      <c r="Q749" s="1">
        <v>45827</v>
      </c>
      <c r="R749" s="2">
        <v>0.44374999999999998</v>
      </c>
      <c r="S749" s="2">
        <v>0.65</v>
      </c>
      <c r="T749" t="str" cm="1">
        <f t="array" ref="T749">_xlfn.IFS(H749&gt;=90,"A",H749&gt;=75,"B",H749&gt;=60,"C",H749&lt;60,"D")</f>
        <v>C</v>
      </c>
      <c r="U749" t="str">
        <f t="shared" si="44"/>
        <v>10:39 AM</v>
      </c>
      <c r="V749" t="str">
        <f t="shared" si="45"/>
        <v>Delayed</v>
      </c>
      <c r="W749" t="str">
        <f t="shared" si="46"/>
        <v>4 Hours 57 Minutes</v>
      </c>
      <c r="X749" t="str">
        <f t="shared" si="47"/>
        <v>Long Time Login</v>
      </c>
      <c r="AA749" s="35" t="s">
        <v>1034</v>
      </c>
      <c r="AB749" s="35" t="s">
        <v>562</v>
      </c>
      <c r="AC749" s="35">
        <v>73</v>
      </c>
      <c r="AD749" s="35">
        <v>76</v>
      </c>
      <c r="AE749" s="35" t="s">
        <v>68</v>
      </c>
      <c r="AF749" s="35">
        <v>4000</v>
      </c>
      <c r="AH749" s="35" t="s">
        <v>27</v>
      </c>
    </row>
    <row r="750" spans="1:34">
      <c r="A750" t="s">
        <v>1035</v>
      </c>
      <c r="B750" t="s">
        <v>106</v>
      </c>
      <c r="C750">
        <v>21</v>
      </c>
      <c r="D750" t="s">
        <v>21</v>
      </c>
      <c r="E750" t="s">
        <v>30</v>
      </c>
      <c r="F750" t="s">
        <v>23</v>
      </c>
      <c r="G750" t="s">
        <v>24</v>
      </c>
      <c r="H750">
        <v>80</v>
      </c>
      <c r="I750">
        <v>100</v>
      </c>
      <c r="J750" t="s">
        <v>45</v>
      </c>
      <c r="K750">
        <v>10000</v>
      </c>
      <c r="L750">
        <v>11800</v>
      </c>
      <c r="M750">
        <v>0</v>
      </c>
      <c r="N750" t="s">
        <v>11</v>
      </c>
      <c r="O750" t="s">
        <v>27</v>
      </c>
      <c r="P750" s="1">
        <v>45835</v>
      </c>
      <c r="Q750" s="1">
        <v>46015</v>
      </c>
      <c r="R750" s="2">
        <v>0.3840277777777778</v>
      </c>
      <c r="S750" s="2">
        <v>0.54861111111111116</v>
      </c>
      <c r="T750" t="str" cm="1">
        <f t="array" ref="T750">_xlfn.IFS(H750&gt;=90,"A",H750&gt;=75,"B",H750&gt;=60,"C",H750&lt;60,"D")</f>
        <v>B</v>
      </c>
      <c r="U750" t="str">
        <f t="shared" si="44"/>
        <v>09:13 AM</v>
      </c>
      <c r="V750" t="str">
        <f t="shared" si="45"/>
        <v>Delayed</v>
      </c>
      <c r="W750" t="str">
        <f t="shared" si="46"/>
        <v>3 Hours 57 Minutes</v>
      </c>
      <c r="X750" t="str">
        <f t="shared" si="47"/>
        <v>Short Time Login</v>
      </c>
      <c r="AA750" s="34" t="s">
        <v>1035</v>
      </c>
      <c r="AB750" s="34" t="s">
        <v>106</v>
      </c>
      <c r="AC750" s="34">
        <v>80</v>
      </c>
      <c r="AD750" s="34">
        <v>100</v>
      </c>
      <c r="AE750" s="34" t="s">
        <v>45</v>
      </c>
      <c r="AF750" s="34">
        <v>0</v>
      </c>
      <c r="AH750" s="34" t="s">
        <v>27</v>
      </c>
    </row>
    <row r="751" spans="1:34">
      <c r="A751" t="s">
        <v>1036</v>
      </c>
      <c r="B751" t="s">
        <v>106</v>
      </c>
      <c r="C751">
        <v>21</v>
      </c>
      <c r="D751" t="s">
        <v>21</v>
      </c>
      <c r="E751" t="s">
        <v>67</v>
      </c>
      <c r="F751" t="s">
        <v>31</v>
      </c>
      <c r="G751" t="s">
        <v>32</v>
      </c>
      <c r="H751">
        <v>92</v>
      </c>
      <c r="I751">
        <v>83</v>
      </c>
      <c r="J751" t="s">
        <v>59</v>
      </c>
      <c r="K751">
        <v>18000</v>
      </c>
      <c r="L751">
        <v>16650</v>
      </c>
      <c r="M751">
        <v>4000</v>
      </c>
      <c r="N751" t="s">
        <v>26</v>
      </c>
      <c r="O751" t="s">
        <v>27</v>
      </c>
      <c r="P751" s="1">
        <v>45866</v>
      </c>
      <c r="Q751" s="1">
        <v>46046</v>
      </c>
      <c r="R751" s="2">
        <v>0.44444444444444442</v>
      </c>
      <c r="S751" s="2">
        <v>0.58819444444444446</v>
      </c>
      <c r="T751" t="str" cm="1">
        <f t="array" ref="T751">_xlfn.IFS(H751&gt;=90,"A",H751&gt;=75,"B",H751&gt;=60,"C",H751&lt;60,"D")</f>
        <v>A</v>
      </c>
      <c r="U751" t="str">
        <f t="shared" si="44"/>
        <v>10:40 AM</v>
      </c>
      <c r="V751" t="str">
        <f t="shared" si="45"/>
        <v>Delayed</v>
      </c>
      <c r="W751" t="str">
        <f t="shared" si="46"/>
        <v>3 Hours 27 Minutes</v>
      </c>
      <c r="X751" t="str">
        <f t="shared" si="47"/>
        <v>Long Time Login</v>
      </c>
      <c r="AA751" s="35" t="s">
        <v>1036</v>
      </c>
      <c r="AB751" s="35" t="s">
        <v>106</v>
      </c>
      <c r="AC751" s="35">
        <v>92</v>
      </c>
      <c r="AD751" s="35">
        <v>83</v>
      </c>
      <c r="AE751" s="35" t="s">
        <v>59</v>
      </c>
      <c r="AF751" s="35">
        <v>4000</v>
      </c>
      <c r="AH751" s="35" t="s">
        <v>27</v>
      </c>
    </row>
    <row r="752" spans="1:34">
      <c r="A752" t="s">
        <v>1037</v>
      </c>
      <c r="B752" t="s">
        <v>487</v>
      </c>
      <c r="C752">
        <v>23</v>
      </c>
      <c r="D752" t="s">
        <v>35</v>
      </c>
      <c r="E752" t="s">
        <v>30</v>
      </c>
      <c r="F752" t="s">
        <v>49</v>
      </c>
      <c r="G752" t="s">
        <v>50</v>
      </c>
      <c r="H752">
        <v>48</v>
      </c>
      <c r="I752">
        <v>90</v>
      </c>
      <c r="J752" t="s">
        <v>25</v>
      </c>
      <c r="K752">
        <v>12000</v>
      </c>
      <c r="L752">
        <v>10980</v>
      </c>
      <c r="M752">
        <v>2000</v>
      </c>
      <c r="N752" t="s">
        <v>26</v>
      </c>
      <c r="O752" t="s">
        <v>27</v>
      </c>
      <c r="P752" s="1">
        <v>45873</v>
      </c>
      <c r="Q752" s="1">
        <v>45993</v>
      </c>
      <c r="R752" s="2">
        <v>0.35833333333333334</v>
      </c>
      <c r="S752" s="2">
        <v>0.53194444444444444</v>
      </c>
      <c r="T752" t="str" cm="1">
        <f t="array" ref="T752">_xlfn.IFS(H752&gt;=90,"A",H752&gt;=75,"B",H752&gt;=60,"C",H752&lt;60,"D")</f>
        <v>D</v>
      </c>
      <c r="U752" t="str">
        <f t="shared" si="44"/>
        <v>08:36 AM</v>
      </c>
      <c r="V752" t="str">
        <f t="shared" si="45"/>
        <v>Delayed</v>
      </c>
      <c r="W752" t="str">
        <f t="shared" si="46"/>
        <v>4 Hours 10 Minutes</v>
      </c>
      <c r="X752" t="str">
        <f t="shared" si="47"/>
        <v>Short Time Login</v>
      </c>
      <c r="AA752" s="34" t="s">
        <v>1037</v>
      </c>
      <c r="AB752" s="34" t="s">
        <v>487</v>
      </c>
      <c r="AC752" s="34">
        <v>48</v>
      </c>
      <c r="AD752" s="34">
        <v>90</v>
      </c>
      <c r="AE752" s="34" t="s">
        <v>25</v>
      </c>
      <c r="AF752" s="34">
        <v>2000</v>
      </c>
      <c r="AH752" s="34" t="s">
        <v>27</v>
      </c>
    </row>
    <row r="753" spans="1:34">
      <c r="A753" t="s">
        <v>1038</v>
      </c>
      <c r="B753" t="s">
        <v>220</v>
      </c>
      <c r="C753">
        <v>26</v>
      </c>
      <c r="D753" t="s">
        <v>35</v>
      </c>
      <c r="E753" t="s">
        <v>22</v>
      </c>
      <c r="F753" t="s">
        <v>57</v>
      </c>
      <c r="G753" t="s">
        <v>58</v>
      </c>
      <c r="H753">
        <v>88</v>
      </c>
      <c r="I753">
        <v>96</v>
      </c>
      <c r="J753" t="s">
        <v>45</v>
      </c>
      <c r="K753">
        <v>15000</v>
      </c>
      <c r="L753">
        <v>17700</v>
      </c>
      <c r="M753">
        <v>0</v>
      </c>
      <c r="N753" t="s">
        <v>11</v>
      </c>
      <c r="O753" t="s">
        <v>27</v>
      </c>
      <c r="P753" s="1">
        <v>45847</v>
      </c>
      <c r="Q753" s="1">
        <v>45967</v>
      </c>
      <c r="R753" s="2">
        <v>0.39305555555555555</v>
      </c>
      <c r="S753" s="2">
        <v>0.53333333333333333</v>
      </c>
      <c r="T753" t="str" cm="1">
        <f t="array" ref="T753">_xlfn.IFS(H753&gt;=90,"A",H753&gt;=75,"B",H753&gt;=60,"C",H753&lt;60,"D")</f>
        <v>B</v>
      </c>
      <c r="U753" t="str">
        <f t="shared" si="44"/>
        <v>09:26 AM</v>
      </c>
      <c r="V753" t="str">
        <f t="shared" si="45"/>
        <v>Delayed</v>
      </c>
      <c r="W753" t="str">
        <f t="shared" si="46"/>
        <v>3 Hours 22 Minutes</v>
      </c>
      <c r="X753" t="str">
        <f t="shared" si="47"/>
        <v>Short Time Login</v>
      </c>
      <c r="AA753" s="35" t="s">
        <v>1038</v>
      </c>
      <c r="AB753" s="35" t="s">
        <v>220</v>
      </c>
      <c r="AC753" s="35">
        <v>88</v>
      </c>
      <c r="AD753" s="35">
        <v>96</v>
      </c>
      <c r="AE753" s="35" t="s">
        <v>45</v>
      </c>
      <c r="AF753" s="35">
        <v>0</v>
      </c>
      <c r="AH753" s="35" t="s">
        <v>27</v>
      </c>
    </row>
    <row r="754" spans="1:34">
      <c r="A754" t="s">
        <v>1039</v>
      </c>
      <c r="B754" t="s">
        <v>969</v>
      </c>
      <c r="C754">
        <v>24</v>
      </c>
      <c r="D754" t="s">
        <v>21</v>
      </c>
      <c r="E754" t="s">
        <v>113</v>
      </c>
      <c r="F754" t="s">
        <v>57</v>
      </c>
      <c r="G754" t="s">
        <v>58</v>
      </c>
      <c r="H754">
        <v>51</v>
      </c>
      <c r="I754">
        <v>74</v>
      </c>
      <c r="J754" t="s">
        <v>25</v>
      </c>
      <c r="K754">
        <v>12000</v>
      </c>
      <c r="L754">
        <v>9570</v>
      </c>
      <c r="M754">
        <v>4000</v>
      </c>
      <c r="N754" t="s">
        <v>26</v>
      </c>
      <c r="O754" t="s">
        <v>27</v>
      </c>
      <c r="P754" s="1">
        <v>45809</v>
      </c>
      <c r="Q754" s="1">
        <v>45929</v>
      </c>
      <c r="R754" s="2">
        <v>0.4201388888888889</v>
      </c>
      <c r="S754" s="2">
        <v>0.56319444444444444</v>
      </c>
      <c r="T754" t="str" cm="1">
        <f t="array" ref="T754">_xlfn.IFS(H754&gt;=90,"A",H754&gt;=75,"B",H754&gt;=60,"C",H754&lt;60,"D")</f>
        <v>D</v>
      </c>
      <c r="U754" t="str">
        <f t="shared" si="44"/>
        <v>10:05 AM</v>
      </c>
      <c r="V754" t="str">
        <f t="shared" si="45"/>
        <v>Delayed</v>
      </c>
      <c r="W754" t="str">
        <f t="shared" si="46"/>
        <v>3 Hours 26 Minutes</v>
      </c>
      <c r="X754" t="str">
        <f t="shared" si="47"/>
        <v>Long Time Login</v>
      </c>
      <c r="AA754" s="34" t="s">
        <v>1039</v>
      </c>
      <c r="AB754" s="34" t="s">
        <v>969</v>
      </c>
      <c r="AC754" s="34">
        <v>51</v>
      </c>
      <c r="AD754" s="34">
        <v>74</v>
      </c>
      <c r="AE754" s="34" t="s">
        <v>25</v>
      </c>
      <c r="AF754" s="34">
        <v>4000</v>
      </c>
      <c r="AH754" s="34" t="s">
        <v>27</v>
      </c>
    </row>
    <row r="755" spans="1:34">
      <c r="A755" t="s">
        <v>1040</v>
      </c>
      <c r="B755" t="s">
        <v>243</v>
      </c>
      <c r="C755">
        <v>20</v>
      </c>
      <c r="D755" t="s">
        <v>35</v>
      </c>
      <c r="E755" t="s">
        <v>22</v>
      </c>
      <c r="F755" t="s">
        <v>23</v>
      </c>
      <c r="G755" t="s">
        <v>24</v>
      </c>
      <c r="H755">
        <v>88</v>
      </c>
      <c r="I755">
        <v>100</v>
      </c>
      <c r="J755" t="s">
        <v>45</v>
      </c>
      <c r="K755">
        <v>20000</v>
      </c>
      <c r="L755">
        <v>19600</v>
      </c>
      <c r="M755">
        <v>4000</v>
      </c>
      <c r="N755" t="s">
        <v>26</v>
      </c>
      <c r="O755" t="s">
        <v>27</v>
      </c>
      <c r="P755" s="1">
        <v>45819</v>
      </c>
      <c r="Q755" s="1">
        <v>45939</v>
      </c>
      <c r="R755" s="2">
        <v>0.4</v>
      </c>
      <c r="S755" s="2">
        <v>0.54027777777777775</v>
      </c>
      <c r="T755" t="str" cm="1">
        <f t="array" ref="T755">_xlfn.IFS(H755&gt;=90,"A",H755&gt;=75,"B",H755&gt;=60,"C",H755&lt;60,"D")</f>
        <v>B</v>
      </c>
      <c r="U755" t="str">
        <f t="shared" si="44"/>
        <v>09:36 AM</v>
      </c>
      <c r="V755" t="str">
        <f t="shared" si="45"/>
        <v>Delayed</v>
      </c>
      <c r="W755" t="str">
        <f t="shared" si="46"/>
        <v>3 Hours 22 Minutes</v>
      </c>
      <c r="X755" t="str">
        <f t="shared" si="47"/>
        <v>Short Time Login</v>
      </c>
      <c r="AA755" s="35" t="s">
        <v>1040</v>
      </c>
      <c r="AB755" s="35" t="s">
        <v>243</v>
      </c>
      <c r="AC755" s="35">
        <v>88</v>
      </c>
      <c r="AD755" s="35">
        <v>100</v>
      </c>
      <c r="AE755" s="35" t="s">
        <v>45</v>
      </c>
      <c r="AF755" s="35">
        <v>4000</v>
      </c>
      <c r="AH755" s="35" t="s">
        <v>27</v>
      </c>
    </row>
    <row r="756" spans="1:34">
      <c r="A756" t="s">
        <v>1041</v>
      </c>
      <c r="B756" t="s">
        <v>316</v>
      </c>
      <c r="C756">
        <v>28</v>
      </c>
      <c r="D756" t="s">
        <v>21</v>
      </c>
      <c r="E756" t="s">
        <v>122</v>
      </c>
      <c r="F756" t="s">
        <v>40</v>
      </c>
      <c r="G756" t="s">
        <v>41</v>
      </c>
      <c r="H756">
        <v>54</v>
      </c>
      <c r="I756">
        <v>64</v>
      </c>
      <c r="J756" t="s">
        <v>25</v>
      </c>
      <c r="K756">
        <v>18000</v>
      </c>
      <c r="L756">
        <v>17470</v>
      </c>
      <c r="M756">
        <v>2000</v>
      </c>
      <c r="N756" t="s">
        <v>26</v>
      </c>
      <c r="O756" t="s">
        <v>127</v>
      </c>
      <c r="P756" s="1">
        <v>45914</v>
      </c>
      <c r="Q756" s="1">
        <v>45944</v>
      </c>
      <c r="R756" s="2">
        <v>0.40902777777777777</v>
      </c>
      <c r="S756" s="2">
        <v>0.56319444444444444</v>
      </c>
      <c r="T756" t="str" cm="1">
        <f t="array" ref="T756">_xlfn.IFS(H756&gt;=90,"A",H756&gt;=75,"B",H756&gt;=60,"C",H756&lt;60,"D")</f>
        <v>D</v>
      </c>
      <c r="U756" t="str">
        <f t="shared" si="44"/>
        <v>09:49 AM</v>
      </c>
      <c r="V756" t="str">
        <f t="shared" si="45"/>
        <v>On Time</v>
      </c>
      <c r="W756" t="str">
        <f t="shared" si="46"/>
        <v>3 Hours 42 Minutes</v>
      </c>
      <c r="X756" t="str">
        <f t="shared" si="47"/>
        <v>Short Time Login</v>
      </c>
      <c r="AA756" s="34" t="s">
        <v>1041</v>
      </c>
      <c r="AB756" s="34" t="s">
        <v>316</v>
      </c>
      <c r="AC756" s="34">
        <v>54</v>
      </c>
      <c r="AD756" s="34">
        <v>64</v>
      </c>
      <c r="AE756" s="34" t="s">
        <v>25</v>
      </c>
      <c r="AF756" s="34">
        <v>2000</v>
      </c>
      <c r="AH756" s="34" t="s">
        <v>127</v>
      </c>
    </row>
    <row r="757" spans="1:34">
      <c r="A757" t="s">
        <v>1042</v>
      </c>
      <c r="B757" t="s">
        <v>428</v>
      </c>
      <c r="C757">
        <v>22</v>
      </c>
      <c r="D757" t="s">
        <v>35</v>
      </c>
      <c r="E757" t="s">
        <v>44</v>
      </c>
      <c r="F757" t="s">
        <v>53</v>
      </c>
      <c r="G757" t="s">
        <v>54</v>
      </c>
      <c r="H757">
        <v>58</v>
      </c>
      <c r="I757">
        <v>73</v>
      </c>
      <c r="J757" t="s">
        <v>25</v>
      </c>
      <c r="K757">
        <v>20000</v>
      </c>
      <c r="L757">
        <v>23600</v>
      </c>
      <c r="M757">
        <v>0</v>
      </c>
      <c r="N757" t="s">
        <v>11</v>
      </c>
      <c r="O757" t="s">
        <v>27</v>
      </c>
      <c r="P757" s="1">
        <v>46001</v>
      </c>
      <c r="Q757" s="1">
        <v>46031</v>
      </c>
      <c r="R757" s="2">
        <v>0.3611111111111111</v>
      </c>
      <c r="S757" s="2">
        <v>0.48333333333333334</v>
      </c>
      <c r="T757" t="str" cm="1">
        <f t="array" ref="T757">_xlfn.IFS(H757&gt;=90,"A",H757&gt;=75,"B",H757&gt;=60,"C",H757&lt;60,"D")</f>
        <v>D</v>
      </c>
      <c r="U757" t="str">
        <f t="shared" si="44"/>
        <v>08:40 AM</v>
      </c>
      <c r="V757" t="str">
        <f t="shared" si="45"/>
        <v>On Time</v>
      </c>
      <c r="W757" t="str">
        <f t="shared" si="46"/>
        <v>2 Hours 56 Minutes</v>
      </c>
      <c r="X757" t="str">
        <f t="shared" si="47"/>
        <v>Short Time Login</v>
      </c>
      <c r="AA757" s="35" t="s">
        <v>1042</v>
      </c>
      <c r="AB757" s="35" t="s">
        <v>428</v>
      </c>
      <c r="AC757" s="35">
        <v>58</v>
      </c>
      <c r="AD757" s="35">
        <v>73</v>
      </c>
      <c r="AE757" s="35" t="s">
        <v>25</v>
      </c>
      <c r="AF757" s="35">
        <v>0</v>
      </c>
      <c r="AH757" s="35" t="s">
        <v>27</v>
      </c>
    </row>
    <row r="758" spans="1:34">
      <c r="A758" t="s">
        <v>1043</v>
      </c>
      <c r="B758" t="s">
        <v>310</v>
      </c>
      <c r="C758">
        <v>28</v>
      </c>
      <c r="D758" t="s">
        <v>21</v>
      </c>
      <c r="E758" t="s">
        <v>122</v>
      </c>
      <c r="F758" t="s">
        <v>63</v>
      </c>
      <c r="G758" t="s">
        <v>64</v>
      </c>
      <c r="H758">
        <v>72</v>
      </c>
      <c r="I758">
        <v>93</v>
      </c>
      <c r="J758" t="s">
        <v>68</v>
      </c>
      <c r="K758">
        <v>12000</v>
      </c>
      <c r="L758">
        <v>12390</v>
      </c>
      <c r="M758">
        <v>0</v>
      </c>
      <c r="N758" t="s">
        <v>11</v>
      </c>
      <c r="O758" t="s">
        <v>27</v>
      </c>
      <c r="P758" s="1">
        <v>45958</v>
      </c>
      <c r="Q758" s="1">
        <v>45988</v>
      </c>
      <c r="R758" s="2">
        <v>0.3840277777777778</v>
      </c>
      <c r="S758" s="2">
        <v>0.50624999999999998</v>
      </c>
      <c r="T758" t="str" cm="1">
        <f t="array" ref="T758">_xlfn.IFS(H758&gt;=90,"A",H758&gt;=75,"B",H758&gt;=60,"C",H758&lt;60,"D")</f>
        <v>C</v>
      </c>
      <c r="U758" t="str">
        <f t="shared" si="44"/>
        <v>09:13 AM</v>
      </c>
      <c r="V758" t="str">
        <f t="shared" si="45"/>
        <v>On Time</v>
      </c>
      <c r="W758" t="str">
        <f t="shared" si="46"/>
        <v>2 Hours 56 Minutes</v>
      </c>
      <c r="X758" t="str">
        <f t="shared" si="47"/>
        <v>Short Time Login</v>
      </c>
      <c r="AA758" s="34" t="s">
        <v>1043</v>
      </c>
      <c r="AB758" s="34" t="s">
        <v>310</v>
      </c>
      <c r="AC758" s="34">
        <v>72</v>
      </c>
      <c r="AD758" s="34">
        <v>93</v>
      </c>
      <c r="AE758" s="34" t="s">
        <v>68</v>
      </c>
      <c r="AF758" s="34">
        <v>0</v>
      </c>
      <c r="AH758" s="34" t="s">
        <v>27</v>
      </c>
    </row>
    <row r="759" spans="1:34">
      <c r="A759" t="s">
        <v>1044</v>
      </c>
      <c r="B759" t="s">
        <v>167</v>
      </c>
      <c r="C759">
        <v>24</v>
      </c>
      <c r="D759" t="s">
        <v>35</v>
      </c>
      <c r="E759" t="s">
        <v>73</v>
      </c>
      <c r="F759" t="s">
        <v>49</v>
      </c>
      <c r="G759" t="s">
        <v>50</v>
      </c>
      <c r="H759">
        <v>77</v>
      </c>
      <c r="I759">
        <v>71</v>
      </c>
      <c r="J759" t="s">
        <v>45</v>
      </c>
      <c r="K759">
        <v>18000</v>
      </c>
      <c r="L759">
        <v>19470</v>
      </c>
      <c r="M759">
        <v>0</v>
      </c>
      <c r="N759" t="s">
        <v>11</v>
      </c>
      <c r="O759" t="s">
        <v>27</v>
      </c>
      <c r="P759" s="1">
        <v>45953</v>
      </c>
      <c r="Q759" s="1">
        <v>45983</v>
      </c>
      <c r="R759" s="2">
        <v>0.37083333333333335</v>
      </c>
      <c r="S759" s="2">
        <v>0.55000000000000004</v>
      </c>
      <c r="T759" t="str" cm="1">
        <f t="array" ref="T759">_xlfn.IFS(H759&gt;=90,"A",H759&gt;=75,"B",H759&gt;=60,"C",H759&lt;60,"D")</f>
        <v>B</v>
      </c>
      <c r="U759" t="str">
        <f t="shared" si="44"/>
        <v>08:54 AM</v>
      </c>
      <c r="V759" t="str">
        <f t="shared" si="45"/>
        <v>On Time</v>
      </c>
      <c r="W759" t="str">
        <f t="shared" si="46"/>
        <v>4 Hours 18 Minutes</v>
      </c>
      <c r="X759" t="str">
        <f t="shared" si="47"/>
        <v>Short Time Login</v>
      </c>
      <c r="AA759" s="35" t="s">
        <v>1044</v>
      </c>
      <c r="AB759" s="35" t="s">
        <v>167</v>
      </c>
      <c r="AC759" s="35">
        <v>77</v>
      </c>
      <c r="AD759" s="35">
        <v>71</v>
      </c>
      <c r="AE759" s="35" t="s">
        <v>45</v>
      </c>
      <c r="AF759" s="35">
        <v>0</v>
      </c>
      <c r="AH759" s="35" t="s">
        <v>27</v>
      </c>
    </row>
    <row r="760" spans="1:34">
      <c r="A760" t="s">
        <v>1045</v>
      </c>
      <c r="B760" t="s">
        <v>461</v>
      </c>
      <c r="C760">
        <v>20</v>
      </c>
      <c r="D760" t="s">
        <v>35</v>
      </c>
      <c r="E760" t="s">
        <v>22</v>
      </c>
      <c r="F760" t="s">
        <v>57</v>
      </c>
      <c r="G760" t="s">
        <v>58</v>
      </c>
      <c r="H760">
        <v>94</v>
      </c>
      <c r="I760">
        <v>84</v>
      </c>
      <c r="J760" t="s">
        <v>59</v>
      </c>
      <c r="K760">
        <v>15000</v>
      </c>
      <c r="L760">
        <v>17700</v>
      </c>
      <c r="M760">
        <v>0</v>
      </c>
      <c r="N760" t="s">
        <v>11</v>
      </c>
      <c r="O760" t="s">
        <v>27</v>
      </c>
      <c r="P760" s="1">
        <v>45878</v>
      </c>
      <c r="Q760" s="1">
        <v>45938</v>
      </c>
      <c r="R760" s="2">
        <v>0.37361111111111112</v>
      </c>
      <c r="S760" s="2">
        <v>0.5756944444444444</v>
      </c>
      <c r="T760" t="str" cm="1">
        <f t="array" ref="T760">_xlfn.IFS(H760&gt;=90,"A",H760&gt;=75,"B",H760&gt;=60,"C",H760&lt;60,"D")</f>
        <v>A</v>
      </c>
      <c r="U760" t="str">
        <f t="shared" si="44"/>
        <v>08:58 AM</v>
      </c>
      <c r="V760" t="str">
        <f t="shared" si="45"/>
        <v>On Time</v>
      </c>
      <c r="W760" t="str">
        <f t="shared" si="46"/>
        <v>4 Hours 51 Minutes</v>
      </c>
      <c r="X760" t="str">
        <f t="shared" si="47"/>
        <v>Short Time Login</v>
      </c>
      <c r="AA760" s="34" t="s">
        <v>1045</v>
      </c>
      <c r="AB760" s="34" t="s">
        <v>461</v>
      </c>
      <c r="AC760" s="34">
        <v>94</v>
      </c>
      <c r="AD760" s="34">
        <v>84</v>
      </c>
      <c r="AE760" s="34" t="s">
        <v>59</v>
      </c>
      <c r="AF760" s="34">
        <v>0</v>
      </c>
      <c r="AH760" s="34" t="s">
        <v>27</v>
      </c>
    </row>
    <row r="761" spans="1:34">
      <c r="A761" t="s">
        <v>1046</v>
      </c>
      <c r="B761" t="s">
        <v>562</v>
      </c>
      <c r="C761">
        <v>19</v>
      </c>
      <c r="D761" t="s">
        <v>21</v>
      </c>
      <c r="E761" t="s">
        <v>39</v>
      </c>
      <c r="F761" t="s">
        <v>57</v>
      </c>
      <c r="G761" t="s">
        <v>58</v>
      </c>
      <c r="H761">
        <v>61</v>
      </c>
      <c r="I761">
        <v>73</v>
      </c>
      <c r="J761" t="s">
        <v>68</v>
      </c>
      <c r="K761">
        <v>18000</v>
      </c>
      <c r="L761">
        <v>15470</v>
      </c>
      <c r="M761">
        <v>4000</v>
      </c>
      <c r="N761" t="s">
        <v>26</v>
      </c>
      <c r="O761" t="s">
        <v>27</v>
      </c>
      <c r="P761" s="1">
        <v>45891</v>
      </c>
      <c r="Q761" s="1">
        <v>45921</v>
      </c>
      <c r="R761" s="2">
        <v>0.40972222222222221</v>
      </c>
      <c r="S761" s="2">
        <v>0.47430555555555554</v>
      </c>
      <c r="T761" t="str" cm="1">
        <f t="array" ref="T761">_xlfn.IFS(H761&gt;=90,"A",H761&gt;=75,"B",H761&gt;=60,"C",H761&lt;60,"D")</f>
        <v>C</v>
      </c>
      <c r="U761" t="str">
        <f t="shared" si="44"/>
        <v>09:50 AM</v>
      </c>
      <c r="V761" t="str">
        <f t="shared" si="45"/>
        <v>On Time</v>
      </c>
      <c r="W761" t="str">
        <f t="shared" si="46"/>
        <v>1 Hours 33 Minutes</v>
      </c>
      <c r="X761" t="str">
        <f t="shared" si="47"/>
        <v>Short Time Login</v>
      </c>
      <c r="AA761" s="35" t="s">
        <v>1046</v>
      </c>
      <c r="AB761" s="35" t="s">
        <v>562</v>
      </c>
      <c r="AC761" s="35">
        <v>61</v>
      </c>
      <c r="AD761" s="35">
        <v>73</v>
      </c>
      <c r="AE761" s="35" t="s">
        <v>68</v>
      </c>
      <c r="AF761" s="35">
        <v>4000</v>
      </c>
      <c r="AH761" s="35" t="s">
        <v>27</v>
      </c>
    </row>
    <row r="762" spans="1:34">
      <c r="A762" t="s">
        <v>1047</v>
      </c>
      <c r="B762" t="s">
        <v>85</v>
      </c>
      <c r="C762">
        <v>18</v>
      </c>
      <c r="D762" t="s">
        <v>21</v>
      </c>
      <c r="E762" t="s">
        <v>62</v>
      </c>
      <c r="F762" t="s">
        <v>63</v>
      </c>
      <c r="G762" t="s">
        <v>64</v>
      </c>
      <c r="H762">
        <v>61</v>
      </c>
      <c r="I762">
        <v>65</v>
      </c>
      <c r="J762" t="s">
        <v>68</v>
      </c>
      <c r="K762">
        <v>12000</v>
      </c>
      <c r="L762">
        <v>12980</v>
      </c>
      <c r="M762">
        <v>0</v>
      </c>
      <c r="N762" t="s">
        <v>11</v>
      </c>
      <c r="O762" t="s">
        <v>127</v>
      </c>
      <c r="P762" s="1">
        <v>45710</v>
      </c>
      <c r="Q762" s="1">
        <v>45800</v>
      </c>
      <c r="R762" s="2">
        <v>0.39513888888888887</v>
      </c>
      <c r="S762" s="2">
        <v>0.46597222222222223</v>
      </c>
      <c r="T762" t="str" cm="1">
        <f t="array" ref="T762">_xlfn.IFS(H762&gt;=90,"A",H762&gt;=75,"B",H762&gt;=60,"C",H762&lt;60,"D")</f>
        <v>C</v>
      </c>
      <c r="U762" t="str">
        <f t="shared" si="44"/>
        <v>09:29 AM</v>
      </c>
      <c r="V762" t="str">
        <f t="shared" si="45"/>
        <v>On Time</v>
      </c>
      <c r="W762" t="str">
        <f t="shared" si="46"/>
        <v>1 Hours 42 Minutes</v>
      </c>
      <c r="X762" t="str">
        <f t="shared" si="47"/>
        <v>Short Time Login</v>
      </c>
      <c r="AA762" s="34" t="s">
        <v>1047</v>
      </c>
      <c r="AB762" s="34" t="s">
        <v>85</v>
      </c>
      <c r="AC762" s="34">
        <v>61</v>
      </c>
      <c r="AD762" s="34">
        <v>65</v>
      </c>
      <c r="AE762" s="34" t="s">
        <v>68</v>
      </c>
      <c r="AF762" s="34">
        <v>0</v>
      </c>
      <c r="AH762" s="34" t="s">
        <v>127</v>
      </c>
    </row>
    <row r="763" spans="1:34">
      <c r="A763" t="s">
        <v>1048</v>
      </c>
      <c r="B763" t="s">
        <v>430</v>
      </c>
      <c r="C763">
        <v>27</v>
      </c>
      <c r="D763" t="s">
        <v>35</v>
      </c>
      <c r="E763" t="s">
        <v>30</v>
      </c>
      <c r="F763" t="s">
        <v>31</v>
      </c>
      <c r="G763" t="s">
        <v>32</v>
      </c>
      <c r="H763">
        <v>100</v>
      </c>
      <c r="I763">
        <v>67</v>
      </c>
      <c r="J763" t="s">
        <v>59</v>
      </c>
      <c r="K763">
        <v>10000</v>
      </c>
      <c r="L763">
        <v>8030</v>
      </c>
      <c r="M763">
        <v>2000</v>
      </c>
      <c r="N763" t="s">
        <v>26</v>
      </c>
      <c r="O763" t="s">
        <v>127</v>
      </c>
      <c r="P763" s="1">
        <v>45691</v>
      </c>
      <c r="Q763" s="1">
        <v>45811</v>
      </c>
      <c r="R763" s="2">
        <v>0.41805555555555557</v>
      </c>
      <c r="S763" s="2">
        <v>0.54374999999999996</v>
      </c>
      <c r="T763" t="str" cm="1">
        <f t="array" ref="T763">_xlfn.IFS(H763&gt;=90,"A",H763&gt;=75,"B",H763&gt;=60,"C",H763&lt;60,"D")</f>
        <v>A</v>
      </c>
      <c r="U763" t="str">
        <f t="shared" si="44"/>
        <v>10:02 AM</v>
      </c>
      <c r="V763" t="str">
        <f t="shared" si="45"/>
        <v>Delayed</v>
      </c>
      <c r="W763" t="str">
        <f t="shared" si="46"/>
        <v>3 Hours 1 Minutes</v>
      </c>
      <c r="X763" t="str">
        <f t="shared" si="47"/>
        <v>Long Time Login</v>
      </c>
      <c r="AA763" s="35" t="s">
        <v>1048</v>
      </c>
      <c r="AB763" s="35" t="s">
        <v>430</v>
      </c>
      <c r="AC763" s="35">
        <v>100</v>
      </c>
      <c r="AD763" s="35">
        <v>67</v>
      </c>
      <c r="AE763" s="35" t="s">
        <v>59</v>
      </c>
      <c r="AF763" s="35">
        <v>2000</v>
      </c>
      <c r="AH763" s="35" t="s">
        <v>127</v>
      </c>
    </row>
    <row r="764" spans="1:34">
      <c r="A764" t="s">
        <v>1049</v>
      </c>
      <c r="B764" t="s">
        <v>440</v>
      </c>
      <c r="C764">
        <v>18</v>
      </c>
      <c r="D764" t="s">
        <v>35</v>
      </c>
      <c r="E764" t="s">
        <v>36</v>
      </c>
      <c r="F764" t="s">
        <v>88</v>
      </c>
      <c r="G764" t="s">
        <v>89</v>
      </c>
      <c r="H764">
        <v>60</v>
      </c>
      <c r="I764">
        <v>73</v>
      </c>
      <c r="J764" t="s">
        <v>68</v>
      </c>
      <c r="K764">
        <v>18000</v>
      </c>
      <c r="L764">
        <v>17470</v>
      </c>
      <c r="M764">
        <v>2000</v>
      </c>
      <c r="N764" t="s">
        <v>26</v>
      </c>
      <c r="O764" t="s">
        <v>27</v>
      </c>
      <c r="P764" s="1">
        <v>45923</v>
      </c>
      <c r="Q764" s="1">
        <v>46043</v>
      </c>
      <c r="R764" s="2">
        <v>0.4375</v>
      </c>
      <c r="S764" s="2">
        <v>0.4861111111111111</v>
      </c>
      <c r="T764" t="str" cm="1">
        <f t="array" ref="T764">_xlfn.IFS(H764&gt;=90,"A",H764&gt;=75,"B",H764&gt;=60,"C",H764&lt;60,"D")</f>
        <v>C</v>
      </c>
      <c r="U764" t="str">
        <f t="shared" si="44"/>
        <v>10:30 AM</v>
      </c>
      <c r="V764" t="str">
        <f t="shared" si="45"/>
        <v>Delayed</v>
      </c>
      <c r="W764" t="str">
        <f t="shared" si="46"/>
        <v>1 Hours 10 Minutes</v>
      </c>
      <c r="X764" t="str">
        <f t="shared" si="47"/>
        <v>Long Time Login</v>
      </c>
      <c r="AA764" s="34" t="s">
        <v>1049</v>
      </c>
      <c r="AB764" s="34" t="s">
        <v>440</v>
      </c>
      <c r="AC764" s="34">
        <v>60</v>
      </c>
      <c r="AD764" s="34">
        <v>73</v>
      </c>
      <c r="AE764" s="34" t="s">
        <v>68</v>
      </c>
      <c r="AF764" s="34">
        <v>2000</v>
      </c>
      <c r="AH764" s="34" t="s">
        <v>27</v>
      </c>
    </row>
    <row r="765" spans="1:34">
      <c r="A765" t="s">
        <v>1050</v>
      </c>
      <c r="B765" t="s">
        <v>1051</v>
      </c>
      <c r="C765">
        <v>19</v>
      </c>
      <c r="D765" t="s">
        <v>21</v>
      </c>
      <c r="E765" t="s">
        <v>122</v>
      </c>
      <c r="F765" t="s">
        <v>63</v>
      </c>
      <c r="G765" t="s">
        <v>64</v>
      </c>
      <c r="H765">
        <v>77</v>
      </c>
      <c r="I765">
        <v>72</v>
      </c>
      <c r="J765" t="s">
        <v>45</v>
      </c>
      <c r="K765">
        <v>18000</v>
      </c>
      <c r="L765">
        <v>18060</v>
      </c>
      <c r="M765">
        <v>2000</v>
      </c>
      <c r="N765" t="s">
        <v>26</v>
      </c>
      <c r="O765" t="s">
        <v>27</v>
      </c>
      <c r="P765" s="1">
        <v>45771</v>
      </c>
      <c r="Q765" s="1">
        <v>45891</v>
      </c>
      <c r="R765" s="2">
        <v>0.43125000000000002</v>
      </c>
      <c r="S765" s="2">
        <v>0.62916666666666665</v>
      </c>
      <c r="T765" t="str" cm="1">
        <f t="array" ref="T765">_xlfn.IFS(H765&gt;=90,"A",H765&gt;=75,"B",H765&gt;=60,"C",H765&lt;60,"D")</f>
        <v>B</v>
      </c>
      <c r="U765" t="str">
        <f t="shared" si="44"/>
        <v>10:21 AM</v>
      </c>
      <c r="V765" t="str">
        <f t="shared" si="45"/>
        <v>Delayed</v>
      </c>
      <c r="W765" t="str">
        <f t="shared" si="46"/>
        <v>4 Hours 45 Minutes</v>
      </c>
      <c r="X765" t="str">
        <f t="shared" si="47"/>
        <v>Long Time Login</v>
      </c>
      <c r="AA765" s="35" t="s">
        <v>1050</v>
      </c>
      <c r="AB765" s="35" t="s">
        <v>1051</v>
      </c>
      <c r="AC765" s="35">
        <v>77</v>
      </c>
      <c r="AD765" s="35">
        <v>72</v>
      </c>
      <c r="AE765" s="35" t="s">
        <v>45</v>
      </c>
      <c r="AF765" s="35">
        <v>2000</v>
      </c>
      <c r="AH765" s="35" t="s">
        <v>27</v>
      </c>
    </row>
    <row r="766" spans="1:34">
      <c r="A766" t="s">
        <v>1052</v>
      </c>
      <c r="B766" t="s">
        <v>83</v>
      </c>
      <c r="C766">
        <v>28</v>
      </c>
      <c r="D766" t="s">
        <v>35</v>
      </c>
      <c r="E766" t="s">
        <v>36</v>
      </c>
      <c r="F766" t="s">
        <v>23</v>
      </c>
      <c r="G766" t="s">
        <v>24</v>
      </c>
      <c r="H766">
        <v>55</v>
      </c>
      <c r="I766">
        <v>99</v>
      </c>
      <c r="J766" t="s">
        <v>25</v>
      </c>
      <c r="K766">
        <v>10000</v>
      </c>
      <c r="L766">
        <v>8030</v>
      </c>
      <c r="M766">
        <v>2000</v>
      </c>
      <c r="N766" t="s">
        <v>26</v>
      </c>
      <c r="O766" t="s">
        <v>27</v>
      </c>
      <c r="P766" s="1">
        <v>45853</v>
      </c>
      <c r="Q766" s="1">
        <v>45973</v>
      </c>
      <c r="R766" s="2">
        <v>0.36527777777777776</v>
      </c>
      <c r="S766" s="2">
        <v>0.56527777777777777</v>
      </c>
      <c r="T766" t="str" cm="1">
        <f t="array" ref="T766">_xlfn.IFS(H766&gt;=90,"A",H766&gt;=75,"B",H766&gt;=60,"C",H766&lt;60,"D")</f>
        <v>D</v>
      </c>
      <c r="U766" t="str">
        <f t="shared" si="44"/>
        <v>08:46 AM</v>
      </c>
      <c r="V766" t="str">
        <f t="shared" si="45"/>
        <v>Delayed</v>
      </c>
      <c r="W766" t="str">
        <f t="shared" si="46"/>
        <v>4 Hours 48 Minutes</v>
      </c>
      <c r="X766" t="str">
        <f t="shared" si="47"/>
        <v>Short Time Login</v>
      </c>
      <c r="AA766" s="34" t="s">
        <v>1052</v>
      </c>
      <c r="AB766" s="34" t="s">
        <v>83</v>
      </c>
      <c r="AC766" s="34">
        <v>55</v>
      </c>
      <c r="AD766" s="34">
        <v>99</v>
      </c>
      <c r="AE766" s="34" t="s">
        <v>25</v>
      </c>
      <c r="AF766" s="34">
        <v>2000</v>
      </c>
      <c r="AH766" s="34" t="s">
        <v>27</v>
      </c>
    </row>
    <row r="767" spans="1:34">
      <c r="A767" t="s">
        <v>1053</v>
      </c>
      <c r="B767" t="s">
        <v>38</v>
      </c>
      <c r="C767">
        <v>21</v>
      </c>
      <c r="D767" t="s">
        <v>21</v>
      </c>
      <c r="E767" t="s">
        <v>122</v>
      </c>
      <c r="F767" t="s">
        <v>88</v>
      </c>
      <c r="G767" t="s">
        <v>89</v>
      </c>
      <c r="H767">
        <v>87</v>
      </c>
      <c r="I767">
        <v>74</v>
      </c>
      <c r="J767" t="s">
        <v>45</v>
      </c>
      <c r="K767">
        <v>10000</v>
      </c>
      <c r="L767">
        <v>9800</v>
      </c>
      <c r="M767">
        <v>2000</v>
      </c>
      <c r="N767" t="s">
        <v>26</v>
      </c>
      <c r="O767" t="s">
        <v>27</v>
      </c>
      <c r="P767" s="1">
        <v>45950</v>
      </c>
      <c r="Q767" s="1">
        <v>46070</v>
      </c>
      <c r="R767" s="2">
        <v>0.4548611111111111</v>
      </c>
      <c r="S767" s="2">
        <v>0.53194444444444444</v>
      </c>
      <c r="T767" t="str" cm="1">
        <f t="array" ref="T767">_xlfn.IFS(H767&gt;=90,"A",H767&gt;=75,"B",H767&gt;=60,"C",H767&lt;60,"D")</f>
        <v>B</v>
      </c>
      <c r="U767" t="str">
        <f t="shared" si="44"/>
        <v>10:55 AM</v>
      </c>
      <c r="V767" t="str">
        <f t="shared" si="45"/>
        <v>Delayed</v>
      </c>
      <c r="W767" t="str">
        <f t="shared" si="46"/>
        <v>1 Hours 51 Minutes</v>
      </c>
      <c r="X767" t="str">
        <f t="shared" si="47"/>
        <v>Long Time Login</v>
      </c>
      <c r="AA767" s="35" t="s">
        <v>1053</v>
      </c>
      <c r="AB767" s="35" t="s">
        <v>38</v>
      </c>
      <c r="AC767" s="35">
        <v>87</v>
      </c>
      <c r="AD767" s="35">
        <v>74</v>
      </c>
      <c r="AE767" s="35" t="s">
        <v>45</v>
      </c>
      <c r="AF767" s="35">
        <v>2000</v>
      </c>
      <c r="AH767" s="35" t="s">
        <v>27</v>
      </c>
    </row>
    <row r="768" spans="1:34">
      <c r="A768" t="s">
        <v>1054</v>
      </c>
      <c r="B768" t="s">
        <v>236</v>
      </c>
      <c r="C768">
        <v>21</v>
      </c>
      <c r="D768" t="s">
        <v>21</v>
      </c>
      <c r="E768" t="s">
        <v>48</v>
      </c>
      <c r="F768" t="s">
        <v>57</v>
      </c>
      <c r="G768" t="s">
        <v>58</v>
      </c>
      <c r="H768">
        <v>48</v>
      </c>
      <c r="I768">
        <v>68</v>
      </c>
      <c r="J768" t="s">
        <v>25</v>
      </c>
      <c r="K768">
        <v>20000</v>
      </c>
      <c r="L768">
        <v>23010</v>
      </c>
      <c r="M768">
        <v>0</v>
      </c>
      <c r="N768" t="s">
        <v>11</v>
      </c>
      <c r="O768" t="s">
        <v>127</v>
      </c>
      <c r="P768" s="1">
        <v>45670</v>
      </c>
      <c r="Q768" s="1">
        <v>45730</v>
      </c>
      <c r="R768" s="2">
        <v>0.41805555555555557</v>
      </c>
      <c r="S768" s="2">
        <v>0.53055555555555556</v>
      </c>
      <c r="T768" t="str" cm="1">
        <f t="array" ref="T768">_xlfn.IFS(H768&gt;=90,"A",H768&gt;=75,"B",H768&gt;=60,"C",H768&lt;60,"D")</f>
        <v>D</v>
      </c>
      <c r="U768" t="str">
        <f t="shared" si="44"/>
        <v>10:02 AM</v>
      </c>
      <c r="V768" t="str">
        <f t="shared" si="45"/>
        <v>On Time</v>
      </c>
      <c r="W768" t="str">
        <f t="shared" si="46"/>
        <v>2 Hours 42 Minutes</v>
      </c>
      <c r="X768" t="str">
        <f t="shared" si="47"/>
        <v>Long Time Login</v>
      </c>
      <c r="AA768" s="34" t="s">
        <v>1054</v>
      </c>
      <c r="AB768" s="34" t="s">
        <v>236</v>
      </c>
      <c r="AC768" s="34">
        <v>48</v>
      </c>
      <c r="AD768" s="34">
        <v>68</v>
      </c>
      <c r="AE768" s="34" t="s">
        <v>25</v>
      </c>
      <c r="AF768" s="34">
        <v>0</v>
      </c>
      <c r="AH768" s="34" t="s">
        <v>127</v>
      </c>
    </row>
    <row r="769" spans="1:34">
      <c r="A769" t="s">
        <v>1055</v>
      </c>
      <c r="B769" t="s">
        <v>331</v>
      </c>
      <c r="C769">
        <v>19</v>
      </c>
      <c r="D769" t="s">
        <v>35</v>
      </c>
      <c r="E769" t="s">
        <v>30</v>
      </c>
      <c r="F769" t="s">
        <v>53</v>
      </c>
      <c r="G769" t="s">
        <v>54</v>
      </c>
      <c r="H769">
        <v>37</v>
      </c>
      <c r="I769">
        <v>71</v>
      </c>
      <c r="J769" t="s">
        <v>25</v>
      </c>
      <c r="K769">
        <v>12000</v>
      </c>
      <c r="L769">
        <v>10390</v>
      </c>
      <c r="M769">
        <v>2000</v>
      </c>
      <c r="N769" t="s">
        <v>26</v>
      </c>
      <c r="O769" t="s">
        <v>27</v>
      </c>
      <c r="P769" s="1">
        <v>45773</v>
      </c>
      <c r="Q769" s="1">
        <v>45893</v>
      </c>
      <c r="R769" s="2">
        <v>0.40277777777777779</v>
      </c>
      <c r="S769" s="2">
        <v>0.5395833333333333</v>
      </c>
      <c r="T769" t="str" cm="1">
        <f t="array" ref="T769">_xlfn.IFS(H769&gt;=90,"A",H769&gt;=75,"B",H769&gt;=60,"C",H769&lt;60,"D")</f>
        <v>D</v>
      </c>
      <c r="U769" t="str">
        <f t="shared" si="44"/>
        <v>09:40 AM</v>
      </c>
      <c r="V769" t="str">
        <f t="shared" si="45"/>
        <v>Delayed</v>
      </c>
      <c r="W769" t="str">
        <f t="shared" si="46"/>
        <v>3 Hours 17 Minutes</v>
      </c>
      <c r="X769" t="str">
        <f t="shared" si="47"/>
        <v>Short Time Login</v>
      </c>
      <c r="AA769" s="35" t="s">
        <v>1055</v>
      </c>
      <c r="AB769" s="35" t="s">
        <v>331</v>
      </c>
      <c r="AC769" s="35">
        <v>37</v>
      </c>
      <c r="AD769" s="35">
        <v>71</v>
      </c>
      <c r="AE769" s="35" t="s">
        <v>25</v>
      </c>
      <c r="AF769" s="35">
        <v>2000</v>
      </c>
      <c r="AH769" s="35" t="s">
        <v>27</v>
      </c>
    </row>
    <row r="770" spans="1:34">
      <c r="A770" t="s">
        <v>1056</v>
      </c>
      <c r="B770" t="s">
        <v>591</v>
      </c>
      <c r="C770">
        <v>18</v>
      </c>
      <c r="D770" t="s">
        <v>21</v>
      </c>
      <c r="E770" t="s">
        <v>36</v>
      </c>
      <c r="F770" t="s">
        <v>31</v>
      </c>
      <c r="G770" t="s">
        <v>32</v>
      </c>
      <c r="H770">
        <v>53</v>
      </c>
      <c r="I770">
        <v>62</v>
      </c>
      <c r="J770" t="s">
        <v>25</v>
      </c>
      <c r="K770">
        <v>12000</v>
      </c>
      <c r="L770">
        <v>14160</v>
      </c>
      <c r="M770">
        <v>0</v>
      </c>
      <c r="N770" t="s">
        <v>11</v>
      </c>
      <c r="O770" t="s">
        <v>27</v>
      </c>
      <c r="P770" s="1">
        <v>45944</v>
      </c>
      <c r="Q770" s="1">
        <v>45974</v>
      </c>
      <c r="R770" s="2">
        <v>0.45555555555555555</v>
      </c>
      <c r="S770" s="2">
        <v>0.58888888888888891</v>
      </c>
      <c r="T770" t="str" cm="1">
        <f t="array" ref="T770">_xlfn.IFS(H770&gt;=90,"A",H770&gt;=75,"B",H770&gt;=60,"C",H770&lt;60,"D")</f>
        <v>D</v>
      </c>
      <c r="U770" t="str">
        <f t="shared" ref="U770:U833" si="48">TEXT(R770,"hh:mm AM/PM")</f>
        <v>10:56 AM</v>
      </c>
      <c r="V770" t="str">
        <f t="shared" ref="V770:V833" si="49">IF(_xlfn.DAYS(Q770,P770)&lt;=90,"On Time","Delayed")</f>
        <v>On Time</v>
      </c>
      <c r="W770" t="str">
        <f t="shared" ref="W770:W833" si="50">HOUR(S770-R770)&amp;" Hours "&amp;MINUTE(S770-R770)&amp;" Minutes"</f>
        <v>3 Hours 12 Minutes</v>
      </c>
      <c r="X770" t="str">
        <f t="shared" ref="X770:X833" si="51">IF(R770&gt;TIME(10,0,0),"Long Time Login","Short Time Login")</f>
        <v>Long Time Login</v>
      </c>
      <c r="AA770" s="34" t="s">
        <v>1056</v>
      </c>
      <c r="AB770" s="34" t="s">
        <v>591</v>
      </c>
      <c r="AC770" s="34">
        <v>53</v>
      </c>
      <c r="AD770" s="34">
        <v>62</v>
      </c>
      <c r="AE770" s="34" t="s">
        <v>25</v>
      </c>
      <c r="AF770" s="34">
        <v>0</v>
      </c>
      <c r="AH770" s="34" t="s">
        <v>27</v>
      </c>
    </row>
    <row r="771" spans="1:34">
      <c r="A771" t="s">
        <v>1057</v>
      </c>
      <c r="B771" t="s">
        <v>264</v>
      </c>
      <c r="C771">
        <v>23</v>
      </c>
      <c r="D771" t="s">
        <v>21</v>
      </c>
      <c r="E771" t="s">
        <v>30</v>
      </c>
      <c r="F771" t="s">
        <v>23</v>
      </c>
      <c r="G771" t="s">
        <v>24</v>
      </c>
      <c r="H771">
        <v>37</v>
      </c>
      <c r="I771">
        <v>96</v>
      </c>
      <c r="J771" t="s">
        <v>25</v>
      </c>
      <c r="K771">
        <v>18000</v>
      </c>
      <c r="L771">
        <v>17240</v>
      </c>
      <c r="M771">
        <v>4000</v>
      </c>
      <c r="N771" t="s">
        <v>26</v>
      </c>
      <c r="O771" t="s">
        <v>27</v>
      </c>
      <c r="P771" s="1">
        <v>45733</v>
      </c>
      <c r="Q771" s="1">
        <v>45763</v>
      </c>
      <c r="R771" s="2">
        <v>0.42152777777777778</v>
      </c>
      <c r="S771" s="2">
        <v>0.58333333333333337</v>
      </c>
      <c r="T771" t="str" cm="1">
        <f t="array" ref="T771">_xlfn.IFS(H771&gt;=90,"A",H771&gt;=75,"B",H771&gt;=60,"C",H771&lt;60,"D")</f>
        <v>D</v>
      </c>
      <c r="U771" t="str">
        <f t="shared" si="48"/>
        <v>10:07 AM</v>
      </c>
      <c r="V771" t="str">
        <f t="shared" si="49"/>
        <v>On Time</v>
      </c>
      <c r="W771" t="str">
        <f t="shared" si="50"/>
        <v>3 Hours 53 Minutes</v>
      </c>
      <c r="X771" t="str">
        <f t="shared" si="51"/>
        <v>Long Time Login</v>
      </c>
      <c r="AA771" s="35" t="s">
        <v>1057</v>
      </c>
      <c r="AB771" s="35" t="s">
        <v>264</v>
      </c>
      <c r="AC771" s="35">
        <v>37</v>
      </c>
      <c r="AD771" s="35">
        <v>96</v>
      </c>
      <c r="AE771" s="35" t="s">
        <v>25</v>
      </c>
      <c r="AF771" s="35">
        <v>4000</v>
      </c>
      <c r="AH771" s="35" t="s">
        <v>27</v>
      </c>
    </row>
    <row r="772" spans="1:34">
      <c r="A772" t="s">
        <v>1058</v>
      </c>
      <c r="B772" t="s">
        <v>528</v>
      </c>
      <c r="C772">
        <v>25</v>
      </c>
      <c r="D772" t="s">
        <v>35</v>
      </c>
      <c r="E772" t="s">
        <v>39</v>
      </c>
      <c r="F772" t="s">
        <v>88</v>
      </c>
      <c r="G772" t="s">
        <v>89</v>
      </c>
      <c r="H772">
        <v>83</v>
      </c>
      <c r="I772">
        <v>84</v>
      </c>
      <c r="J772" t="s">
        <v>45</v>
      </c>
      <c r="K772">
        <v>20000</v>
      </c>
      <c r="L772">
        <v>21830</v>
      </c>
      <c r="M772">
        <v>0</v>
      </c>
      <c r="N772" t="s">
        <v>11</v>
      </c>
      <c r="O772" t="s">
        <v>27</v>
      </c>
      <c r="P772" s="1">
        <v>45875</v>
      </c>
      <c r="Q772" s="1">
        <v>45905</v>
      </c>
      <c r="R772" s="2">
        <v>0.39305555555555555</v>
      </c>
      <c r="S772" s="2">
        <v>0.53402777777777777</v>
      </c>
      <c r="T772" t="str" cm="1">
        <f t="array" ref="T772">_xlfn.IFS(H772&gt;=90,"A",H772&gt;=75,"B",H772&gt;=60,"C",H772&lt;60,"D")</f>
        <v>B</v>
      </c>
      <c r="U772" t="str">
        <f t="shared" si="48"/>
        <v>09:26 AM</v>
      </c>
      <c r="V772" t="str">
        <f t="shared" si="49"/>
        <v>On Time</v>
      </c>
      <c r="W772" t="str">
        <f t="shared" si="50"/>
        <v>3 Hours 23 Minutes</v>
      </c>
      <c r="X772" t="str">
        <f t="shared" si="51"/>
        <v>Short Time Login</v>
      </c>
      <c r="AA772" s="34" t="s">
        <v>1058</v>
      </c>
      <c r="AB772" s="34" t="s">
        <v>528</v>
      </c>
      <c r="AC772" s="34">
        <v>83</v>
      </c>
      <c r="AD772" s="34">
        <v>84</v>
      </c>
      <c r="AE772" s="34" t="s">
        <v>45</v>
      </c>
      <c r="AF772" s="34">
        <v>0</v>
      </c>
      <c r="AH772" s="34" t="s">
        <v>27</v>
      </c>
    </row>
    <row r="773" spans="1:34">
      <c r="A773" t="s">
        <v>1059</v>
      </c>
      <c r="B773" t="s">
        <v>618</v>
      </c>
      <c r="C773">
        <v>28</v>
      </c>
      <c r="D773" t="s">
        <v>35</v>
      </c>
      <c r="E773" t="s">
        <v>122</v>
      </c>
      <c r="F773" t="s">
        <v>88</v>
      </c>
      <c r="G773" t="s">
        <v>89</v>
      </c>
      <c r="H773">
        <v>50</v>
      </c>
      <c r="I773">
        <v>70</v>
      </c>
      <c r="J773" t="s">
        <v>25</v>
      </c>
      <c r="K773">
        <v>20000</v>
      </c>
      <c r="L773">
        <v>21600</v>
      </c>
      <c r="M773">
        <v>2000</v>
      </c>
      <c r="N773" t="s">
        <v>26</v>
      </c>
      <c r="O773" t="s">
        <v>27</v>
      </c>
      <c r="P773" s="1">
        <v>45735</v>
      </c>
      <c r="Q773" s="1">
        <v>45855</v>
      </c>
      <c r="R773" s="2">
        <v>0.34583333333333333</v>
      </c>
      <c r="S773" s="2">
        <v>0.55000000000000004</v>
      </c>
      <c r="T773" t="str" cm="1">
        <f t="array" ref="T773">_xlfn.IFS(H773&gt;=90,"A",H773&gt;=75,"B",H773&gt;=60,"C",H773&lt;60,"D")</f>
        <v>D</v>
      </c>
      <c r="U773" t="str">
        <f t="shared" si="48"/>
        <v>08:18 AM</v>
      </c>
      <c r="V773" t="str">
        <f t="shared" si="49"/>
        <v>Delayed</v>
      </c>
      <c r="W773" t="str">
        <f t="shared" si="50"/>
        <v>4 Hours 54 Minutes</v>
      </c>
      <c r="X773" t="str">
        <f t="shared" si="51"/>
        <v>Short Time Login</v>
      </c>
      <c r="AA773" s="35" t="s">
        <v>1059</v>
      </c>
      <c r="AB773" s="35" t="s">
        <v>618</v>
      </c>
      <c r="AC773" s="35">
        <v>50</v>
      </c>
      <c r="AD773" s="35">
        <v>70</v>
      </c>
      <c r="AE773" s="35" t="s">
        <v>25</v>
      </c>
      <c r="AF773" s="35">
        <v>2000</v>
      </c>
      <c r="AH773" s="35" t="s">
        <v>27</v>
      </c>
    </row>
    <row r="774" spans="1:34">
      <c r="A774" t="s">
        <v>1060</v>
      </c>
      <c r="B774" t="s">
        <v>156</v>
      </c>
      <c r="C774">
        <v>24</v>
      </c>
      <c r="D774" t="s">
        <v>21</v>
      </c>
      <c r="E774" t="s">
        <v>73</v>
      </c>
      <c r="F774" t="s">
        <v>23</v>
      </c>
      <c r="G774" t="s">
        <v>24</v>
      </c>
      <c r="H774">
        <v>69</v>
      </c>
      <c r="I774">
        <v>100</v>
      </c>
      <c r="J774" t="s">
        <v>68</v>
      </c>
      <c r="K774">
        <v>12000</v>
      </c>
      <c r="L774">
        <v>10160</v>
      </c>
      <c r="M774">
        <v>4000</v>
      </c>
      <c r="N774" t="s">
        <v>26</v>
      </c>
      <c r="O774" t="s">
        <v>27</v>
      </c>
      <c r="P774" s="1">
        <v>45957</v>
      </c>
      <c r="Q774" s="1">
        <v>46047</v>
      </c>
      <c r="R774" s="2">
        <v>0.40555555555555556</v>
      </c>
      <c r="S774" s="2">
        <v>0.51597222222222228</v>
      </c>
      <c r="T774" t="str" cm="1">
        <f t="array" ref="T774">_xlfn.IFS(H774&gt;=90,"A",H774&gt;=75,"B",H774&gt;=60,"C",H774&lt;60,"D")</f>
        <v>C</v>
      </c>
      <c r="U774" t="str">
        <f t="shared" si="48"/>
        <v>09:44 AM</v>
      </c>
      <c r="V774" t="str">
        <f t="shared" si="49"/>
        <v>On Time</v>
      </c>
      <c r="W774" t="str">
        <f t="shared" si="50"/>
        <v>2 Hours 39 Minutes</v>
      </c>
      <c r="X774" t="str">
        <f t="shared" si="51"/>
        <v>Short Time Login</v>
      </c>
      <c r="AA774" s="34" t="s">
        <v>1060</v>
      </c>
      <c r="AB774" s="34" t="s">
        <v>156</v>
      </c>
      <c r="AC774" s="34">
        <v>69</v>
      </c>
      <c r="AD774" s="34">
        <v>100</v>
      </c>
      <c r="AE774" s="34" t="s">
        <v>68</v>
      </c>
      <c r="AF774" s="34">
        <v>4000</v>
      </c>
      <c r="AH774" s="34" t="s">
        <v>27</v>
      </c>
    </row>
    <row r="775" spans="1:34">
      <c r="A775" t="s">
        <v>1061</v>
      </c>
      <c r="B775" t="s">
        <v>142</v>
      </c>
      <c r="C775">
        <v>20</v>
      </c>
      <c r="D775" t="s">
        <v>35</v>
      </c>
      <c r="E775" t="s">
        <v>48</v>
      </c>
      <c r="F775" t="s">
        <v>63</v>
      </c>
      <c r="G775" t="s">
        <v>64</v>
      </c>
      <c r="H775">
        <v>86</v>
      </c>
      <c r="I775">
        <v>71</v>
      </c>
      <c r="J775" t="s">
        <v>45</v>
      </c>
      <c r="K775">
        <v>20000</v>
      </c>
      <c r="L775">
        <v>19600</v>
      </c>
      <c r="M775">
        <v>4000</v>
      </c>
      <c r="N775" t="s">
        <v>26</v>
      </c>
      <c r="O775" t="s">
        <v>27</v>
      </c>
      <c r="P775" s="1">
        <v>45822</v>
      </c>
      <c r="Q775" s="1">
        <v>46002</v>
      </c>
      <c r="R775" s="2">
        <v>0.43402777777777779</v>
      </c>
      <c r="S775" s="2">
        <v>0.5180555555555556</v>
      </c>
      <c r="T775" t="str" cm="1">
        <f t="array" ref="T775">_xlfn.IFS(H775&gt;=90,"A",H775&gt;=75,"B",H775&gt;=60,"C",H775&lt;60,"D")</f>
        <v>B</v>
      </c>
      <c r="U775" t="str">
        <f t="shared" si="48"/>
        <v>10:25 AM</v>
      </c>
      <c r="V775" t="str">
        <f t="shared" si="49"/>
        <v>Delayed</v>
      </c>
      <c r="W775" t="str">
        <f t="shared" si="50"/>
        <v>2 Hours 1 Minutes</v>
      </c>
      <c r="X775" t="str">
        <f t="shared" si="51"/>
        <v>Long Time Login</v>
      </c>
      <c r="AA775" s="35" t="s">
        <v>1061</v>
      </c>
      <c r="AB775" s="35" t="s">
        <v>142</v>
      </c>
      <c r="AC775" s="35">
        <v>86</v>
      </c>
      <c r="AD775" s="35">
        <v>71</v>
      </c>
      <c r="AE775" s="35" t="s">
        <v>45</v>
      </c>
      <c r="AF775" s="35">
        <v>4000</v>
      </c>
      <c r="AH775" s="35" t="s">
        <v>27</v>
      </c>
    </row>
    <row r="776" spans="1:34">
      <c r="A776" t="s">
        <v>1062</v>
      </c>
      <c r="B776" t="s">
        <v>146</v>
      </c>
      <c r="C776">
        <v>26</v>
      </c>
      <c r="D776" t="s">
        <v>21</v>
      </c>
      <c r="E776" t="s">
        <v>22</v>
      </c>
      <c r="F776" t="s">
        <v>88</v>
      </c>
      <c r="G776" t="s">
        <v>89</v>
      </c>
      <c r="H776">
        <v>36</v>
      </c>
      <c r="I776">
        <v>73</v>
      </c>
      <c r="J776" t="s">
        <v>25</v>
      </c>
      <c r="K776">
        <v>10000</v>
      </c>
      <c r="L776">
        <v>11800</v>
      </c>
      <c r="M776">
        <v>0</v>
      </c>
      <c r="N776" t="s">
        <v>11</v>
      </c>
      <c r="O776" t="s">
        <v>27</v>
      </c>
      <c r="P776" s="1">
        <v>45948</v>
      </c>
      <c r="Q776" s="1">
        <v>46068</v>
      </c>
      <c r="R776" s="2">
        <v>0.34791666666666665</v>
      </c>
      <c r="S776" s="2">
        <v>0.49236111111111114</v>
      </c>
      <c r="T776" t="str" cm="1">
        <f t="array" ref="T776">_xlfn.IFS(H776&gt;=90,"A",H776&gt;=75,"B",H776&gt;=60,"C",H776&lt;60,"D")</f>
        <v>D</v>
      </c>
      <c r="U776" t="str">
        <f t="shared" si="48"/>
        <v>08:21 AM</v>
      </c>
      <c r="V776" t="str">
        <f t="shared" si="49"/>
        <v>Delayed</v>
      </c>
      <c r="W776" t="str">
        <f t="shared" si="50"/>
        <v>3 Hours 28 Minutes</v>
      </c>
      <c r="X776" t="str">
        <f t="shared" si="51"/>
        <v>Short Time Login</v>
      </c>
      <c r="AA776" s="34" t="s">
        <v>1062</v>
      </c>
      <c r="AB776" s="34" t="s">
        <v>146</v>
      </c>
      <c r="AC776" s="34">
        <v>36</v>
      </c>
      <c r="AD776" s="34">
        <v>73</v>
      </c>
      <c r="AE776" s="34" t="s">
        <v>25</v>
      </c>
      <c r="AF776" s="34">
        <v>0</v>
      </c>
      <c r="AH776" s="34" t="s">
        <v>27</v>
      </c>
    </row>
    <row r="777" spans="1:34">
      <c r="A777" t="s">
        <v>1063</v>
      </c>
      <c r="B777" t="s">
        <v>678</v>
      </c>
      <c r="C777">
        <v>20</v>
      </c>
      <c r="D777" t="s">
        <v>21</v>
      </c>
      <c r="E777" t="s">
        <v>39</v>
      </c>
      <c r="F777" t="s">
        <v>49</v>
      </c>
      <c r="G777" t="s">
        <v>50</v>
      </c>
      <c r="H777">
        <v>73</v>
      </c>
      <c r="I777">
        <v>73</v>
      </c>
      <c r="J777" t="s">
        <v>68</v>
      </c>
      <c r="K777">
        <v>10000</v>
      </c>
      <c r="L777">
        <v>7210</v>
      </c>
      <c r="M777">
        <v>4000</v>
      </c>
      <c r="N777" t="s">
        <v>26</v>
      </c>
      <c r="O777" t="s">
        <v>27</v>
      </c>
      <c r="P777" s="1">
        <v>45896</v>
      </c>
      <c r="Q777" s="1">
        <v>45926</v>
      </c>
      <c r="R777" s="2">
        <v>0.34861111111111109</v>
      </c>
      <c r="S777" s="2">
        <v>0.42638888888888887</v>
      </c>
      <c r="T777" t="str" cm="1">
        <f t="array" ref="T777">_xlfn.IFS(H777&gt;=90,"A",H777&gt;=75,"B",H777&gt;=60,"C",H777&lt;60,"D")</f>
        <v>C</v>
      </c>
      <c r="U777" t="str">
        <f t="shared" si="48"/>
        <v>08:22 AM</v>
      </c>
      <c r="V777" t="str">
        <f t="shared" si="49"/>
        <v>On Time</v>
      </c>
      <c r="W777" t="str">
        <f t="shared" si="50"/>
        <v>1 Hours 52 Minutes</v>
      </c>
      <c r="X777" t="str">
        <f t="shared" si="51"/>
        <v>Short Time Login</v>
      </c>
      <c r="AA777" s="35" t="s">
        <v>1063</v>
      </c>
      <c r="AB777" s="35" t="s">
        <v>678</v>
      </c>
      <c r="AC777" s="35">
        <v>73</v>
      </c>
      <c r="AD777" s="35">
        <v>73</v>
      </c>
      <c r="AE777" s="35" t="s">
        <v>68</v>
      </c>
      <c r="AF777" s="35">
        <v>4000</v>
      </c>
      <c r="AH777" s="35" t="s">
        <v>27</v>
      </c>
    </row>
    <row r="778" spans="1:34">
      <c r="A778" t="s">
        <v>1064</v>
      </c>
      <c r="B778" t="s">
        <v>794</v>
      </c>
      <c r="C778">
        <v>20</v>
      </c>
      <c r="D778" t="s">
        <v>21</v>
      </c>
      <c r="E778" t="s">
        <v>44</v>
      </c>
      <c r="F778" t="s">
        <v>23</v>
      </c>
      <c r="G778" t="s">
        <v>24</v>
      </c>
      <c r="H778">
        <v>60</v>
      </c>
      <c r="I778">
        <v>73</v>
      </c>
      <c r="J778" t="s">
        <v>68</v>
      </c>
      <c r="K778">
        <v>18000</v>
      </c>
      <c r="L778">
        <v>20650</v>
      </c>
      <c r="M778">
        <v>0</v>
      </c>
      <c r="N778" t="s">
        <v>11</v>
      </c>
      <c r="O778" t="s">
        <v>27</v>
      </c>
      <c r="P778" s="1">
        <v>45687</v>
      </c>
      <c r="Q778" s="1">
        <v>45747</v>
      </c>
      <c r="R778" s="2">
        <v>0.35902777777777778</v>
      </c>
      <c r="S778" s="2">
        <v>0.47499999999999998</v>
      </c>
      <c r="T778" t="str" cm="1">
        <f t="array" ref="T778">_xlfn.IFS(H778&gt;=90,"A",H778&gt;=75,"B",H778&gt;=60,"C",H778&lt;60,"D")</f>
        <v>C</v>
      </c>
      <c r="U778" t="str">
        <f t="shared" si="48"/>
        <v>08:37 AM</v>
      </c>
      <c r="V778" t="str">
        <f t="shared" si="49"/>
        <v>On Time</v>
      </c>
      <c r="W778" t="str">
        <f t="shared" si="50"/>
        <v>2 Hours 47 Minutes</v>
      </c>
      <c r="X778" t="str">
        <f t="shared" si="51"/>
        <v>Short Time Login</v>
      </c>
      <c r="AA778" s="34" t="s">
        <v>1064</v>
      </c>
      <c r="AB778" s="34" t="s">
        <v>794</v>
      </c>
      <c r="AC778" s="34">
        <v>60</v>
      </c>
      <c r="AD778" s="34">
        <v>73</v>
      </c>
      <c r="AE778" s="34" t="s">
        <v>68</v>
      </c>
      <c r="AF778" s="34">
        <v>0</v>
      </c>
      <c r="AH778" s="34" t="s">
        <v>27</v>
      </c>
    </row>
    <row r="779" spans="1:34">
      <c r="A779" t="s">
        <v>1065</v>
      </c>
      <c r="B779" t="s">
        <v>66</v>
      </c>
      <c r="C779">
        <v>28</v>
      </c>
      <c r="D779" t="s">
        <v>35</v>
      </c>
      <c r="E779" t="s">
        <v>96</v>
      </c>
      <c r="F779" t="s">
        <v>63</v>
      </c>
      <c r="G779" t="s">
        <v>64</v>
      </c>
      <c r="H779">
        <v>36</v>
      </c>
      <c r="I779">
        <v>69</v>
      </c>
      <c r="J779" t="s">
        <v>25</v>
      </c>
      <c r="K779">
        <v>18000</v>
      </c>
      <c r="L779">
        <v>16060</v>
      </c>
      <c r="M779">
        <v>4000</v>
      </c>
      <c r="N779" t="s">
        <v>26</v>
      </c>
      <c r="O779" t="s">
        <v>27</v>
      </c>
      <c r="P779" s="1">
        <v>45749</v>
      </c>
      <c r="Q779" s="1">
        <v>45839</v>
      </c>
      <c r="R779" s="2">
        <v>0.41597222222222224</v>
      </c>
      <c r="S779" s="2">
        <v>0.55902777777777779</v>
      </c>
      <c r="T779" t="str" cm="1">
        <f t="array" ref="T779">_xlfn.IFS(H779&gt;=90,"A",H779&gt;=75,"B",H779&gt;=60,"C",H779&lt;60,"D")</f>
        <v>D</v>
      </c>
      <c r="U779" t="str">
        <f t="shared" si="48"/>
        <v>09:59 AM</v>
      </c>
      <c r="V779" t="str">
        <f t="shared" si="49"/>
        <v>On Time</v>
      </c>
      <c r="W779" t="str">
        <f t="shared" si="50"/>
        <v>3 Hours 26 Minutes</v>
      </c>
      <c r="X779" t="str">
        <f t="shared" si="51"/>
        <v>Short Time Login</v>
      </c>
      <c r="AA779" s="35" t="s">
        <v>1065</v>
      </c>
      <c r="AB779" s="35" t="s">
        <v>66</v>
      </c>
      <c r="AC779" s="35">
        <v>36</v>
      </c>
      <c r="AD779" s="35">
        <v>69</v>
      </c>
      <c r="AE779" s="35" t="s">
        <v>25</v>
      </c>
      <c r="AF779" s="35">
        <v>4000</v>
      </c>
      <c r="AH779" s="35" t="s">
        <v>27</v>
      </c>
    </row>
    <row r="780" spans="1:34">
      <c r="A780" t="s">
        <v>1066</v>
      </c>
      <c r="B780" t="s">
        <v>313</v>
      </c>
      <c r="C780">
        <v>18</v>
      </c>
      <c r="D780" t="s">
        <v>21</v>
      </c>
      <c r="E780" t="s">
        <v>73</v>
      </c>
      <c r="F780" t="s">
        <v>53</v>
      </c>
      <c r="G780" t="s">
        <v>54</v>
      </c>
      <c r="H780">
        <v>58</v>
      </c>
      <c r="I780">
        <v>64</v>
      </c>
      <c r="J780" t="s">
        <v>25</v>
      </c>
      <c r="K780">
        <v>18000</v>
      </c>
      <c r="L780">
        <v>19240</v>
      </c>
      <c r="M780">
        <v>2000</v>
      </c>
      <c r="N780" t="s">
        <v>26</v>
      </c>
      <c r="O780" t="s">
        <v>27</v>
      </c>
      <c r="P780" s="1">
        <v>46010</v>
      </c>
      <c r="Q780" s="1">
        <v>46040</v>
      </c>
      <c r="R780" s="2">
        <v>0.45416666666666666</v>
      </c>
      <c r="S780" s="2">
        <v>0.50694444444444442</v>
      </c>
      <c r="T780" t="str" cm="1">
        <f t="array" ref="T780">_xlfn.IFS(H780&gt;=90,"A",H780&gt;=75,"B",H780&gt;=60,"C",H780&lt;60,"D")</f>
        <v>D</v>
      </c>
      <c r="U780" t="str">
        <f t="shared" si="48"/>
        <v>10:54 AM</v>
      </c>
      <c r="V780" t="str">
        <f t="shared" si="49"/>
        <v>On Time</v>
      </c>
      <c r="W780" t="str">
        <f t="shared" si="50"/>
        <v>1 Hours 16 Minutes</v>
      </c>
      <c r="X780" t="str">
        <f t="shared" si="51"/>
        <v>Long Time Login</v>
      </c>
      <c r="AA780" s="34" t="s">
        <v>1066</v>
      </c>
      <c r="AB780" s="34" t="s">
        <v>313</v>
      </c>
      <c r="AC780" s="34">
        <v>58</v>
      </c>
      <c r="AD780" s="34">
        <v>64</v>
      </c>
      <c r="AE780" s="34" t="s">
        <v>25</v>
      </c>
      <c r="AF780" s="34">
        <v>2000</v>
      </c>
      <c r="AH780" s="34" t="s">
        <v>27</v>
      </c>
    </row>
    <row r="781" spans="1:34">
      <c r="A781" t="s">
        <v>1067</v>
      </c>
      <c r="B781" t="s">
        <v>234</v>
      </c>
      <c r="C781">
        <v>25</v>
      </c>
      <c r="D781" t="s">
        <v>21</v>
      </c>
      <c r="E781" t="s">
        <v>48</v>
      </c>
      <c r="F781" t="s">
        <v>40</v>
      </c>
      <c r="G781" t="s">
        <v>41</v>
      </c>
      <c r="H781">
        <v>46</v>
      </c>
      <c r="I781">
        <v>81</v>
      </c>
      <c r="J781" t="s">
        <v>25</v>
      </c>
      <c r="K781">
        <v>20000</v>
      </c>
      <c r="L781">
        <v>18420</v>
      </c>
      <c r="M781">
        <v>4000</v>
      </c>
      <c r="N781" t="s">
        <v>26</v>
      </c>
      <c r="O781" t="s">
        <v>27</v>
      </c>
      <c r="P781" s="1">
        <v>45868</v>
      </c>
      <c r="Q781" s="1">
        <v>45898</v>
      </c>
      <c r="R781" s="2">
        <v>0.42291666666666666</v>
      </c>
      <c r="S781" s="2">
        <v>0.57986111111111116</v>
      </c>
      <c r="T781" t="str" cm="1">
        <f t="array" ref="T781">_xlfn.IFS(H781&gt;=90,"A",H781&gt;=75,"B",H781&gt;=60,"C",H781&lt;60,"D")</f>
        <v>D</v>
      </c>
      <c r="U781" t="str">
        <f t="shared" si="48"/>
        <v>10:09 AM</v>
      </c>
      <c r="V781" t="str">
        <f t="shared" si="49"/>
        <v>On Time</v>
      </c>
      <c r="W781" t="str">
        <f t="shared" si="50"/>
        <v>3 Hours 46 Minutes</v>
      </c>
      <c r="X781" t="str">
        <f t="shared" si="51"/>
        <v>Long Time Login</v>
      </c>
      <c r="AA781" s="35" t="s">
        <v>1067</v>
      </c>
      <c r="AB781" s="35" t="s">
        <v>234</v>
      </c>
      <c r="AC781" s="35">
        <v>46</v>
      </c>
      <c r="AD781" s="35">
        <v>81</v>
      </c>
      <c r="AE781" s="35" t="s">
        <v>25</v>
      </c>
      <c r="AF781" s="35">
        <v>4000</v>
      </c>
      <c r="AH781" s="35" t="s">
        <v>27</v>
      </c>
    </row>
    <row r="782" spans="1:34">
      <c r="A782" t="s">
        <v>1068</v>
      </c>
      <c r="B782" t="s">
        <v>379</v>
      </c>
      <c r="C782">
        <v>18</v>
      </c>
      <c r="D782" t="s">
        <v>35</v>
      </c>
      <c r="E782" t="s">
        <v>44</v>
      </c>
      <c r="F782" t="s">
        <v>31</v>
      </c>
      <c r="G782" t="s">
        <v>32</v>
      </c>
      <c r="H782">
        <v>46</v>
      </c>
      <c r="I782">
        <v>83</v>
      </c>
      <c r="J782" t="s">
        <v>25</v>
      </c>
      <c r="K782">
        <v>10000</v>
      </c>
      <c r="L782">
        <v>6030</v>
      </c>
      <c r="M782">
        <v>4000</v>
      </c>
      <c r="N782" t="s">
        <v>26</v>
      </c>
      <c r="O782" t="s">
        <v>27</v>
      </c>
      <c r="P782" s="1">
        <v>45789</v>
      </c>
      <c r="Q782" s="1">
        <v>45909</v>
      </c>
      <c r="R782" s="2">
        <v>0.36875000000000002</v>
      </c>
      <c r="S782" s="2">
        <v>0.53125</v>
      </c>
      <c r="T782" t="str" cm="1">
        <f t="array" ref="T782">_xlfn.IFS(H782&gt;=90,"A",H782&gt;=75,"B",H782&gt;=60,"C",H782&lt;60,"D")</f>
        <v>D</v>
      </c>
      <c r="U782" t="str">
        <f t="shared" si="48"/>
        <v>08:51 AM</v>
      </c>
      <c r="V782" t="str">
        <f t="shared" si="49"/>
        <v>Delayed</v>
      </c>
      <c r="W782" t="str">
        <f t="shared" si="50"/>
        <v>3 Hours 54 Minutes</v>
      </c>
      <c r="X782" t="str">
        <f t="shared" si="51"/>
        <v>Short Time Login</v>
      </c>
      <c r="AA782" s="34" t="s">
        <v>1068</v>
      </c>
      <c r="AB782" s="34" t="s">
        <v>379</v>
      </c>
      <c r="AC782" s="34">
        <v>46</v>
      </c>
      <c r="AD782" s="34">
        <v>83</v>
      </c>
      <c r="AE782" s="34" t="s">
        <v>25</v>
      </c>
      <c r="AF782" s="34">
        <v>4000</v>
      </c>
      <c r="AH782" s="34" t="s">
        <v>27</v>
      </c>
    </row>
    <row r="783" spans="1:34">
      <c r="A783" t="s">
        <v>1069</v>
      </c>
      <c r="B783" t="s">
        <v>300</v>
      </c>
      <c r="C783">
        <v>19</v>
      </c>
      <c r="D783" t="s">
        <v>35</v>
      </c>
      <c r="E783" t="s">
        <v>73</v>
      </c>
      <c r="F783" t="s">
        <v>88</v>
      </c>
      <c r="G783" t="s">
        <v>89</v>
      </c>
      <c r="H783">
        <v>35</v>
      </c>
      <c r="I783">
        <v>94</v>
      </c>
      <c r="J783" t="s">
        <v>25</v>
      </c>
      <c r="K783">
        <v>10000</v>
      </c>
      <c r="L783">
        <v>10620</v>
      </c>
      <c r="M783">
        <v>0</v>
      </c>
      <c r="N783" t="s">
        <v>11</v>
      </c>
      <c r="O783" t="s">
        <v>27</v>
      </c>
      <c r="P783" s="1">
        <v>45871</v>
      </c>
      <c r="Q783" s="1">
        <v>45991</v>
      </c>
      <c r="R783" s="2">
        <v>0.38472222222222224</v>
      </c>
      <c r="S783" s="2">
        <v>0.51041666666666663</v>
      </c>
      <c r="T783" t="str" cm="1">
        <f t="array" ref="T783">_xlfn.IFS(H783&gt;=90,"A",H783&gt;=75,"B",H783&gt;=60,"C",H783&lt;60,"D")</f>
        <v>D</v>
      </c>
      <c r="U783" t="str">
        <f t="shared" si="48"/>
        <v>09:14 AM</v>
      </c>
      <c r="V783" t="str">
        <f t="shared" si="49"/>
        <v>Delayed</v>
      </c>
      <c r="W783" t="str">
        <f t="shared" si="50"/>
        <v>3 Hours 1 Minutes</v>
      </c>
      <c r="X783" t="str">
        <f t="shared" si="51"/>
        <v>Short Time Login</v>
      </c>
      <c r="AA783" s="35" t="s">
        <v>1069</v>
      </c>
      <c r="AB783" s="35" t="s">
        <v>300</v>
      </c>
      <c r="AC783" s="35">
        <v>35</v>
      </c>
      <c r="AD783" s="35">
        <v>94</v>
      </c>
      <c r="AE783" s="35" t="s">
        <v>25</v>
      </c>
      <c r="AF783" s="35">
        <v>0</v>
      </c>
      <c r="AH783" s="35" t="s">
        <v>27</v>
      </c>
    </row>
    <row r="784" spans="1:34">
      <c r="A784" t="s">
        <v>1070</v>
      </c>
      <c r="B784" t="s">
        <v>716</v>
      </c>
      <c r="C784">
        <v>21</v>
      </c>
      <c r="D784" t="s">
        <v>35</v>
      </c>
      <c r="E784" t="s">
        <v>44</v>
      </c>
      <c r="F784" t="s">
        <v>63</v>
      </c>
      <c r="G784" t="s">
        <v>64</v>
      </c>
      <c r="H784">
        <v>86</v>
      </c>
      <c r="I784">
        <v>83</v>
      </c>
      <c r="J784" t="s">
        <v>45</v>
      </c>
      <c r="K784">
        <v>15000</v>
      </c>
      <c r="L784">
        <v>15110</v>
      </c>
      <c r="M784">
        <v>2000</v>
      </c>
      <c r="N784" t="s">
        <v>26</v>
      </c>
      <c r="O784" t="s">
        <v>27</v>
      </c>
      <c r="P784" s="1">
        <v>45747</v>
      </c>
      <c r="Q784" s="1">
        <v>45777</v>
      </c>
      <c r="R784" s="2">
        <v>0.3840277777777778</v>
      </c>
      <c r="S784" s="2">
        <v>0.56527777777777777</v>
      </c>
      <c r="T784" t="str" cm="1">
        <f t="array" ref="T784">_xlfn.IFS(H784&gt;=90,"A",H784&gt;=75,"B",H784&gt;=60,"C",H784&lt;60,"D")</f>
        <v>B</v>
      </c>
      <c r="U784" t="str">
        <f t="shared" si="48"/>
        <v>09:13 AM</v>
      </c>
      <c r="V784" t="str">
        <f t="shared" si="49"/>
        <v>On Time</v>
      </c>
      <c r="W784" t="str">
        <f t="shared" si="50"/>
        <v>4 Hours 21 Minutes</v>
      </c>
      <c r="X784" t="str">
        <f t="shared" si="51"/>
        <v>Short Time Login</v>
      </c>
      <c r="AA784" s="34" t="s">
        <v>1070</v>
      </c>
      <c r="AB784" s="34" t="s">
        <v>716</v>
      </c>
      <c r="AC784" s="34">
        <v>86</v>
      </c>
      <c r="AD784" s="34">
        <v>83</v>
      </c>
      <c r="AE784" s="34" t="s">
        <v>45</v>
      </c>
      <c r="AF784" s="34">
        <v>2000</v>
      </c>
      <c r="AH784" s="34" t="s">
        <v>27</v>
      </c>
    </row>
    <row r="785" spans="1:34">
      <c r="A785" t="s">
        <v>1071</v>
      </c>
      <c r="B785" t="s">
        <v>197</v>
      </c>
      <c r="C785">
        <v>27</v>
      </c>
      <c r="D785" t="s">
        <v>35</v>
      </c>
      <c r="E785" t="s">
        <v>122</v>
      </c>
      <c r="F785" t="s">
        <v>88</v>
      </c>
      <c r="G785" t="s">
        <v>89</v>
      </c>
      <c r="H785">
        <v>42</v>
      </c>
      <c r="I785">
        <v>73</v>
      </c>
      <c r="J785" t="s">
        <v>25</v>
      </c>
      <c r="K785">
        <v>20000</v>
      </c>
      <c r="L785">
        <v>21830</v>
      </c>
      <c r="M785">
        <v>0</v>
      </c>
      <c r="N785" t="s">
        <v>11</v>
      </c>
      <c r="O785" t="s">
        <v>27</v>
      </c>
      <c r="P785" s="1">
        <v>45744</v>
      </c>
      <c r="Q785" s="1">
        <v>45864</v>
      </c>
      <c r="R785" s="2">
        <v>0.45</v>
      </c>
      <c r="S785" s="2">
        <v>0.5180555555555556</v>
      </c>
      <c r="T785" t="str" cm="1">
        <f t="array" ref="T785">_xlfn.IFS(H785&gt;=90,"A",H785&gt;=75,"B",H785&gt;=60,"C",H785&lt;60,"D")</f>
        <v>D</v>
      </c>
      <c r="U785" t="str">
        <f t="shared" si="48"/>
        <v>10:48 AM</v>
      </c>
      <c r="V785" t="str">
        <f t="shared" si="49"/>
        <v>Delayed</v>
      </c>
      <c r="W785" t="str">
        <f t="shared" si="50"/>
        <v>1 Hours 38 Minutes</v>
      </c>
      <c r="X785" t="str">
        <f t="shared" si="51"/>
        <v>Long Time Login</v>
      </c>
      <c r="AA785" s="35" t="s">
        <v>1071</v>
      </c>
      <c r="AB785" s="35" t="s">
        <v>197</v>
      </c>
      <c r="AC785" s="35">
        <v>42</v>
      </c>
      <c r="AD785" s="35">
        <v>73</v>
      </c>
      <c r="AE785" s="35" t="s">
        <v>25</v>
      </c>
      <c r="AF785" s="35">
        <v>0</v>
      </c>
      <c r="AH785" s="35" t="s">
        <v>27</v>
      </c>
    </row>
    <row r="786" spans="1:34">
      <c r="A786" t="s">
        <v>1072</v>
      </c>
      <c r="B786" t="s">
        <v>938</v>
      </c>
      <c r="C786">
        <v>18</v>
      </c>
      <c r="D786" t="s">
        <v>35</v>
      </c>
      <c r="E786" t="s">
        <v>36</v>
      </c>
      <c r="F786" t="s">
        <v>63</v>
      </c>
      <c r="G786" t="s">
        <v>64</v>
      </c>
      <c r="H786">
        <v>48</v>
      </c>
      <c r="I786">
        <v>65</v>
      </c>
      <c r="J786" t="s">
        <v>25</v>
      </c>
      <c r="K786">
        <v>12000</v>
      </c>
      <c r="L786">
        <v>10160</v>
      </c>
      <c r="M786">
        <v>4000</v>
      </c>
      <c r="N786" t="s">
        <v>26</v>
      </c>
      <c r="O786" t="s">
        <v>127</v>
      </c>
      <c r="P786" s="1">
        <v>45715</v>
      </c>
      <c r="Q786" s="1">
        <v>45775</v>
      </c>
      <c r="R786" s="2">
        <v>0.42083333333333334</v>
      </c>
      <c r="S786" s="2">
        <v>0.52847222222222223</v>
      </c>
      <c r="T786" t="str" cm="1">
        <f t="array" ref="T786">_xlfn.IFS(H786&gt;=90,"A",H786&gt;=75,"B",H786&gt;=60,"C",H786&lt;60,"D")</f>
        <v>D</v>
      </c>
      <c r="U786" t="str">
        <f t="shared" si="48"/>
        <v>10:06 AM</v>
      </c>
      <c r="V786" t="str">
        <f t="shared" si="49"/>
        <v>On Time</v>
      </c>
      <c r="W786" t="str">
        <f t="shared" si="50"/>
        <v>2 Hours 35 Minutes</v>
      </c>
      <c r="X786" t="str">
        <f t="shared" si="51"/>
        <v>Long Time Login</v>
      </c>
      <c r="AA786" s="34" t="s">
        <v>1072</v>
      </c>
      <c r="AB786" s="34" t="s">
        <v>938</v>
      </c>
      <c r="AC786" s="34">
        <v>48</v>
      </c>
      <c r="AD786" s="34">
        <v>65</v>
      </c>
      <c r="AE786" s="34" t="s">
        <v>25</v>
      </c>
      <c r="AF786" s="34">
        <v>4000</v>
      </c>
      <c r="AH786" s="34" t="s">
        <v>127</v>
      </c>
    </row>
    <row r="787" spans="1:34">
      <c r="A787" t="s">
        <v>1073</v>
      </c>
      <c r="B787" t="s">
        <v>83</v>
      </c>
      <c r="C787">
        <v>19</v>
      </c>
      <c r="D787" t="s">
        <v>21</v>
      </c>
      <c r="E787" t="s">
        <v>44</v>
      </c>
      <c r="F787" t="s">
        <v>53</v>
      </c>
      <c r="G787" t="s">
        <v>54</v>
      </c>
      <c r="H787">
        <v>58</v>
      </c>
      <c r="I787">
        <v>72</v>
      </c>
      <c r="J787" t="s">
        <v>25</v>
      </c>
      <c r="K787">
        <v>10000</v>
      </c>
      <c r="L787">
        <v>9210</v>
      </c>
      <c r="M787">
        <v>2000</v>
      </c>
      <c r="N787" t="s">
        <v>26</v>
      </c>
      <c r="O787" t="s">
        <v>27</v>
      </c>
      <c r="P787" s="1">
        <v>45794</v>
      </c>
      <c r="Q787" s="1">
        <v>45974</v>
      </c>
      <c r="R787" s="2">
        <v>0.42222222222222222</v>
      </c>
      <c r="S787" s="2">
        <v>0.59375</v>
      </c>
      <c r="T787" t="str" cm="1">
        <f t="array" ref="T787">_xlfn.IFS(H787&gt;=90,"A",H787&gt;=75,"B",H787&gt;=60,"C",H787&lt;60,"D")</f>
        <v>D</v>
      </c>
      <c r="U787" t="str">
        <f t="shared" si="48"/>
        <v>10:08 AM</v>
      </c>
      <c r="V787" t="str">
        <f t="shared" si="49"/>
        <v>Delayed</v>
      </c>
      <c r="W787" t="str">
        <f t="shared" si="50"/>
        <v>4 Hours 7 Minutes</v>
      </c>
      <c r="X787" t="str">
        <f t="shared" si="51"/>
        <v>Long Time Login</v>
      </c>
      <c r="AA787" s="35" t="s">
        <v>1073</v>
      </c>
      <c r="AB787" s="35" t="s">
        <v>83</v>
      </c>
      <c r="AC787" s="35">
        <v>58</v>
      </c>
      <c r="AD787" s="35">
        <v>72</v>
      </c>
      <c r="AE787" s="35" t="s">
        <v>25</v>
      </c>
      <c r="AF787" s="35">
        <v>2000</v>
      </c>
      <c r="AH787" s="35" t="s">
        <v>27</v>
      </c>
    </row>
    <row r="788" spans="1:34">
      <c r="A788" t="s">
        <v>1074</v>
      </c>
      <c r="B788" t="s">
        <v>47</v>
      </c>
      <c r="C788">
        <v>28</v>
      </c>
      <c r="D788" t="s">
        <v>21</v>
      </c>
      <c r="E788" t="s">
        <v>22</v>
      </c>
      <c r="F788" t="s">
        <v>57</v>
      </c>
      <c r="G788" t="s">
        <v>58</v>
      </c>
      <c r="H788">
        <v>71</v>
      </c>
      <c r="I788">
        <v>84</v>
      </c>
      <c r="J788" t="s">
        <v>68</v>
      </c>
      <c r="K788">
        <v>20000</v>
      </c>
      <c r="L788">
        <v>19830</v>
      </c>
      <c r="M788">
        <v>2000</v>
      </c>
      <c r="N788" t="s">
        <v>26</v>
      </c>
      <c r="O788" t="s">
        <v>27</v>
      </c>
      <c r="P788" s="1">
        <v>45974</v>
      </c>
      <c r="Q788" s="1">
        <v>46064</v>
      </c>
      <c r="R788" s="2">
        <v>0.43541666666666667</v>
      </c>
      <c r="S788" s="2">
        <v>0.6020833333333333</v>
      </c>
      <c r="T788" t="str" cm="1">
        <f t="array" ref="T788">_xlfn.IFS(H788&gt;=90,"A",H788&gt;=75,"B",H788&gt;=60,"C",H788&lt;60,"D")</f>
        <v>C</v>
      </c>
      <c r="U788" t="str">
        <f t="shared" si="48"/>
        <v>10:27 AM</v>
      </c>
      <c r="V788" t="str">
        <f t="shared" si="49"/>
        <v>On Time</v>
      </c>
      <c r="W788" t="str">
        <f t="shared" si="50"/>
        <v>4 Hours 0 Minutes</v>
      </c>
      <c r="X788" t="str">
        <f t="shared" si="51"/>
        <v>Long Time Login</v>
      </c>
      <c r="AA788" s="34" t="s">
        <v>1074</v>
      </c>
      <c r="AB788" s="34" t="s">
        <v>47</v>
      </c>
      <c r="AC788" s="34">
        <v>71</v>
      </c>
      <c r="AD788" s="34">
        <v>84</v>
      </c>
      <c r="AE788" s="34" t="s">
        <v>68</v>
      </c>
      <c r="AF788" s="34">
        <v>2000</v>
      </c>
      <c r="AH788" s="34" t="s">
        <v>27</v>
      </c>
    </row>
    <row r="789" spans="1:34">
      <c r="A789" t="s">
        <v>1075</v>
      </c>
      <c r="B789" t="s">
        <v>562</v>
      </c>
      <c r="C789">
        <v>23</v>
      </c>
      <c r="D789" t="s">
        <v>35</v>
      </c>
      <c r="E789" t="s">
        <v>67</v>
      </c>
      <c r="F789" t="s">
        <v>88</v>
      </c>
      <c r="G789" t="s">
        <v>89</v>
      </c>
      <c r="H789">
        <v>48</v>
      </c>
      <c r="I789">
        <v>89</v>
      </c>
      <c r="J789" t="s">
        <v>25</v>
      </c>
      <c r="K789">
        <v>10000</v>
      </c>
      <c r="L789">
        <v>8620</v>
      </c>
      <c r="M789">
        <v>2000</v>
      </c>
      <c r="N789" t="s">
        <v>26</v>
      </c>
      <c r="O789" t="s">
        <v>27</v>
      </c>
      <c r="P789" s="1">
        <v>45960</v>
      </c>
      <c r="Q789" s="1">
        <v>46140</v>
      </c>
      <c r="R789" s="2">
        <v>0.45694444444444443</v>
      </c>
      <c r="S789" s="2">
        <v>0.59375</v>
      </c>
      <c r="T789" t="str" cm="1">
        <f t="array" ref="T789">_xlfn.IFS(H789&gt;=90,"A",H789&gt;=75,"B",H789&gt;=60,"C",H789&lt;60,"D")</f>
        <v>D</v>
      </c>
      <c r="U789" t="str">
        <f t="shared" si="48"/>
        <v>10:58 AM</v>
      </c>
      <c r="V789" t="str">
        <f t="shared" si="49"/>
        <v>Delayed</v>
      </c>
      <c r="W789" t="str">
        <f t="shared" si="50"/>
        <v>3 Hours 17 Minutes</v>
      </c>
      <c r="X789" t="str">
        <f t="shared" si="51"/>
        <v>Long Time Login</v>
      </c>
      <c r="AA789" s="35" t="s">
        <v>1075</v>
      </c>
      <c r="AB789" s="35" t="s">
        <v>562</v>
      </c>
      <c r="AC789" s="35">
        <v>48</v>
      </c>
      <c r="AD789" s="35">
        <v>89</v>
      </c>
      <c r="AE789" s="35" t="s">
        <v>25</v>
      </c>
      <c r="AF789" s="35">
        <v>2000</v>
      </c>
      <c r="AH789" s="35" t="s">
        <v>27</v>
      </c>
    </row>
    <row r="790" spans="1:34">
      <c r="A790" t="s">
        <v>1076</v>
      </c>
      <c r="B790" t="s">
        <v>110</v>
      </c>
      <c r="C790">
        <v>25</v>
      </c>
      <c r="D790" t="s">
        <v>21</v>
      </c>
      <c r="E790" t="s">
        <v>122</v>
      </c>
      <c r="F790" t="s">
        <v>40</v>
      </c>
      <c r="G790" t="s">
        <v>41</v>
      </c>
      <c r="H790">
        <v>48</v>
      </c>
      <c r="I790">
        <v>83</v>
      </c>
      <c r="J790" t="s">
        <v>25</v>
      </c>
      <c r="K790">
        <v>20000</v>
      </c>
      <c r="L790">
        <v>17830</v>
      </c>
      <c r="M790">
        <v>4000</v>
      </c>
      <c r="N790" t="s">
        <v>26</v>
      </c>
      <c r="O790" t="s">
        <v>27</v>
      </c>
      <c r="P790" s="1">
        <v>45941</v>
      </c>
      <c r="Q790" s="1">
        <v>46001</v>
      </c>
      <c r="R790" s="2">
        <v>0.40069444444444446</v>
      </c>
      <c r="S790" s="2">
        <v>0.58402777777777781</v>
      </c>
      <c r="T790" t="str" cm="1">
        <f t="array" ref="T790">_xlfn.IFS(H790&gt;=90,"A",H790&gt;=75,"B",H790&gt;=60,"C",H790&lt;60,"D")</f>
        <v>D</v>
      </c>
      <c r="U790" t="str">
        <f t="shared" si="48"/>
        <v>09:37 AM</v>
      </c>
      <c r="V790" t="str">
        <f t="shared" si="49"/>
        <v>On Time</v>
      </c>
      <c r="W790" t="str">
        <f t="shared" si="50"/>
        <v>4 Hours 24 Minutes</v>
      </c>
      <c r="X790" t="str">
        <f t="shared" si="51"/>
        <v>Short Time Login</v>
      </c>
      <c r="AA790" s="34" t="s">
        <v>1076</v>
      </c>
      <c r="AB790" s="34" t="s">
        <v>110</v>
      </c>
      <c r="AC790" s="34">
        <v>48</v>
      </c>
      <c r="AD790" s="34">
        <v>83</v>
      </c>
      <c r="AE790" s="34" t="s">
        <v>25</v>
      </c>
      <c r="AF790" s="34">
        <v>4000</v>
      </c>
      <c r="AH790" s="34" t="s">
        <v>27</v>
      </c>
    </row>
    <row r="791" spans="1:34">
      <c r="A791" t="s">
        <v>1077</v>
      </c>
      <c r="B791" t="s">
        <v>261</v>
      </c>
      <c r="C791">
        <v>27</v>
      </c>
      <c r="D791" t="s">
        <v>35</v>
      </c>
      <c r="E791" t="s">
        <v>22</v>
      </c>
      <c r="F791" t="s">
        <v>40</v>
      </c>
      <c r="G791" t="s">
        <v>41</v>
      </c>
      <c r="H791">
        <v>67</v>
      </c>
      <c r="I791">
        <v>91</v>
      </c>
      <c r="J791" t="s">
        <v>68</v>
      </c>
      <c r="K791">
        <v>15000</v>
      </c>
      <c r="L791">
        <v>13700</v>
      </c>
      <c r="M791">
        <v>4000</v>
      </c>
      <c r="N791" t="s">
        <v>26</v>
      </c>
      <c r="O791" t="s">
        <v>27</v>
      </c>
      <c r="P791" s="1">
        <v>45813</v>
      </c>
      <c r="Q791" s="1">
        <v>45843</v>
      </c>
      <c r="R791" s="2">
        <v>0.38472222222222224</v>
      </c>
      <c r="S791" s="2">
        <v>0.52569444444444446</v>
      </c>
      <c r="T791" t="str" cm="1">
        <f t="array" ref="T791">_xlfn.IFS(H791&gt;=90,"A",H791&gt;=75,"B",H791&gt;=60,"C",H791&lt;60,"D")</f>
        <v>C</v>
      </c>
      <c r="U791" t="str">
        <f t="shared" si="48"/>
        <v>09:14 AM</v>
      </c>
      <c r="V791" t="str">
        <f t="shared" si="49"/>
        <v>On Time</v>
      </c>
      <c r="W791" t="str">
        <f t="shared" si="50"/>
        <v>3 Hours 23 Minutes</v>
      </c>
      <c r="X791" t="str">
        <f t="shared" si="51"/>
        <v>Short Time Login</v>
      </c>
      <c r="AA791" s="35" t="s">
        <v>1077</v>
      </c>
      <c r="AB791" s="35" t="s">
        <v>261</v>
      </c>
      <c r="AC791" s="35">
        <v>67</v>
      </c>
      <c r="AD791" s="35">
        <v>91</v>
      </c>
      <c r="AE791" s="35" t="s">
        <v>68</v>
      </c>
      <c r="AF791" s="35">
        <v>4000</v>
      </c>
      <c r="AH791" s="35" t="s">
        <v>27</v>
      </c>
    </row>
    <row r="792" spans="1:34">
      <c r="A792" t="s">
        <v>1078</v>
      </c>
      <c r="B792" t="s">
        <v>510</v>
      </c>
      <c r="C792">
        <v>28</v>
      </c>
      <c r="D792" t="s">
        <v>21</v>
      </c>
      <c r="E792" t="s">
        <v>96</v>
      </c>
      <c r="F792" t="s">
        <v>49</v>
      </c>
      <c r="G792" t="s">
        <v>50</v>
      </c>
      <c r="H792">
        <v>38</v>
      </c>
      <c r="I792">
        <v>71</v>
      </c>
      <c r="J792" t="s">
        <v>25</v>
      </c>
      <c r="K792">
        <v>20000</v>
      </c>
      <c r="L792">
        <v>19010</v>
      </c>
      <c r="M792">
        <v>4000</v>
      </c>
      <c r="N792" t="s">
        <v>26</v>
      </c>
      <c r="O792" t="s">
        <v>27</v>
      </c>
      <c r="P792" s="1">
        <v>45833</v>
      </c>
      <c r="Q792" s="1">
        <v>45893</v>
      </c>
      <c r="R792" s="2">
        <v>0.35486111111111113</v>
      </c>
      <c r="S792" s="2">
        <v>0.52916666666666667</v>
      </c>
      <c r="T792" t="str" cm="1">
        <f t="array" ref="T792">_xlfn.IFS(H792&gt;=90,"A",H792&gt;=75,"B",H792&gt;=60,"C",H792&lt;60,"D")</f>
        <v>D</v>
      </c>
      <c r="U792" t="str">
        <f t="shared" si="48"/>
        <v>08:31 AM</v>
      </c>
      <c r="V792" t="str">
        <f t="shared" si="49"/>
        <v>On Time</v>
      </c>
      <c r="W792" t="str">
        <f t="shared" si="50"/>
        <v>4 Hours 11 Minutes</v>
      </c>
      <c r="X792" t="str">
        <f t="shared" si="51"/>
        <v>Short Time Login</v>
      </c>
      <c r="AA792" s="34" t="s">
        <v>1078</v>
      </c>
      <c r="AB792" s="34" t="s">
        <v>510</v>
      </c>
      <c r="AC792" s="34">
        <v>38</v>
      </c>
      <c r="AD792" s="34">
        <v>71</v>
      </c>
      <c r="AE792" s="34" t="s">
        <v>25</v>
      </c>
      <c r="AF792" s="34">
        <v>4000</v>
      </c>
      <c r="AH792" s="34" t="s">
        <v>27</v>
      </c>
    </row>
    <row r="793" spans="1:34">
      <c r="A793" t="s">
        <v>1079</v>
      </c>
      <c r="B793" t="s">
        <v>134</v>
      </c>
      <c r="C793">
        <v>25</v>
      </c>
      <c r="D793" t="s">
        <v>21</v>
      </c>
      <c r="E793" t="s">
        <v>67</v>
      </c>
      <c r="F793" t="s">
        <v>23</v>
      </c>
      <c r="G793" t="s">
        <v>24</v>
      </c>
      <c r="H793">
        <v>88</v>
      </c>
      <c r="I793">
        <v>99</v>
      </c>
      <c r="J793" t="s">
        <v>45</v>
      </c>
      <c r="K793">
        <v>12000</v>
      </c>
      <c r="L793">
        <v>10160</v>
      </c>
      <c r="M793">
        <v>4000</v>
      </c>
      <c r="N793" t="s">
        <v>26</v>
      </c>
      <c r="O793" t="s">
        <v>27</v>
      </c>
      <c r="P793" s="1">
        <v>45977</v>
      </c>
      <c r="Q793" s="1">
        <v>46037</v>
      </c>
      <c r="R793" s="2">
        <v>0.37430555555555556</v>
      </c>
      <c r="S793" s="2">
        <v>0.54166666666666663</v>
      </c>
      <c r="T793" t="str" cm="1">
        <f t="array" ref="T793">_xlfn.IFS(H793&gt;=90,"A",H793&gt;=75,"B",H793&gt;=60,"C",H793&lt;60,"D")</f>
        <v>B</v>
      </c>
      <c r="U793" t="str">
        <f t="shared" si="48"/>
        <v>08:59 AM</v>
      </c>
      <c r="V793" t="str">
        <f t="shared" si="49"/>
        <v>On Time</v>
      </c>
      <c r="W793" t="str">
        <f t="shared" si="50"/>
        <v>4 Hours 1 Minutes</v>
      </c>
      <c r="X793" t="str">
        <f t="shared" si="51"/>
        <v>Short Time Login</v>
      </c>
      <c r="AA793" s="35" t="s">
        <v>1079</v>
      </c>
      <c r="AB793" s="35" t="s">
        <v>134</v>
      </c>
      <c r="AC793" s="35">
        <v>88</v>
      </c>
      <c r="AD793" s="35">
        <v>99</v>
      </c>
      <c r="AE793" s="35" t="s">
        <v>45</v>
      </c>
      <c r="AF793" s="35">
        <v>4000</v>
      </c>
      <c r="AH793" s="35" t="s">
        <v>27</v>
      </c>
    </row>
    <row r="794" spans="1:34">
      <c r="A794" t="s">
        <v>1080</v>
      </c>
      <c r="B794" t="s">
        <v>693</v>
      </c>
      <c r="C794">
        <v>20</v>
      </c>
      <c r="D794" t="s">
        <v>35</v>
      </c>
      <c r="E794" t="s">
        <v>39</v>
      </c>
      <c r="F794" t="s">
        <v>40</v>
      </c>
      <c r="G794" t="s">
        <v>41</v>
      </c>
      <c r="H794">
        <v>70</v>
      </c>
      <c r="I794">
        <v>90</v>
      </c>
      <c r="J794" t="s">
        <v>68</v>
      </c>
      <c r="K794">
        <v>12000</v>
      </c>
      <c r="L794">
        <v>10980</v>
      </c>
      <c r="M794">
        <v>2000</v>
      </c>
      <c r="N794" t="s">
        <v>26</v>
      </c>
      <c r="O794" t="s">
        <v>27</v>
      </c>
      <c r="P794" s="1">
        <v>45660</v>
      </c>
      <c r="Q794" s="1">
        <v>45690</v>
      </c>
      <c r="R794" s="2">
        <v>0.45208333333333334</v>
      </c>
      <c r="S794" s="2">
        <v>0.58472222222222225</v>
      </c>
      <c r="T794" t="str" cm="1">
        <f t="array" ref="T794">_xlfn.IFS(H794&gt;=90,"A",H794&gt;=75,"B",H794&gt;=60,"C",H794&lt;60,"D")</f>
        <v>C</v>
      </c>
      <c r="U794" t="str">
        <f t="shared" si="48"/>
        <v>10:51 AM</v>
      </c>
      <c r="V794" t="str">
        <f t="shared" si="49"/>
        <v>On Time</v>
      </c>
      <c r="W794" t="str">
        <f t="shared" si="50"/>
        <v>3 Hours 11 Minutes</v>
      </c>
      <c r="X794" t="str">
        <f t="shared" si="51"/>
        <v>Long Time Login</v>
      </c>
      <c r="AA794" s="34" t="s">
        <v>1080</v>
      </c>
      <c r="AB794" s="34" t="s">
        <v>693</v>
      </c>
      <c r="AC794" s="34">
        <v>70</v>
      </c>
      <c r="AD794" s="34">
        <v>90</v>
      </c>
      <c r="AE794" s="34" t="s">
        <v>68</v>
      </c>
      <c r="AF794" s="34">
        <v>2000</v>
      </c>
      <c r="AH794" s="34" t="s">
        <v>27</v>
      </c>
    </row>
    <row r="795" spans="1:34">
      <c r="A795" t="s">
        <v>1081</v>
      </c>
      <c r="B795" t="s">
        <v>61</v>
      </c>
      <c r="C795">
        <v>18</v>
      </c>
      <c r="D795" t="s">
        <v>35</v>
      </c>
      <c r="E795" t="s">
        <v>67</v>
      </c>
      <c r="F795" t="s">
        <v>40</v>
      </c>
      <c r="G795" t="s">
        <v>41</v>
      </c>
      <c r="H795">
        <v>52</v>
      </c>
      <c r="I795">
        <v>96</v>
      </c>
      <c r="J795" t="s">
        <v>25</v>
      </c>
      <c r="K795">
        <v>12000</v>
      </c>
      <c r="L795">
        <v>13570</v>
      </c>
      <c r="M795">
        <v>0</v>
      </c>
      <c r="N795" t="s">
        <v>11</v>
      </c>
      <c r="O795" t="s">
        <v>27</v>
      </c>
      <c r="P795" s="1">
        <v>45808</v>
      </c>
      <c r="Q795" s="1">
        <v>45898</v>
      </c>
      <c r="R795" s="2">
        <v>0.3611111111111111</v>
      </c>
      <c r="S795" s="2">
        <v>0.47569444444444442</v>
      </c>
      <c r="T795" t="str" cm="1">
        <f t="array" ref="T795">_xlfn.IFS(H795&gt;=90,"A",H795&gt;=75,"B",H795&gt;=60,"C",H795&lt;60,"D")</f>
        <v>D</v>
      </c>
      <c r="U795" t="str">
        <f t="shared" si="48"/>
        <v>08:40 AM</v>
      </c>
      <c r="V795" t="str">
        <f t="shared" si="49"/>
        <v>On Time</v>
      </c>
      <c r="W795" t="str">
        <f t="shared" si="50"/>
        <v>2 Hours 45 Minutes</v>
      </c>
      <c r="X795" t="str">
        <f t="shared" si="51"/>
        <v>Short Time Login</v>
      </c>
      <c r="AA795" s="35" t="s">
        <v>1081</v>
      </c>
      <c r="AB795" s="35" t="s">
        <v>61</v>
      </c>
      <c r="AC795" s="35">
        <v>52</v>
      </c>
      <c r="AD795" s="35">
        <v>96</v>
      </c>
      <c r="AE795" s="35" t="s">
        <v>25</v>
      </c>
      <c r="AF795" s="35">
        <v>0</v>
      </c>
      <c r="AH795" s="35" t="s">
        <v>27</v>
      </c>
    </row>
    <row r="796" spans="1:34">
      <c r="A796" t="s">
        <v>1082</v>
      </c>
      <c r="B796" t="s">
        <v>266</v>
      </c>
      <c r="C796">
        <v>23</v>
      </c>
      <c r="D796" t="s">
        <v>21</v>
      </c>
      <c r="E796" t="s">
        <v>36</v>
      </c>
      <c r="F796" t="s">
        <v>40</v>
      </c>
      <c r="G796" t="s">
        <v>41</v>
      </c>
      <c r="H796">
        <v>91</v>
      </c>
      <c r="I796">
        <v>100</v>
      </c>
      <c r="J796" t="s">
        <v>59</v>
      </c>
      <c r="K796">
        <v>12000</v>
      </c>
      <c r="L796">
        <v>10980</v>
      </c>
      <c r="M796">
        <v>2000</v>
      </c>
      <c r="N796" t="s">
        <v>26</v>
      </c>
      <c r="O796" t="s">
        <v>27</v>
      </c>
      <c r="P796" s="1">
        <v>46007</v>
      </c>
      <c r="Q796" s="1">
        <v>46037</v>
      </c>
      <c r="R796" s="2">
        <v>0.36041666666666666</v>
      </c>
      <c r="S796" s="2">
        <v>0.41666666666666669</v>
      </c>
      <c r="T796" t="str" cm="1">
        <f t="array" ref="T796">_xlfn.IFS(H796&gt;=90,"A",H796&gt;=75,"B",H796&gt;=60,"C",H796&lt;60,"D")</f>
        <v>A</v>
      </c>
      <c r="U796" t="str">
        <f t="shared" si="48"/>
        <v>08:39 AM</v>
      </c>
      <c r="V796" t="str">
        <f t="shared" si="49"/>
        <v>On Time</v>
      </c>
      <c r="W796" t="str">
        <f t="shared" si="50"/>
        <v>1 Hours 21 Minutes</v>
      </c>
      <c r="X796" t="str">
        <f t="shared" si="51"/>
        <v>Short Time Login</v>
      </c>
      <c r="AA796" s="34" t="s">
        <v>1082</v>
      </c>
      <c r="AB796" s="34" t="s">
        <v>266</v>
      </c>
      <c r="AC796" s="34">
        <v>91</v>
      </c>
      <c r="AD796" s="34">
        <v>100</v>
      </c>
      <c r="AE796" s="34" t="s">
        <v>59</v>
      </c>
      <c r="AF796" s="34">
        <v>2000</v>
      </c>
      <c r="AH796" s="34" t="s">
        <v>27</v>
      </c>
    </row>
    <row r="797" spans="1:34">
      <c r="A797" t="s">
        <v>1083</v>
      </c>
      <c r="B797" t="s">
        <v>232</v>
      </c>
      <c r="C797">
        <v>21</v>
      </c>
      <c r="D797" t="s">
        <v>35</v>
      </c>
      <c r="E797" t="s">
        <v>48</v>
      </c>
      <c r="F797" t="s">
        <v>88</v>
      </c>
      <c r="G797" t="s">
        <v>89</v>
      </c>
      <c r="H797">
        <v>98</v>
      </c>
      <c r="I797">
        <v>82</v>
      </c>
      <c r="J797" t="s">
        <v>59</v>
      </c>
      <c r="K797">
        <v>20000</v>
      </c>
      <c r="L797">
        <v>19600</v>
      </c>
      <c r="M797">
        <v>4000</v>
      </c>
      <c r="N797" t="s">
        <v>26</v>
      </c>
      <c r="O797" t="s">
        <v>27</v>
      </c>
      <c r="P797" s="1">
        <v>45786</v>
      </c>
      <c r="Q797" s="1">
        <v>45906</v>
      </c>
      <c r="R797" s="2">
        <v>0.35416666666666669</v>
      </c>
      <c r="S797" s="2">
        <v>0.46805555555555556</v>
      </c>
      <c r="T797" t="str" cm="1">
        <f t="array" ref="T797">_xlfn.IFS(H797&gt;=90,"A",H797&gt;=75,"B",H797&gt;=60,"C",H797&lt;60,"D")</f>
        <v>A</v>
      </c>
      <c r="U797" t="str">
        <f t="shared" si="48"/>
        <v>08:30 AM</v>
      </c>
      <c r="V797" t="str">
        <f t="shared" si="49"/>
        <v>Delayed</v>
      </c>
      <c r="W797" t="str">
        <f t="shared" si="50"/>
        <v>2 Hours 44 Minutes</v>
      </c>
      <c r="X797" t="str">
        <f t="shared" si="51"/>
        <v>Short Time Login</v>
      </c>
      <c r="AA797" s="35" t="s">
        <v>1083</v>
      </c>
      <c r="AB797" s="35" t="s">
        <v>232</v>
      </c>
      <c r="AC797" s="35">
        <v>98</v>
      </c>
      <c r="AD797" s="35">
        <v>82</v>
      </c>
      <c r="AE797" s="35" t="s">
        <v>59</v>
      </c>
      <c r="AF797" s="35">
        <v>4000</v>
      </c>
      <c r="AH797" s="35" t="s">
        <v>27</v>
      </c>
    </row>
    <row r="798" spans="1:34">
      <c r="A798" t="s">
        <v>1084</v>
      </c>
      <c r="B798" t="s">
        <v>683</v>
      </c>
      <c r="C798">
        <v>18</v>
      </c>
      <c r="D798" t="s">
        <v>21</v>
      </c>
      <c r="E798" t="s">
        <v>30</v>
      </c>
      <c r="F798" t="s">
        <v>53</v>
      </c>
      <c r="G798" t="s">
        <v>54</v>
      </c>
      <c r="H798">
        <v>61</v>
      </c>
      <c r="I798">
        <v>99</v>
      </c>
      <c r="J798" t="s">
        <v>68</v>
      </c>
      <c r="K798">
        <v>15000</v>
      </c>
      <c r="L798">
        <v>12520</v>
      </c>
      <c r="M798">
        <v>4000</v>
      </c>
      <c r="N798" t="s">
        <v>26</v>
      </c>
      <c r="O798" t="s">
        <v>27</v>
      </c>
      <c r="P798" s="1">
        <v>45903</v>
      </c>
      <c r="Q798" s="1">
        <v>46023</v>
      </c>
      <c r="R798" s="2">
        <v>0.43958333333333333</v>
      </c>
      <c r="S798" s="2">
        <v>0.61111111111111116</v>
      </c>
      <c r="T798" t="str" cm="1">
        <f t="array" ref="T798">_xlfn.IFS(H798&gt;=90,"A",H798&gt;=75,"B",H798&gt;=60,"C",H798&lt;60,"D")</f>
        <v>C</v>
      </c>
      <c r="U798" t="str">
        <f t="shared" si="48"/>
        <v>10:33 AM</v>
      </c>
      <c r="V798" t="str">
        <f t="shared" si="49"/>
        <v>Delayed</v>
      </c>
      <c r="W798" t="str">
        <f t="shared" si="50"/>
        <v>4 Hours 7 Minutes</v>
      </c>
      <c r="X798" t="str">
        <f t="shared" si="51"/>
        <v>Long Time Login</v>
      </c>
      <c r="AA798" s="34" t="s">
        <v>1084</v>
      </c>
      <c r="AB798" s="34" t="s">
        <v>683</v>
      </c>
      <c r="AC798" s="34">
        <v>61</v>
      </c>
      <c r="AD798" s="34">
        <v>99</v>
      </c>
      <c r="AE798" s="34" t="s">
        <v>68</v>
      </c>
      <c r="AF798" s="34">
        <v>4000</v>
      </c>
      <c r="AH798" s="34" t="s">
        <v>27</v>
      </c>
    </row>
    <row r="799" spans="1:34">
      <c r="A799" t="s">
        <v>1085</v>
      </c>
      <c r="B799" t="s">
        <v>907</v>
      </c>
      <c r="C799">
        <v>19</v>
      </c>
      <c r="D799" t="s">
        <v>21</v>
      </c>
      <c r="E799" t="s">
        <v>113</v>
      </c>
      <c r="F799" t="s">
        <v>23</v>
      </c>
      <c r="G799" t="s">
        <v>24</v>
      </c>
      <c r="H799">
        <v>53</v>
      </c>
      <c r="I799">
        <v>81</v>
      </c>
      <c r="J799" t="s">
        <v>25</v>
      </c>
      <c r="K799">
        <v>12000</v>
      </c>
      <c r="L799">
        <v>10980</v>
      </c>
      <c r="M799">
        <v>2000</v>
      </c>
      <c r="N799" t="s">
        <v>26</v>
      </c>
      <c r="O799" t="s">
        <v>27</v>
      </c>
      <c r="P799" s="1">
        <v>45658</v>
      </c>
      <c r="Q799" s="1">
        <v>45718</v>
      </c>
      <c r="R799" s="2">
        <v>0.42499999999999999</v>
      </c>
      <c r="S799" s="2">
        <v>0.50972222222222219</v>
      </c>
      <c r="T799" t="str" cm="1">
        <f t="array" ref="T799">_xlfn.IFS(H799&gt;=90,"A",H799&gt;=75,"B",H799&gt;=60,"C",H799&lt;60,"D")</f>
        <v>D</v>
      </c>
      <c r="U799" t="str">
        <f t="shared" si="48"/>
        <v>10:12 AM</v>
      </c>
      <c r="V799" t="str">
        <f t="shared" si="49"/>
        <v>On Time</v>
      </c>
      <c r="W799" t="str">
        <f t="shared" si="50"/>
        <v>2 Hours 2 Minutes</v>
      </c>
      <c r="X799" t="str">
        <f t="shared" si="51"/>
        <v>Long Time Login</v>
      </c>
      <c r="AA799" s="35" t="s">
        <v>1085</v>
      </c>
      <c r="AB799" s="35" t="s">
        <v>907</v>
      </c>
      <c r="AC799" s="35">
        <v>53</v>
      </c>
      <c r="AD799" s="35">
        <v>81</v>
      </c>
      <c r="AE799" s="35" t="s">
        <v>25</v>
      </c>
      <c r="AF799" s="35">
        <v>2000</v>
      </c>
      <c r="AH799" s="35" t="s">
        <v>27</v>
      </c>
    </row>
    <row r="800" spans="1:34">
      <c r="A800" t="s">
        <v>1086</v>
      </c>
      <c r="B800" t="s">
        <v>338</v>
      </c>
      <c r="C800">
        <v>20</v>
      </c>
      <c r="D800" t="s">
        <v>21</v>
      </c>
      <c r="E800" t="s">
        <v>22</v>
      </c>
      <c r="F800" t="s">
        <v>31</v>
      </c>
      <c r="G800" t="s">
        <v>32</v>
      </c>
      <c r="H800">
        <v>91</v>
      </c>
      <c r="I800">
        <v>89</v>
      </c>
      <c r="J800" t="s">
        <v>59</v>
      </c>
      <c r="K800">
        <v>12000</v>
      </c>
      <c r="L800">
        <v>10390</v>
      </c>
      <c r="M800">
        <v>2000</v>
      </c>
      <c r="N800" t="s">
        <v>26</v>
      </c>
      <c r="O800" t="s">
        <v>27</v>
      </c>
      <c r="P800" s="1">
        <v>45805</v>
      </c>
      <c r="Q800" s="1">
        <v>45985</v>
      </c>
      <c r="R800" s="2">
        <v>0.33819444444444446</v>
      </c>
      <c r="S800" s="2">
        <v>0.42083333333333334</v>
      </c>
      <c r="T800" t="str" cm="1">
        <f t="array" ref="T800">_xlfn.IFS(H800&gt;=90,"A",H800&gt;=75,"B",H800&gt;=60,"C",H800&lt;60,"D")</f>
        <v>A</v>
      </c>
      <c r="U800" t="str">
        <f t="shared" si="48"/>
        <v>08:07 AM</v>
      </c>
      <c r="V800" t="str">
        <f t="shared" si="49"/>
        <v>Delayed</v>
      </c>
      <c r="W800" t="str">
        <f t="shared" si="50"/>
        <v>1 Hours 59 Minutes</v>
      </c>
      <c r="X800" t="str">
        <f t="shared" si="51"/>
        <v>Short Time Login</v>
      </c>
      <c r="AA800" s="34" t="s">
        <v>1086</v>
      </c>
      <c r="AB800" s="34" t="s">
        <v>338</v>
      </c>
      <c r="AC800" s="34">
        <v>91</v>
      </c>
      <c r="AD800" s="34">
        <v>89</v>
      </c>
      <c r="AE800" s="34" t="s">
        <v>59</v>
      </c>
      <c r="AF800" s="34">
        <v>2000</v>
      </c>
      <c r="AH800" s="34" t="s">
        <v>27</v>
      </c>
    </row>
    <row r="801" spans="1:34">
      <c r="A801" t="s">
        <v>1087</v>
      </c>
      <c r="B801" t="s">
        <v>264</v>
      </c>
      <c r="C801">
        <v>26</v>
      </c>
      <c r="D801" t="s">
        <v>35</v>
      </c>
      <c r="E801" t="s">
        <v>22</v>
      </c>
      <c r="F801" t="s">
        <v>57</v>
      </c>
      <c r="G801" t="s">
        <v>58</v>
      </c>
      <c r="H801">
        <v>95</v>
      </c>
      <c r="I801">
        <v>81</v>
      </c>
      <c r="J801" t="s">
        <v>59</v>
      </c>
      <c r="K801">
        <v>12000</v>
      </c>
      <c r="L801">
        <v>8980</v>
      </c>
      <c r="M801">
        <v>4000</v>
      </c>
      <c r="N801" t="s">
        <v>26</v>
      </c>
      <c r="O801" t="s">
        <v>27</v>
      </c>
      <c r="P801" s="1">
        <v>45897</v>
      </c>
      <c r="Q801" s="1">
        <v>46017</v>
      </c>
      <c r="R801" s="2">
        <v>0.43819444444444444</v>
      </c>
      <c r="S801" s="2">
        <v>0.59722222222222221</v>
      </c>
      <c r="T801" t="str" cm="1">
        <f t="array" ref="T801">_xlfn.IFS(H801&gt;=90,"A",H801&gt;=75,"B",H801&gt;=60,"C",H801&lt;60,"D")</f>
        <v>A</v>
      </c>
      <c r="U801" t="str">
        <f t="shared" si="48"/>
        <v>10:31 AM</v>
      </c>
      <c r="V801" t="str">
        <f t="shared" si="49"/>
        <v>Delayed</v>
      </c>
      <c r="W801" t="str">
        <f t="shared" si="50"/>
        <v>3 Hours 49 Minutes</v>
      </c>
      <c r="X801" t="str">
        <f t="shared" si="51"/>
        <v>Long Time Login</v>
      </c>
      <c r="AA801" s="35" t="s">
        <v>1087</v>
      </c>
      <c r="AB801" s="35" t="s">
        <v>264</v>
      </c>
      <c r="AC801" s="35">
        <v>95</v>
      </c>
      <c r="AD801" s="35">
        <v>81</v>
      </c>
      <c r="AE801" s="35" t="s">
        <v>59</v>
      </c>
      <c r="AF801" s="35">
        <v>4000</v>
      </c>
      <c r="AH801" s="35" t="s">
        <v>27</v>
      </c>
    </row>
    <row r="802" spans="1:34">
      <c r="A802" t="s">
        <v>1088</v>
      </c>
      <c r="B802" t="s">
        <v>693</v>
      </c>
      <c r="C802">
        <v>24</v>
      </c>
      <c r="D802" t="s">
        <v>21</v>
      </c>
      <c r="E802" t="s">
        <v>39</v>
      </c>
      <c r="F802" t="s">
        <v>57</v>
      </c>
      <c r="G802" t="s">
        <v>58</v>
      </c>
      <c r="H802">
        <v>60</v>
      </c>
      <c r="I802">
        <v>88</v>
      </c>
      <c r="J802" t="s">
        <v>68</v>
      </c>
      <c r="K802">
        <v>20000</v>
      </c>
      <c r="L802">
        <v>18420</v>
      </c>
      <c r="M802">
        <v>4000</v>
      </c>
      <c r="N802" t="s">
        <v>26</v>
      </c>
      <c r="O802" t="s">
        <v>27</v>
      </c>
      <c r="P802" s="1">
        <v>45918</v>
      </c>
      <c r="Q802" s="1">
        <v>46098</v>
      </c>
      <c r="R802" s="2">
        <v>0.43055555555555558</v>
      </c>
      <c r="S802" s="2">
        <v>0.50694444444444442</v>
      </c>
      <c r="T802" t="str" cm="1">
        <f t="array" ref="T802">_xlfn.IFS(H802&gt;=90,"A",H802&gt;=75,"B",H802&gt;=60,"C",H802&lt;60,"D")</f>
        <v>C</v>
      </c>
      <c r="U802" t="str">
        <f t="shared" si="48"/>
        <v>10:20 AM</v>
      </c>
      <c r="V802" t="str">
        <f t="shared" si="49"/>
        <v>Delayed</v>
      </c>
      <c r="W802" t="str">
        <f t="shared" si="50"/>
        <v>1 Hours 50 Minutes</v>
      </c>
      <c r="X802" t="str">
        <f t="shared" si="51"/>
        <v>Long Time Login</v>
      </c>
      <c r="AA802" s="34" t="s">
        <v>1088</v>
      </c>
      <c r="AB802" s="34" t="s">
        <v>693</v>
      </c>
      <c r="AC802" s="34">
        <v>60</v>
      </c>
      <c r="AD802" s="34">
        <v>88</v>
      </c>
      <c r="AE802" s="34" t="s">
        <v>68</v>
      </c>
      <c r="AF802" s="34">
        <v>4000</v>
      </c>
      <c r="AH802" s="34" t="s">
        <v>27</v>
      </c>
    </row>
    <row r="803" spans="1:34">
      <c r="A803" t="s">
        <v>1089</v>
      </c>
      <c r="B803" t="s">
        <v>243</v>
      </c>
      <c r="C803">
        <v>22</v>
      </c>
      <c r="D803" t="s">
        <v>21</v>
      </c>
      <c r="E803" t="s">
        <v>39</v>
      </c>
      <c r="F803" t="s">
        <v>40</v>
      </c>
      <c r="G803" t="s">
        <v>41</v>
      </c>
      <c r="H803">
        <v>96</v>
      </c>
      <c r="I803">
        <v>98</v>
      </c>
      <c r="J803" t="s">
        <v>59</v>
      </c>
      <c r="K803">
        <v>20000</v>
      </c>
      <c r="L803">
        <v>21010</v>
      </c>
      <c r="M803">
        <v>2000</v>
      </c>
      <c r="N803" t="s">
        <v>26</v>
      </c>
      <c r="O803" t="s">
        <v>27</v>
      </c>
      <c r="P803" s="1">
        <v>45875</v>
      </c>
      <c r="Q803" s="1">
        <v>45965</v>
      </c>
      <c r="R803" s="2">
        <v>0.42708333333333331</v>
      </c>
      <c r="S803" s="2">
        <v>0.49236111111111114</v>
      </c>
      <c r="T803" t="str" cm="1">
        <f t="array" ref="T803">_xlfn.IFS(H803&gt;=90,"A",H803&gt;=75,"B",H803&gt;=60,"C",H803&lt;60,"D")</f>
        <v>A</v>
      </c>
      <c r="U803" t="str">
        <f t="shared" si="48"/>
        <v>10:15 AM</v>
      </c>
      <c r="V803" t="str">
        <f t="shared" si="49"/>
        <v>On Time</v>
      </c>
      <c r="W803" t="str">
        <f t="shared" si="50"/>
        <v>1 Hours 34 Minutes</v>
      </c>
      <c r="X803" t="str">
        <f t="shared" si="51"/>
        <v>Long Time Login</v>
      </c>
      <c r="AA803" s="35" t="s">
        <v>1089</v>
      </c>
      <c r="AB803" s="35" t="s">
        <v>243</v>
      </c>
      <c r="AC803" s="35">
        <v>96</v>
      </c>
      <c r="AD803" s="35">
        <v>98</v>
      </c>
      <c r="AE803" s="35" t="s">
        <v>59</v>
      </c>
      <c r="AF803" s="35">
        <v>2000</v>
      </c>
      <c r="AH803" s="35" t="s">
        <v>27</v>
      </c>
    </row>
    <row r="804" spans="1:34">
      <c r="A804" t="s">
        <v>1090</v>
      </c>
      <c r="B804" t="s">
        <v>628</v>
      </c>
      <c r="C804">
        <v>23</v>
      </c>
      <c r="D804" t="s">
        <v>35</v>
      </c>
      <c r="E804" t="s">
        <v>22</v>
      </c>
      <c r="F804" t="s">
        <v>63</v>
      </c>
      <c r="G804" t="s">
        <v>64</v>
      </c>
      <c r="H804">
        <v>77</v>
      </c>
      <c r="I804">
        <v>79</v>
      </c>
      <c r="J804" t="s">
        <v>45</v>
      </c>
      <c r="K804">
        <v>12000</v>
      </c>
      <c r="L804">
        <v>11570</v>
      </c>
      <c r="M804">
        <v>2000</v>
      </c>
      <c r="N804" t="s">
        <v>26</v>
      </c>
      <c r="O804" t="s">
        <v>27</v>
      </c>
      <c r="P804" s="1">
        <v>45953</v>
      </c>
      <c r="Q804" s="1">
        <v>46043</v>
      </c>
      <c r="R804" s="2">
        <v>0.38472222222222224</v>
      </c>
      <c r="S804" s="2">
        <v>0.42986111111111114</v>
      </c>
      <c r="T804" t="str" cm="1">
        <f t="array" ref="T804">_xlfn.IFS(H804&gt;=90,"A",H804&gt;=75,"B",H804&gt;=60,"C",H804&lt;60,"D")</f>
        <v>B</v>
      </c>
      <c r="U804" t="str">
        <f t="shared" si="48"/>
        <v>09:14 AM</v>
      </c>
      <c r="V804" t="str">
        <f t="shared" si="49"/>
        <v>On Time</v>
      </c>
      <c r="W804" t="str">
        <f t="shared" si="50"/>
        <v>1 Hours 5 Minutes</v>
      </c>
      <c r="X804" t="str">
        <f t="shared" si="51"/>
        <v>Short Time Login</v>
      </c>
      <c r="AA804" s="34" t="s">
        <v>1090</v>
      </c>
      <c r="AB804" s="34" t="s">
        <v>628</v>
      </c>
      <c r="AC804" s="34">
        <v>77</v>
      </c>
      <c r="AD804" s="34">
        <v>79</v>
      </c>
      <c r="AE804" s="34" t="s">
        <v>45</v>
      </c>
      <c r="AF804" s="34">
        <v>2000</v>
      </c>
      <c r="AH804" s="34" t="s">
        <v>27</v>
      </c>
    </row>
    <row r="805" spans="1:34">
      <c r="A805" t="s">
        <v>1091</v>
      </c>
      <c r="B805" t="s">
        <v>79</v>
      </c>
      <c r="C805">
        <v>28</v>
      </c>
      <c r="D805" t="s">
        <v>21</v>
      </c>
      <c r="E805" t="s">
        <v>48</v>
      </c>
      <c r="F805" t="s">
        <v>49</v>
      </c>
      <c r="G805" t="s">
        <v>50</v>
      </c>
      <c r="H805">
        <v>72</v>
      </c>
      <c r="I805">
        <v>91</v>
      </c>
      <c r="J805" t="s">
        <v>68</v>
      </c>
      <c r="K805">
        <v>20000</v>
      </c>
      <c r="L805">
        <v>21010</v>
      </c>
      <c r="M805">
        <v>2000</v>
      </c>
      <c r="N805" t="s">
        <v>26</v>
      </c>
      <c r="O805" t="s">
        <v>27</v>
      </c>
      <c r="P805" s="1">
        <v>45863</v>
      </c>
      <c r="Q805" s="1">
        <v>46043</v>
      </c>
      <c r="R805" s="2">
        <v>0.44166666666666665</v>
      </c>
      <c r="S805" s="2">
        <v>0.59236111111111112</v>
      </c>
      <c r="T805" t="str" cm="1">
        <f t="array" ref="T805">_xlfn.IFS(H805&gt;=90,"A",H805&gt;=75,"B",H805&gt;=60,"C",H805&lt;60,"D")</f>
        <v>C</v>
      </c>
      <c r="U805" t="str">
        <f t="shared" si="48"/>
        <v>10:36 AM</v>
      </c>
      <c r="V805" t="str">
        <f t="shared" si="49"/>
        <v>Delayed</v>
      </c>
      <c r="W805" t="str">
        <f t="shared" si="50"/>
        <v>3 Hours 37 Minutes</v>
      </c>
      <c r="X805" t="str">
        <f t="shared" si="51"/>
        <v>Long Time Login</v>
      </c>
      <c r="AA805" s="35" t="s">
        <v>1091</v>
      </c>
      <c r="AB805" s="35" t="s">
        <v>79</v>
      </c>
      <c r="AC805" s="35">
        <v>72</v>
      </c>
      <c r="AD805" s="35">
        <v>91</v>
      </c>
      <c r="AE805" s="35" t="s">
        <v>68</v>
      </c>
      <c r="AF805" s="35">
        <v>2000</v>
      </c>
      <c r="AH805" s="35" t="s">
        <v>27</v>
      </c>
    </row>
    <row r="806" spans="1:34">
      <c r="A806" t="s">
        <v>1092</v>
      </c>
      <c r="B806" t="s">
        <v>358</v>
      </c>
      <c r="C806">
        <v>21</v>
      </c>
      <c r="D806" t="s">
        <v>35</v>
      </c>
      <c r="E806" t="s">
        <v>62</v>
      </c>
      <c r="F806" t="s">
        <v>49</v>
      </c>
      <c r="G806" t="s">
        <v>50</v>
      </c>
      <c r="H806">
        <v>43</v>
      </c>
      <c r="I806">
        <v>88</v>
      </c>
      <c r="J806" t="s">
        <v>25</v>
      </c>
      <c r="K806">
        <v>20000</v>
      </c>
      <c r="L806">
        <v>19010</v>
      </c>
      <c r="M806">
        <v>4000</v>
      </c>
      <c r="N806" t="s">
        <v>26</v>
      </c>
      <c r="O806" t="s">
        <v>27</v>
      </c>
      <c r="P806" s="1">
        <v>45898</v>
      </c>
      <c r="Q806" s="1">
        <v>45928</v>
      </c>
      <c r="R806" s="2">
        <v>0.3347222222222222</v>
      </c>
      <c r="S806" s="2">
        <v>0.44236111111111109</v>
      </c>
      <c r="T806" t="str" cm="1">
        <f t="array" ref="T806">_xlfn.IFS(H806&gt;=90,"A",H806&gt;=75,"B",H806&gt;=60,"C",H806&lt;60,"D")</f>
        <v>D</v>
      </c>
      <c r="U806" t="str">
        <f t="shared" si="48"/>
        <v>08:02 AM</v>
      </c>
      <c r="V806" t="str">
        <f t="shared" si="49"/>
        <v>On Time</v>
      </c>
      <c r="W806" t="str">
        <f t="shared" si="50"/>
        <v>2 Hours 35 Minutes</v>
      </c>
      <c r="X806" t="str">
        <f t="shared" si="51"/>
        <v>Short Time Login</v>
      </c>
      <c r="AA806" s="34" t="s">
        <v>1092</v>
      </c>
      <c r="AB806" s="34" t="s">
        <v>358</v>
      </c>
      <c r="AC806" s="34">
        <v>43</v>
      </c>
      <c r="AD806" s="34">
        <v>88</v>
      </c>
      <c r="AE806" s="34" t="s">
        <v>25</v>
      </c>
      <c r="AF806" s="34">
        <v>4000</v>
      </c>
      <c r="AH806" s="34" t="s">
        <v>27</v>
      </c>
    </row>
    <row r="807" spans="1:34">
      <c r="A807" t="s">
        <v>1093</v>
      </c>
      <c r="B807" t="s">
        <v>507</v>
      </c>
      <c r="C807">
        <v>25</v>
      </c>
      <c r="D807" t="s">
        <v>21</v>
      </c>
      <c r="E807" t="s">
        <v>67</v>
      </c>
      <c r="F807" t="s">
        <v>23</v>
      </c>
      <c r="G807" t="s">
        <v>24</v>
      </c>
      <c r="H807">
        <v>55</v>
      </c>
      <c r="I807">
        <v>84</v>
      </c>
      <c r="J807" t="s">
        <v>25</v>
      </c>
      <c r="K807">
        <v>10000</v>
      </c>
      <c r="L807">
        <v>11210</v>
      </c>
      <c r="M807">
        <v>0</v>
      </c>
      <c r="N807" t="s">
        <v>11</v>
      </c>
      <c r="O807" t="s">
        <v>27</v>
      </c>
      <c r="P807" s="1">
        <v>45947</v>
      </c>
      <c r="Q807" s="1">
        <v>46037</v>
      </c>
      <c r="R807" s="2">
        <v>0.42986111111111114</v>
      </c>
      <c r="S807" s="2">
        <v>0.51875000000000004</v>
      </c>
      <c r="T807" t="str" cm="1">
        <f t="array" ref="T807">_xlfn.IFS(H807&gt;=90,"A",H807&gt;=75,"B",H807&gt;=60,"C",H807&lt;60,"D")</f>
        <v>D</v>
      </c>
      <c r="U807" t="str">
        <f t="shared" si="48"/>
        <v>10:19 AM</v>
      </c>
      <c r="V807" t="str">
        <f t="shared" si="49"/>
        <v>On Time</v>
      </c>
      <c r="W807" t="str">
        <f t="shared" si="50"/>
        <v>2 Hours 8 Minutes</v>
      </c>
      <c r="X807" t="str">
        <f t="shared" si="51"/>
        <v>Long Time Login</v>
      </c>
      <c r="AA807" s="35" t="s">
        <v>1093</v>
      </c>
      <c r="AB807" s="35" t="s">
        <v>507</v>
      </c>
      <c r="AC807" s="35">
        <v>55</v>
      </c>
      <c r="AD807" s="35">
        <v>84</v>
      </c>
      <c r="AE807" s="35" t="s">
        <v>25</v>
      </c>
      <c r="AF807" s="35">
        <v>0</v>
      </c>
      <c r="AH807" s="35" t="s">
        <v>27</v>
      </c>
    </row>
    <row r="808" spans="1:34">
      <c r="A808" t="s">
        <v>1094</v>
      </c>
      <c r="B808" t="s">
        <v>66</v>
      </c>
      <c r="C808">
        <v>27</v>
      </c>
      <c r="D808" t="s">
        <v>35</v>
      </c>
      <c r="E808" t="s">
        <v>44</v>
      </c>
      <c r="F808" t="s">
        <v>53</v>
      </c>
      <c r="G808" t="s">
        <v>54</v>
      </c>
      <c r="H808">
        <v>91</v>
      </c>
      <c r="I808">
        <v>86</v>
      </c>
      <c r="J808" t="s">
        <v>59</v>
      </c>
      <c r="K808">
        <v>10000</v>
      </c>
      <c r="L808">
        <v>8620</v>
      </c>
      <c r="M808">
        <v>2000</v>
      </c>
      <c r="N808" t="s">
        <v>26</v>
      </c>
      <c r="O808" t="s">
        <v>27</v>
      </c>
      <c r="P808" s="1">
        <v>45968</v>
      </c>
      <c r="Q808" s="1">
        <v>46088</v>
      </c>
      <c r="R808" s="2">
        <v>0.35486111111111113</v>
      </c>
      <c r="S808" s="2">
        <v>0.4152777777777778</v>
      </c>
      <c r="T808" t="str" cm="1">
        <f t="array" ref="T808">_xlfn.IFS(H808&gt;=90,"A",H808&gt;=75,"B",H808&gt;=60,"C",H808&lt;60,"D")</f>
        <v>A</v>
      </c>
      <c r="U808" t="str">
        <f t="shared" si="48"/>
        <v>08:31 AM</v>
      </c>
      <c r="V808" t="str">
        <f t="shared" si="49"/>
        <v>Delayed</v>
      </c>
      <c r="W808" t="str">
        <f t="shared" si="50"/>
        <v>1 Hours 27 Minutes</v>
      </c>
      <c r="X808" t="str">
        <f t="shared" si="51"/>
        <v>Short Time Login</v>
      </c>
      <c r="AA808" s="34" t="s">
        <v>1094</v>
      </c>
      <c r="AB808" s="34" t="s">
        <v>66</v>
      </c>
      <c r="AC808" s="34">
        <v>91</v>
      </c>
      <c r="AD808" s="34">
        <v>86</v>
      </c>
      <c r="AE808" s="34" t="s">
        <v>59</v>
      </c>
      <c r="AF808" s="34">
        <v>2000</v>
      </c>
      <c r="AH808" s="34" t="s">
        <v>27</v>
      </c>
    </row>
    <row r="809" spans="1:34">
      <c r="A809" t="s">
        <v>1095</v>
      </c>
      <c r="B809" t="s">
        <v>749</v>
      </c>
      <c r="C809">
        <v>27</v>
      </c>
      <c r="D809" t="s">
        <v>21</v>
      </c>
      <c r="E809" t="s">
        <v>96</v>
      </c>
      <c r="F809" t="s">
        <v>31</v>
      </c>
      <c r="G809" t="s">
        <v>32</v>
      </c>
      <c r="H809">
        <v>40</v>
      </c>
      <c r="I809">
        <v>83</v>
      </c>
      <c r="J809" t="s">
        <v>25</v>
      </c>
      <c r="K809">
        <v>12000</v>
      </c>
      <c r="L809">
        <v>11570</v>
      </c>
      <c r="M809">
        <v>2000</v>
      </c>
      <c r="N809" t="s">
        <v>26</v>
      </c>
      <c r="O809" t="s">
        <v>27</v>
      </c>
      <c r="P809" s="1">
        <v>45853</v>
      </c>
      <c r="Q809" s="1">
        <v>46033</v>
      </c>
      <c r="R809" s="2">
        <v>0.39791666666666664</v>
      </c>
      <c r="S809" s="2">
        <v>0.54722222222222228</v>
      </c>
      <c r="T809" t="str" cm="1">
        <f t="array" ref="T809">_xlfn.IFS(H809&gt;=90,"A",H809&gt;=75,"B",H809&gt;=60,"C",H809&lt;60,"D")</f>
        <v>D</v>
      </c>
      <c r="U809" t="str">
        <f t="shared" si="48"/>
        <v>09:33 AM</v>
      </c>
      <c r="V809" t="str">
        <f t="shared" si="49"/>
        <v>Delayed</v>
      </c>
      <c r="W809" t="str">
        <f t="shared" si="50"/>
        <v>3 Hours 35 Minutes</v>
      </c>
      <c r="X809" t="str">
        <f t="shared" si="51"/>
        <v>Short Time Login</v>
      </c>
      <c r="AA809" s="35" t="s">
        <v>1095</v>
      </c>
      <c r="AB809" s="35" t="s">
        <v>749</v>
      </c>
      <c r="AC809" s="35">
        <v>40</v>
      </c>
      <c r="AD809" s="35">
        <v>83</v>
      </c>
      <c r="AE809" s="35" t="s">
        <v>25</v>
      </c>
      <c r="AF809" s="35">
        <v>2000</v>
      </c>
      <c r="AH809" s="35" t="s">
        <v>27</v>
      </c>
    </row>
    <row r="810" spans="1:34">
      <c r="A810" t="s">
        <v>1096</v>
      </c>
      <c r="B810" t="s">
        <v>986</v>
      </c>
      <c r="C810">
        <v>27</v>
      </c>
      <c r="D810" t="s">
        <v>21</v>
      </c>
      <c r="E810" t="s">
        <v>48</v>
      </c>
      <c r="F810" t="s">
        <v>40</v>
      </c>
      <c r="G810" t="s">
        <v>41</v>
      </c>
      <c r="H810">
        <v>92</v>
      </c>
      <c r="I810">
        <v>70</v>
      </c>
      <c r="J810" t="s">
        <v>59</v>
      </c>
      <c r="K810">
        <v>12000</v>
      </c>
      <c r="L810">
        <v>13570</v>
      </c>
      <c r="M810">
        <v>0</v>
      </c>
      <c r="N810" t="s">
        <v>11</v>
      </c>
      <c r="O810" t="s">
        <v>27</v>
      </c>
      <c r="P810" s="1">
        <v>46000</v>
      </c>
      <c r="Q810" s="1">
        <v>46090</v>
      </c>
      <c r="R810" s="2">
        <v>0.40694444444444444</v>
      </c>
      <c r="S810" s="2">
        <v>0.51041666666666663</v>
      </c>
      <c r="T810" t="str" cm="1">
        <f t="array" ref="T810">_xlfn.IFS(H810&gt;=90,"A",H810&gt;=75,"B",H810&gt;=60,"C",H810&lt;60,"D")</f>
        <v>A</v>
      </c>
      <c r="U810" t="str">
        <f t="shared" si="48"/>
        <v>09:46 AM</v>
      </c>
      <c r="V810" t="str">
        <f t="shared" si="49"/>
        <v>On Time</v>
      </c>
      <c r="W810" t="str">
        <f t="shared" si="50"/>
        <v>2 Hours 29 Minutes</v>
      </c>
      <c r="X810" t="str">
        <f t="shared" si="51"/>
        <v>Short Time Login</v>
      </c>
      <c r="AA810" s="34" t="s">
        <v>1096</v>
      </c>
      <c r="AB810" s="34" t="s">
        <v>986</v>
      </c>
      <c r="AC810" s="34">
        <v>92</v>
      </c>
      <c r="AD810" s="34">
        <v>70</v>
      </c>
      <c r="AE810" s="34" t="s">
        <v>59</v>
      </c>
      <c r="AF810" s="34">
        <v>0</v>
      </c>
      <c r="AH810" s="34" t="s">
        <v>27</v>
      </c>
    </row>
    <row r="811" spans="1:34">
      <c r="A811" t="s">
        <v>1097</v>
      </c>
      <c r="B811" t="s">
        <v>382</v>
      </c>
      <c r="C811">
        <v>26</v>
      </c>
      <c r="D811" t="s">
        <v>21</v>
      </c>
      <c r="E811" t="s">
        <v>73</v>
      </c>
      <c r="F811" t="s">
        <v>57</v>
      </c>
      <c r="G811" t="s">
        <v>58</v>
      </c>
      <c r="H811">
        <v>85</v>
      </c>
      <c r="I811">
        <v>67</v>
      </c>
      <c r="J811" t="s">
        <v>45</v>
      </c>
      <c r="K811">
        <v>20000</v>
      </c>
      <c r="L811">
        <v>19830</v>
      </c>
      <c r="M811">
        <v>2000</v>
      </c>
      <c r="N811" t="s">
        <v>26</v>
      </c>
      <c r="O811" t="s">
        <v>27</v>
      </c>
      <c r="P811" s="1">
        <v>45820</v>
      </c>
      <c r="Q811" s="1">
        <v>45910</v>
      </c>
      <c r="R811" s="2">
        <v>0.33819444444444446</v>
      </c>
      <c r="S811" s="2">
        <v>0.48958333333333331</v>
      </c>
      <c r="T811" t="str" cm="1">
        <f t="array" ref="T811">_xlfn.IFS(H811&gt;=90,"A",H811&gt;=75,"B",H811&gt;=60,"C",H811&lt;60,"D")</f>
        <v>B</v>
      </c>
      <c r="U811" t="str">
        <f t="shared" si="48"/>
        <v>08:07 AM</v>
      </c>
      <c r="V811" t="str">
        <f t="shared" si="49"/>
        <v>On Time</v>
      </c>
      <c r="W811" t="str">
        <f t="shared" si="50"/>
        <v>3 Hours 38 Minutes</v>
      </c>
      <c r="X811" t="str">
        <f t="shared" si="51"/>
        <v>Short Time Login</v>
      </c>
      <c r="AA811" s="35" t="s">
        <v>1097</v>
      </c>
      <c r="AB811" s="35" t="s">
        <v>382</v>
      </c>
      <c r="AC811" s="35">
        <v>85</v>
      </c>
      <c r="AD811" s="35">
        <v>67</v>
      </c>
      <c r="AE811" s="35" t="s">
        <v>45</v>
      </c>
      <c r="AF811" s="35">
        <v>2000</v>
      </c>
      <c r="AH811" s="35" t="s">
        <v>27</v>
      </c>
    </row>
    <row r="812" spans="1:34">
      <c r="A812" t="s">
        <v>1098</v>
      </c>
      <c r="B812" t="s">
        <v>77</v>
      </c>
      <c r="C812">
        <v>19</v>
      </c>
      <c r="D812" t="s">
        <v>35</v>
      </c>
      <c r="E812" t="s">
        <v>73</v>
      </c>
      <c r="F812" t="s">
        <v>57</v>
      </c>
      <c r="G812" t="s">
        <v>58</v>
      </c>
      <c r="H812">
        <v>70</v>
      </c>
      <c r="I812">
        <v>91</v>
      </c>
      <c r="J812" t="s">
        <v>68</v>
      </c>
      <c r="K812">
        <v>12000</v>
      </c>
      <c r="L812">
        <v>12980</v>
      </c>
      <c r="M812">
        <v>0</v>
      </c>
      <c r="N812" t="s">
        <v>11</v>
      </c>
      <c r="O812" t="s">
        <v>27</v>
      </c>
      <c r="P812" s="1">
        <v>46011</v>
      </c>
      <c r="Q812" s="1">
        <v>46191</v>
      </c>
      <c r="R812" s="2">
        <v>0.4284722222222222</v>
      </c>
      <c r="S812" s="2">
        <v>0.63263888888888886</v>
      </c>
      <c r="T812" t="str" cm="1">
        <f t="array" ref="T812">_xlfn.IFS(H812&gt;=90,"A",H812&gt;=75,"B",H812&gt;=60,"C",H812&lt;60,"D")</f>
        <v>C</v>
      </c>
      <c r="U812" t="str">
        <f t="shared" si="48"/>
        <v>10:17 AM</v>
      </c>
      <c r="V812" t="str">
        <f t="shared" si="49"/>
        <v>Delayed</v>
      </c>
      <c r="W812" t="str">
        <f t="shared" si="50"/>
        <v>4 Hours 54 Minutes</v>
      </c>
      <c r="X812" t="str">
        <f t="shared" si="51"/>
        <v>Long Time Login</v>
      </c>
      <c r="AA812" s="34" t="s">
        <v>1098</v>
      </c>
      <c r="AB812" s="34" t="s">
        <v>77</v>
      </c>
      <c r="AC812" s="34">
        <v>70</v>
      </c>
      <c r="AD812" s="34">
        <v>91</v>
      </c>
      <c r="AE812" s="34" t="s">
        <v>68</v>
      </c>
      <c r="AF812" s="34">
        <v>0</v>
      </c>
      <c r="AH812" s="34" t="s">
        <v>27</v>
      </c>
    </row>
    <row r="813" spans="1:34">
      <c r="A813" t="s">
        <v>1099</v>
      </c>
      <c r="B813" t="s">
        <v>796</v>
      </c>
      <c r="C813">
        <v>20</v>
      </c>
      <c r="D813" t="s">
        <v>35</v>
      </c>
      <c r="E813" t="s">
        <v>36</v>
      </c>
      <c r="F813" t="s">
        <v>23</v>
      </c>
      <c r="G813" t="s">
        <v>24</v>
      </c>
      <c r="H813">
        <v>50</v>
      </c>
      <c r="I813">
        <v>75</v>
      </c>
      <c r="J813" t="s">
        <v>25</v>
      </c>
      <c r="K813">
        <v>20000</v>
      </c>
      <c r="L813">
        <v>19830</v>
      </c>
      <c r="M813">
        <v>2000</v>
      </c>
      <c r="N813" t="s">
        <v>26</v>
      </c>
      <c r="O813" t="s">
        <v>27</v>
      </c>
      <c r="P813" s="1">
        <v>45834</v>
      </c>
      <c r="Q813" s="1">
        <v>45924</v>
      </c>
      <c r="R813" s="2">
        <v>0.40972222222222221</v>
      </c>
      <c r="S813" s="2">
        <v>0.47847222222222224</v>
      </c>
      <c r="T813" t="str" cm="1">
        <f t="array" ref="T813">_xlfn.IFS(H813&gt;=90,"A",H813&gt;=75,"B",H813&gt;=60,"C",H813&lt;60,"D")</f>
        <v>D</v>
      </c>
      <c r="U813" t="str">
        <f t="shared" si="48"/>
        <v>09:50 AM</v>
      </c>
      <c r="V813" t="str">
        <f t="shared" si="49"/>
        <v>On Time</v>
      </c>
      <c r="W813" t="str">
        <f t="shared" si="50"/>
        <v>1 Hours 39 Minutes</v>
      </c>
      <c r="X813" t="str">
        <f t="shared" si="51"/>
        <v>Short Time Login</v>
      </c>
      <c r="AA813" s="35" t="s">
        <v>1099</v>
      </c>
      <c r="AB813" s="35" t="s">
        <v>796</v>
      </c>
      <c r="AC813" s="35">
        <v>50</v>
      </c>
      <c r="AD813" s="35">
        <v>75</v>
      </c>
      <c r="AE813" s="35" t="s">
        <v>25</v>
      </c>
      <c r="AF813" s="35">
        <v>2000</v>
      </c>
      <c r="AH813" s="35" t="s">
        <v>27</v>
      </c>
    </row>
    <row r="814" spans="1:34">
      <c r="A814" t="s">
        <v>1100</v>
      </c>
      <c r="B814" t="s">
        <v>434</v>
      </c>
      <c r="C814">
        <v>22</v>
      </c>
      <c r="D814" t="s">
        <v>21</v>
      </c>
      <c r="E814" t="s">
        <v>73</v>
      </c>
      <c r="F814" t="s">
        <v>49</v>
      </c>
      <c r="G814" t="s">
        <v>50</v>
      </c>
      <c r="H814">
        <v>95</v>
      </c>
      <c r="I814">
        <v>68</v>
      </c>
      <c r="J814" t="s">
        <v>59</v>
      </c>
      <c r="K814">
        <v>20000</v>
      </c>
      <c r="L814">
        <v>22420</v>
      </c>
      <c r="M814">
        <v>0</v>
      </c>
      <c r="N814" t="s">
        <v>11</v>
      </c>
      <c r="O814" t="s">
        <v>27</v>
      </c>
      <c r="P814" s="1">
        <v>45799</v>
      </c>
      <c r="Q814" s="1">
        <v>45979</v>
      </c>
      <c r="R814" s="2">
        <v>0.37986111111111109</v>
      </c>
      <c r="S814" s="2">
        <v>0.44791666666666669</v>
      </c>
      <c r="T814" t="str" cm="1">
        <f t="array" ref="T814">_xlfn.IFS(H814&gt;=90,"A",H814&gt;=75,"B",H814&gt;=60,"C",H814&lt;60,"D")</f>
        <v>A</v>
      </c>
      <c r="U814" t="str">
        <f t="shared" si="48"/>
        <v>09:07 AM</v>
      </c>
      <c r="V814" t="str">
        <f t="shared" si="49"/>
        <v>Delayed</v>
      </c>
      <c r="W814" t="str">
        <f t="shared" si="50"/>
        <v>1 Hours 38 Minutes</v>
      </c>
      <c r="X814" t="str">
        <f t="shared" si="51"/>
        <v>Short Time Login</v>
      </c>
      <c r="AA814" s="34" t="s">
        <v>1100</v>
      </c>
      <c r="AB814" s="34" t="s">
        <v>434</v>
      </c>
      <c r="AC814" s="34">
        <v>95</v>
      </c>
      <c r="AD814" s="34">
        <v>68</v>
      </c>
      <c r="AE814" s="34" t="s">
        <v>59</v>
      </c>
      <c r="AF814" s="34">
        <v>0</v>
      </c>
      <c r="AH814" s="34" t="s">
        <v>27</v>
      </c>
    </row>
    <row r="815" spans="1:34">
      <c r="A815" t="s">
        <v>1101</v>
      </c>
      <c r="B815" t="s">
        <v>72</v>
      </c>
      <c r="C815">
        <v>28</v>
      </c>
      <c r="D815" t="s">
        <v>35</v>
      </c>
      <c r="E815" t="s">
        <v>122</v>
      </c>
      <c r="F815" t="s">
        <v>31</v>
      </c>
      <c r="G815" t="s">
        <v>32</v>
      </c>
      <c r="H815">
        <v>37</v>
      </c>
      <c r="I815">
        <v>61</v>
      </c>
      <c r="J815" t="s">
        <v>25</v>
      </c>
      <c r="K815">
        <v>15000</v>
      </c>
      <c r="L815">
        <v>15930</v>
      </c>
      <c r="M815">
        <v>0</v>
      </c>
      <c r="N815" t="s">
        <v>11</v>
      </c>
      <c r="O815" t="s">
        <v>27</v>
      </c>
      <c r="P815" s="1">
        <v>45958</v>
      </c>
      <c r="Q815" s="1">
        <v>45988</v>
      </c>
      <c r="R815" s="2">
        <v>0.34097222222222223</v>
      </c>
      <c r="S815" s="2">
        <v>0.38611111111111113</v>
      </c>
      <c r="T815" t="str" cm="1">
        <f t="array" ref="T815">_xlfn.IFS(H815&gt;=90,"A",H815&gt;=75,"B",H815&gt;=60,"C",H815&lt;60,"D")</f>
        <v>D</v>
      </c>
      <c r="U815" t="str">
        <f t="shared" si="48"/>
        <v>08:11 AM</v>
      </c>
      <c r="V815" t="str">
        <f t="shared" si="49"/>
        <v>On Time</v>
      </c>
      <c r="W815" t="str">
        <f t="shared" si="50"/>
        <v>1 Hours 5 Minutes</v>
      </c>
      <c r="X815" t="str">
        <f t="shared" si="51"/>
        <v>Short Time Login</v>
      </c>
      <c r="AA815" s="35" t="s">
        <v>1101</v>
      </c>
      <c r="AB815" s="35" t="s">
        <v>72</v>
      </c>
      <c r="AC815" s="35">
        <v>37</v>
      </c>
      <c r="AD815" s="35">
        <v>61</v>
      </c>
      <c r="AE815" s="35" t="s">
        <v>25</v>
      </c>
      <c r="AF815" s="35">
        <v>0</v>
      </c>
      <c r="AH815" s="35" t="s">
        <v>27</v>
      </c>
    </row>
    <row r="816" spans="1:34">
      <c r="A816" t="s">
        <v>1102</v>
      </c>
      <c r="B816" t="s">
        <v>310</v>
      </c>
      <c r="C816">
        <v>26</v>
      </c>
      <c r="D816" t="s">
        <v>35</v>
      </c>
      <c r="E816" t="s">
        <v>113</v>
      </c>
      <c r="F816" t="s">
        <v>88</v>
      </c>
      <c r="G816" t="s">
        <v>89</v>
      </c>
      <c r="H816">
        <v>57</v>
      </c>
      <c r="I816">
        <v>83</v>
      </c>
      <c r="J816" t="s">
        <v>25</v>
      </c>
      <c r="K816">
        <v>18000</v>
      </c>
      <c r="L816">
        <v>15470</v>
      </c>
      <c r="M816">
        <v>4000</v>
      </c>
      <c r="N816" t="s">
        <v>26</v>
      </c>
      <c r="O816" t="s">
        <v>27</v>
      </c>
      <c r="P816" s="1">
        <v>45969</v>
      </c>
      <c r="Q816" s="1">
        <v>45999</v>
      </c>
      <c r="R816" s="2">
        <v>0.3347222222222222</v>
      </c>
      <c r="S816" s="2">
        <v>0.37916666666666665</v>
      </c>
      <c r="T816" t="str" cm="1">
        <f t="array" ref="T816">_xlfn.IFS(H816&gt;=90,"A",H816&gt;=75,"B",H816&gt;=60,"C",H816&lt;60,"D")</f>
        <v>D</v>
      </c>
      <c r="U816" t="str">
        <f t="shared" si="48"/>
        <v>08:02 AM</v>
      </c>
      <c r="V816" t="str">
        <f t="shared" si="49"/>
        <v>On Time</v>
      </c>
      <c r="W816" t="str">
        <f t="shared" si="50"/>
        <v>1 Hours 4 Minutes</v>
      </c>
      <c r="X816" t="str">
        <f t="shared" si="51"/>
        <v>Short Time Login</v>
      </c>
      <c r="AA816" s="34" t="s">
        <v>1102</v>
      </c>
      <c r="AB816" s="34" t="s">
        <v>310</v>
      </c>
      <c r="AC816" s="34">
        <v>57</v>
      </c>
      <c r="AD816" s="34">
        <v>83</v>
      </c>
      <c r="AE816" s="34" t="s">
        <v>25</v>
      </c>
      <c r="AF816" s="34">
        <v>4000</v>
      </c>
      <c r="AH816" s="34" t="s">
        <v>27</v>
      </c>
    </row>
    <row r="817" spans="1:34">
      <c r="A817" t="s">
        <v>1103</v>
      </c>
      <c r="B817" t="s">
        <v>104</v>
      </c>
      <c r="C817">
        <v>28</v>
      </c>
      <c r="D817" t="s">
        <v>35</v>
      </c>
      <c r="E817" t="s">
        <v>48</v>
      </c>
      <c r="F817" t="s">
        <v>49</v>
      </c>
      <c r="G817" t="s">
        <v>50</v>
      </c>
      <c r="H817">
        <v>79</v>
      </c>
      <c r="I817">
        <v>76</v>
      </c>
      <c r="J817" t="s">
        <v>45</v>
      </c>
      <c r="K817">
        <v>20000</v>
      </c>
      <c r="L817">
        <v>23010</v>
      </c>
      <c r="M817">
        <v>0</v>
      </c>
      <c r="N817" t="s">
        <v>11</v>
      </c>
      <c r="O817" t="s">
        <v>27</v>
      </c>
      <c r="P817" s="1">
        <v>45931</v>
      </c>
      <c r="Q817" s="1">
        <v>45961</v>
      </c>
      <c r="R817" s="2">
        <v>0.44444444444444442</v>
      </c>
      <c r="S817" s="2">
        <v>0.64166666666666672</v>
      </c>
      <c r="T817" t="str" cm="1">
        <f t="array" ref="T817">_xlfn.IFS(H817&gt;=90,"A",H817&gt;=75,"B",H817&gt;=60,"C",H817&lt;60,"D")</f>
        <v>B</v>
      </c>
      <c r="U817" t="str">
        <f t="shared" si="48"/>
        <v>10:40 AM</v>
      </c>
      <c r="V817" t="str">
        <f t="shared" si="49"/>
        <v>On Time</v>
      </c>
      <c r="W817" t="str">
        <f t="shared" si="50"/>
        <v>4 Hours 44 Minutes</v>
      </c>
      <c r="X817" t="str">
        <f t="shared" si="51"/>
        <v>Long Time Login</v>
      </c>
      <c r="AA817" s="35" t="s">
        <v>1103</v>
      </c>
      <c r="AB817" s="35" t="s">
        <v>104</v>
      </c>
      <c r="AC817" s="35">
        <v>79</v>
      </c>
      <c r="AD817" s="35">
        <v>76</v>
      </c>
      <c r="AE817" s="35" t="s">
        <v>45</v>
      </c>
      <c r="AF817" s="35">
        <v>0</v>
      </c>
      <c r="AH817" s="35" t="s">
        <v>27</v>
      </c>
    </row>
    <row r="818" spans="1:34">
      <c r="A818" t="s">
        <v>1104</v>
      </c>
      <c r="B818" t="s">
        <v>158</v>
      </c>
      <c r="C818">
        <v>25</v>
      </c>
      <c r="D818" t="s">
        <v>35</v>
      </c>
      <c r="E818" t="s">
        <v>22</v>
      </c>
      <c r="F818" t="s">
        <v>88</v>
      </c>
      <c r="G818" t="s">
        <v>89</v>
      </c>
      <c r="H818">
        <v>65</v>
      </c>
      <c r="I818">
        <v>71</v>
      </c>
      <c r="J818" t="s">
        <v>68</v>
      </c>
      <c r="K818">
        <v>15000</v>
      </c>
      <c r="L818">
        <v>13110</v>
      </c>
      <c r="M818">
        <v>4000</v>
      </c>
      <c r="N818" t="s">
        <v>26</v>
      </c>
      <c r="O818" t="s">
        <v>27</v>
      </c>
      <c r="P818" s="1">
        <v>45718</v>
      </c>
      <c r="Q818" s="1">
        <v>45808</v>
      </c>
      <c r="R818" s="2">
        <v>0.38958333333333334</v>
      </c>
      <c r="S818" s="2">
        <v>0.49722222222222223</v>
      </c>
      <c r="T818" t="str" cm="1">
        <f t="array" ref="T818">_xlfn.IFS(H818&gt;=90,"A",H818&gt;=75,"B",H818&gt;=60,"C",H818&lt;60,"D")</f>
        <v>C</v>
      </c>
      <c r="U818" t="str">
        <f t="shared" si="48"/>
        <v>09:21 AM</v>
      </c>
      <c r="V818" t="str">
        <f t="shared" si="49"/>
        <v>On Time</v>
      </c>
      <c r="W818" t="str">
        <f t="shared" si="50"/>
        <v>2 Hours 35 Minutes</v>
      </c>
      <c r="X818" t="str">
        <f t="shared" si="51"/>
        <v>Short Time Login</v>
      </c>
      <c r="AA818" s="34" t="s">
        <v>1104</v>
      </c>
      <c r="AB818" s="34" t="s">
        <v>158</v>
      </c>
      <c r="AC818" s="34">
        <v>65</v>
      </c>
      <c r="AD818" s="34">
        <v>71</v>
      </c>
      <c r="AE818" s="34" t="s">
        <v>68</v>
      </c>
      <c r="AF818" s="34">
        <v>4000</v>
      </c>
      <c r="AH818" s="34" t="s">
        <v>27</v>
      </c>
    </row>
    <row r="819" spans="1:34">
      <c r="A819" t="s">
        <v>1105</v>
      </c>
      <c r="B819" t="s">
        <v>112</v>
      </c>
      <c r="C819">
        <v>18</v>
      </c>
      <c r="D819" t="s">
        <v>21</v>
      </c>
      <c r="E819" t="s">
        <v>36</v>
      </c>
      <c r="F819" t="s">
        <v>40</v>
      </c>
      <c r="G819" t="s">
        <v>41</v>
      </c>
      <c r="H819">
        <v>73</v>
      </c>
      <c r="I819">
        <v>74</v>
      </c>
      <c r="J819" t="s">
        <v>68</v>
      </c>
      <c r="K819">
        <v>12000</v>
      </c>
      <c r="L819">
        <v>8390</v>
      </c>
      <c r="M819">
        <v>4000</v>
      </c>
      <c r="N819" t="s">
        <v>26</v>
      </c>
      <c r="O819" t="s">
        <v>27</v>
      </c>
      <c r="P819" s="1">
        <v>45850</v>
      </c>
      <c r="Q819" s="1">
        <v>45940</v>
      </c>
      <c r="R819" s="2">
        <v>0.43680555555555556</v>
      </c>
      <c r="S819" s="2">
        <v>0.50972222222222219</v>
      </c>
      <c r="T819" t="str" cm="1">
        <f t="array" ref="T819">_xlfn.IFS(H819&gt;=90,"A",H819&gt;=75,"B",H819&gt;=60,"C",H819&lt;60,"D")</f>
        <v>C</v>
      </c>
      <c r="U819" t="str">
        <f t="shared" si="48"/>
        <v>10:29 AM</v>
      </c>
      <c r="V819" t="str">
        <f t="shared" si="49"/>
        <v>On Time</v>
      </c>
      <c r="W819" t="str">
        <f t="shared" si="50"/>
        <v>1 Hours 45 Minutes</v>
      </c>
      <c r="X819" t="str">
        <f t="shared" si="51"/>
        <v>Long Time Login</v>
      </c>
      <c r="AA819" s="35" t="s">
        <v>1105</v>
      </c>
      <c r="AB819" s="35" t="s">
        <v>112</v>
      </c>
      <c r="AC819" s="35">
        <v>73</v>
      </c>
      <c r="AD819" s="35">
        <v>74</v>
      </c>
      <c r="AE819" s="35" t="s">
        <v>68</v>
      </c>
      <c r="AF819" s="35">
        <v>4000</v>
      </c>
      <c r="AH819" s="35" t="s">
        <v>27</v>
      </c>
    </row>
    <row r="820" spans="1:34">
      <c r="A820" t="s">
        <v>1106</v>
      </c>
      <c r="B820" t="s">
        <v>938</v>
      </c>
      <c r="C820">
        <v>23</v>
      </c>
      <c r="D820" t="s">
        <v>35</v>
      </c>
      <c r="E820" t="s">
        <v>30</v>
      </c>
      <c r="F820" t="s">
        <v>40</v>
      </c>
      <c r="G820" t="s">
        <v>41</v>
      </c>
      <c r="H820">
        <v>87</v>
      </c>
      <c r="I820">
        <v>64</v>
      </c>
      <c r="J820" t="s">
        <v>45</v>
      </c>
      <c r="K820">
        <v>20000</v>
      </c>
      <c r="L820">
        <v>17830</v>
      </c>
      <c r="M820">
        <v>4000</v>
      </c>
      <c r="N820" t="s">
        <v>26</v>
      </c>
      <c r="O820" t="s">
        <v>27</v>
      </c>
      <c r="P820" s="1">
        <v>45889</v>
      </c>
      <c r="Q820" s="1">
        <v>46009</v>
      </c>
      <c r="R820" s="2">
        <v>0.37916666666666665</v>
      </c>
      <c r="S820" s="2">
        <v>0.45902777777777776</v>
      </c>
      <c r="T820" t="str" cm="1">
        <f t="array" ref="T820">_xlfn.IFS(H820&gt;=90,"A",H820&gt;=75,"B",H820&gt;=60,"C",H820&lt;60,"D")</f>
        <v>B</v>
      </c>
      <c r="U820" t="str">
        <f t="shared" si="48"/>
        <v>09:06 AM</v>
      </c>
      <c r="V820" t="str">
        <f t="shared" si="49"/>
        <v>Delayed</v>
      </c>
      <c r="W820" t="str">
        <f t="shared" si="50"/>
        <v>1 Hours 55 Minutes</v>
      </c>
      <c r="X820" t="str">
        <f t="shared" si="51"/>
        <v>Short Time Login</v>
      </c>
      <c r="AA820" s="34" t="s">
        <v>1106</v>
      </c>
      <c r="AB820" s="34" t="s">
        <v>938</v>
      </c>
      <c r="AC820" s="34">
        <v>87</v>
      </c>
      <c r="AD820" s="34">
        <v>64</v>
      </c>
      <c r="AE820" s="34" t="s">
        <v>45</v>
      </c>
      <c r="AF820" s="34">
        <v>4000</v>
      </c>
      <c r="AH820" s="34" t="s">
        <v>27</v>
      </c>
    </row>
    <row r="821" spans="1:34">
      <c r="A821" t="s">
        <v>1107</v>
      </c>
      <c r="B821" t="s">
        <v>241</v>
      </c>
      <c r="C821">
        <v>21</v>
      </c>
      <c r="D821" t="s">
        <v>35</v>
      </c>
      <c r="E821" t="s">
        <v>22</v>
      </c>
      <c r="F821" t="s">
        <v>23</v>
      </c>
      <c r="G821" t="s">
        <v>24</v>
      </c>
      <c r="H821">
        <v>68</v>
      </c>
      <c r="I821">
        <v>100</v>
      </c>
      <c r="J821" t="s">
        <v>68</v>
      </c>
      <c r="K821">
        <v>18000</v>
      </c>
      <c r="L821">
        <v>16060</v>
      </c>
      <c r="M821">
        <v>4000</v>
      </c>
      <c r="N821" t="s">
        <v>26</v>
      </c>
      <c r="O821" t="s">
        <v>27</v>
      </c>
      <c r="P821" s="1">
        <v>45854</v>
      </c>
      <c r="Q821" s="1">
        <v>45914</v>
      </c>
      <c r="R821" s="2">
        <v>0.4201388888888889</v>
      </c>
      <c r="S821" s="2">
        <v>0.56527777777777777</v>
      </c>
      <c r="T821" t="str" cm="1">
        <f t="array" ref="T821">_xlfn.IFS(H821&gt;=90,"A",H821&gt;=75,"B",H821&gt;=60,"C",H821&lt;60,"D")</f>
        <v>C</v>
      </c>
      <c r="U821" t="str">
        <f t="shared" si="48"/>
        <v>10:05 AM</v>
      </c>
      <c r="V821" t="str">
        <f t="shared" si="49"/>
        <v>On Time</v>
      </c>
      <c r="W821" t="str">
        <f t="shared" si="50"/>
        <v>3 Hours 29 Minutes</v>
      </c>
      <c r="X821" t="str">
        <f t="shared" si="51"/>
        <v>Long Time Login</v>
      </c>
      <c r="AA821" s="35" t="s">
        <v>1107</v>
      </c>
      <c r="AB821" s="35" t="s">
        <v>241</v>
      </c>
      <c r="AC821" s="35">
        <v>68</v>
      </c>
      <c r="AD821" s="35">
        <v>100</v>
      </c>
      <c r="AE821" s="35" t="s">
        <v>68</v>
      </c>
      <c r="AF821" s="35">
        <v>4000</v>
      </c>
      <c r="AH821" s="35" t="s">
        <v>27</v>
      </c>
    </row>
    <row r="822" spans="1:34">
      <c r="A822" t="s">
        <v>1108</v>
      </c>
      <c r="B822" t="s">
        <v>794</v>
      </c>
      <c r="C822">
        <v>25</v>
      </c>
      <c r="D822" t="s">
        <v>35</v>
      </c>
      <c r="E822" t="s">
        <v>62</v>
      </c>
      <c r="F822" t="s">
        <v>63</v>
      </c>
      <c r="G822" t="s">
        <v>64</v>
      </c>
      <c r="H822">
        <v>70</v>
      </c>
      <c r="I822">
        <v>92</v>
      </c>
      <c r="J822" t="s">
        <v>68</v>
      </c>
      <c r="K822">
        <v>20000</v>
      </c>
      <c r="L822">
        <v>17830</v>
      </c>
      <c r="M822">
        <v>4000</v>
      </c>
      <c r="N822" t="s">
        <v>26</v>
      </c>
      <c r="O822" t="s">
        <v>27</v>
      </c>
      <c r="P822" s="1">
        <v>45807</v>
      </c>
      <c r="Q822" s="1">
        <v>45897</v>
      </c>
      <c r="R822" s="2">
        <v>0.43541666666666667</v>
      </c>
      <c r="S822" s="2">
        <v>0.53888888888888886</v>
      </c>
      <c r="T822" t="str" cm="1">
        <f t="array" ref="T822">_xlfn.IFS(H822&gt;=90,"A",H822&gt;=75,"B",H822&gt;=60,"C",H822&lt;60,"D")</f>
        <v>C</v>
      </c>
      <c r="U822" t="str">
        <f t="shared" si="48"/>
        <v>10:27 AM</v>
      </c>
      <c r="V822" t="str">
        <f t="shared" si="49"/>
        <v>On Time</v>
      </c>
      <c r="W822" t="str">
        <f t="shared" si="50"/>
        <v>2 Hours 29 Minutes</v>
      </c>
      <c r="X822" t="str">
        <f t="shared" si="51"/>
        <v>Long Time Login</v>
      </c>
      <c r="AA822" s="34" t="s">
        <v>1108</v>
      </c>
      <c r="AB822" s="34" t="s">
        <v>794</v>
      </c>
      <c r="AC822" s="34">
        <v>70</v>
      </c>
      <c r="AD822" s="34">
        <v>92</v>
      </c>
      <c r="AE822" s="34" t="s">
        <v>68</v>
      </c>
      <c r="AF822" s="34">
        <v>4000</v>
      </c>
      <c r="AH822" s="34" t="s">
        <v>27</v>
      </c>
    </row>
    <row r="823" spans="1:34">
      <c r="A823" t="s">
        <v>1109</v>
      </c>
      <c r="B823" t="s">
        <v>169</v>
      </c>
      <c r="C823">
        <v>22</v>
      </c>
      <c r="D823" t="s">
        <v>35</v>
      </c>
      <c r="E823" t="s">
        <v>30</v>
      </c>
      <c r="F823" t="s">
        <v>23</v>
      </c>
      <c r="G823" t="s">
        <v>24</v>
      </c>
      <c r="H823">
        <v>38</v>
      </c>
      <c r="I823">
        <v>80</v>
      </c>
      <c r="J823" t="s">
        <v>25</v>
      </c>
      <c r="K823">
        <v>20000</v>
      </c>
      <c r="L823">
        <v>21830</v>
      </c>
      <c r="M823">
        <v>0</v>
      </c>
      <c r="N823" t="s">
        <v>11</v>
      </c>
      <c r="O823" t="s">
        <v>27</v>
      </c>
      <c r="P823" s="1">
        <v>45728</v>
      </c>
      <c r="Q823" s="1">
        <v>45908</v>
      </c>
      <c r="R823" s="2">
        <v>0.38263888888888886</v>
      </c>
      <c r="S823" s="2">
        <v>0.56111111111111112</v>
      </c>
      <c r="T823" t="str" cm="1">
        <f t="array" ref="T823">_xlfn.IFS(H823&gt;=90,"A",H823&gt;=75,"B",H823&gt;=60,"C",H823&lt;60,"D")</f>
        <v>D</v>
      </c>
      <c r="U823" t="str">
        <f t="shared" si="48"/>
        <v>09:11 AM</v>
      </c>
      <c r="V823" t="str">
        <f t="shared" si="49"/>
        <v>Delayed</v>
      </c>
      <c r="W823" t="str">
        <f t="shared" si="50"/>
        <v>4 Hours 17 Minutes</v>
      </c>
      <c r="X823" t="str">
        <f t="shared" si="51"/>
        <v>Short Time Login</v>
      </c>
      <c r="AA823" s="35" t="s">
        <v>1109</v>
      </c>
      <c r="AB823" s="35" t="s">
        <v>169</v>
      </c>
      <c r="AC823" s="35">
        <v>38</v>
      </c>
      <c r="AD823" s="35">
        <v>80</v>
      </c>
      <c r="AE823" s="35" t="s">
        <v>25</v>
      </c>
      <c r="AF823" s="35">
        <v>0</v>
      </c>
      <c r="AH823" s="35" t="s">
        <v>27</v>
      </c>
    </row>
    <row r="824" spans="1:34">
      <c r="A824" t="s">
        <v>1110</v>
      </c>
      <c r="B824" t="s">
        <v>199</v>
      </c>
      <c r="C824">
        <v>26</v>
      </c>
      <c r="D824" t="s">
        <v>35</v>
      </c>
      <c r="E824" t="s">
        <v>73</v>
      </c>
      <c r="F824" t="s">
        <v>40</v>
      </c>
      <c r="G824" t="s">
        <v>41</v>
      </c>
      <c r="H824">
        <v>53</v>
      </c>
      <c r="I824">
        <v>98</v>
      </c>
      <c r="J824" t="s">
        <v>25</v>
      </c>
      <c r="K824">
        <v>15000</v>
      </c>
      <c r="L824">
        <v>17700</v>
      </c>
      <c r="M824">
        <v>0</v>
      </c>
      <c r="N824" t="s">
        <v>11</v>
      </c>
      <c r="O824" t="s">
        <v>27</v>
      </c>
      <c r="P824" s="1">
        <v>45731</v>
      </c>
      <c r="Q824" s="1">
        <v>45791</v>
      </c>
      <c r="R824" s="2">
        <v>0.43402777777777779</v>
      </c>
      <c r="S824" s="2">
        <v>0.61388888888888893</v>
      </c>
      <c r="T824" t="str" cm="1">
        <f t="array" ref="T824">_xlfn.IFS(H824&gt;=90,"A",H824&gt;=75,"B",H824&gt;=60,"C",H824&lt;60,"D")</f>
        <v>D</v>
      </c>
      <c r="U824" t="str">
        <f t="shared" si="48"/>
        <v>10:25 AM</v>
      </c>
      <c r="V824" t="str">
        <f t="shared" si="49"/>
        <v>On Time</v>
      </c>
      <c r="W824" t="str">
        <f t="shared" si="50"/>
        <v>4 Hours 19 Minutes</v>
      </c>
      <c r="X824" t="str">
        <f t="shared" si="51"/>
        <v>Long Time Login</v>
      </c>
      <c r="AA824" s="34" t="s">
        <v>1110</v>
      </c>
      <c r="AB824" s="34" t="s">
        <v>199</v>
      </c>
      <c r="AC824" s="34">
        <v>53</v>
      </c>
      <c r="AD824" s="34">
        <v>98</v>
      </c>
      <c r="AE824" s="34" t="s">
        <v>25</v>
      </c>
      <c r="AF824" s="34">
        <v>0</v>
      </c>
      <c r="AH824" s="34" t="s">
        <v>27</v>
      </c>
    </row>
    <row r="825" spans="1:34">
      <c r="A825" t="s">
        <v>1111</v>
      </c>
      <c r="B825" t="s">
        <v>963</v>
      </c>
      <c r="C825">
        <v>25</v>
      </c>
      <c r="D825" t="s">
        <v>21</v>
      </c>
      <c r="E825" t="s">
        <v>36</v>
      </c>
      <c r="F825" t="s">
        <v>49</v>
      </c>
      <c r="G825" t="s">
        <v>50</v>
      </c>
      <c r="H825">
        <v>63</v>
      </c>
      <c r="I825">
        <v>65</v>
      </c>
      <c r="J825" t="s">
        <v>68</v>
      </c>
      <c r="K825">
        <v>10000</v>
      </c>
      <c r="L825">
        <v>10030</v>
      </c>
      <c r="M825">
        <v>0</v>
      </c>
      <c r="N825" t="s">
        <v>11</v>
      </c>
      <c r="O825" t="s">
        <v>27</v>
      </c>
      <c r="P825" s="1">
        <v>45829</v>
      </c>
      <c r="Q825" s="1">
        <v>46009</v>
      </c>
      <c r="R825" s="2">
        <v>0.33888888888888891</v>
      </c>
      <c r="S825" s="2">
        <v>0.48958333333333331</v>
      </c>
      <c r="T825" t="str" cm="1">
        <f t="array" ref="T825">_xlfn.IFS(H825&gt;=90,"A",H825&gt;=75,"B",H825&gt;=60,"C",H825&lt;60,"D")</f>
        <v>C</v>
      </c>
      <c r="U825" t="str">
        <f t="shared" si="48"/>
        <v>08:08 AM</v>
      </c>
      <c r="V825" t="str">
        <f t="shared" si="49"/>
        <v>Delayed</v>
      </c>
      <c r="W825" t="str">
        <f t="shared" si="50"/>
        <v>3 Hours 37 Minutes</v>
      </c>
      <c r="X825" t="str">
        <f t="shared" si="51"/>
        <v>Short Time Login</v>
      </c>
      <c r="AA825" s="35" t="s">
        <v>1111</v>
      </c>
      <c r="AB825" s="35" t="s">
        <v>963</v>
      </c>
      <c r="AC825" s="35">
        <v>63</v>
      </c>
      <c r="AD825" s="35">
        <v>65</v>
      </c>
      <c r="AE825" s="35" t="s">
        <v>68</v>
      </c>
      <c r="AF825" s="35">
        <v>0</v>
      </c>
      <c r="AH825" s="35" t="s">
        <v>27</v>
      </c>
    </row>
    <row r="826" spans="1:34">
      <c r="A826" t="s">
        <v>1112</v>
      </c>
      <c r="B826" t="s">
        <v>635</v>
      </c>
      <c r="C826">
        <v>21</v>
      </c>
      <c r="D826" t="s">
        <v>35</v>
      </c>
      <c r="E826" t="s">
        <v>96</v>
      </c>
      <c r="F826" t="s">
        <v>31</v>
      </c>
      <c r="G826" t="s">
        <v>32</v>
      </c>
      <c r="H826">
        <v>82</v>
      </c>
      <c r="I826">
        <v>98</v>
      </c>
      <c r="J826" t="s">
        <v>45</v>
      </c>
      <c r="K826">
        <v>12000</v>
      </c>
      <c r="L826">
        <v>12390</v>
      </c>
      <c r="M826">
        <v>0</v>
      </c>
      <c r="N826" t="s">
        <v>11</v>
      </c>
      <c r="O826" t="s">
        <v>27</v>
      </c>
      <c r="P826" s="1">
        <v>45883</v>
      </c>
      <c r="Q826" s="1">
        <v>46063</v>
      </c>
      <c r="R826" s="2">
        <v>0.44930555555555557</v>
      </c>
      <c r="S826" s="2">
        <v>0.51249999999999996</v>
      </c>
      <c r="T826" t="str" cm="1">
        <f t="array" ref="T826">_xlfn.IFS(H826&gt;=90,"A",H826&gt;=75,"B",H826&gt;=60,"C",H826&lt;60,"D")</f>
        <v>B</v>
      </c>
      <c r="U826" t="str">
        <f t="shared" si="48"/>
        <v>10:47 AM</v>
      </c>
      <c r="V826" t="str">
        <f t="shared" si="49"/>
        <v>Delayed</v>
      </c>
      <c r="W826" t="str">
        <f t="shared" si="50"/>
        <v>1 Hours 31 Minutes</v>
      </c>
      <c r="X826" t="str">
        <f t="shared" si="51"/>
        <v>Long Time Login</v>
      </c>
      <c r="AA826" s="34" t="s">
        <v>1112</v>
      </c>
      <c r="AB826" s="34" t="s">
        <v>635</v>
      </c>
      <c r="AC826" s="34">
        <v>82</v>
      </c>
      <c r="AD826" s="34">
        <v>98</v>
      </c>
      <c r="AE826" s="34" t="s">
        <v>45</v>
      </c>
      <c r="AF826" s="34">
        <v>0</v>
      </c>
      <c r="AH826" s="34" t="s">
        <v>27</v>
      </c>
    </row>
    <row r="827" spans="1:34">
      <c r="A827" t="s">
        <v>1113</v>
      </c>
      <c r="B827" t="s">
        <v>52</v>
      </c>
      <c r="C827">
        <v>20</v>
      </c>
      <c r="D827" t="s">
        <v>21</v>
      </c>
      <c r="E827" t="s">
        <v>48</v>
      </c>
      <c r="F827" t="s">
        <v>31</v>
      </c>
      <c r="G827" t="s">
        <v>32</v>
      </c>
      <c r="H827">
        <v>71</v>
      </c>
      <c r="I827">
        <v>88</v>
      </c>
      <c r="J827" t="s">
        <v>68</v>
      </c>
      <c r="K827">
        <v>12000</v>
      </c>
      <c r="L827">
        <v>13570</v>
      </c>
      <c r="M827">
        <v>0</v>
      </c>
      <c r="N827" t="s">
        <v>11</v>
      </c>
      <c r="O827" t="s">
        <v>27</v>
      </c>
      <c r="P827" s="1">
        <v>45805</v>
      </c>
      <c r="Q827" s="1">
        <v>45895</v>
      </c>
      <c r="R827" s="2">
        <v>0.45763888888888887</v>
      </c>
      <c r="S827" s="2">
        <v>0.61875000000000002</v>
      </c>
      <c r="T827" t="str" cm="1">
        <f t="array" ref="T827">_xlfn.IFS(H827&gt;=90,"A",H827&gt;=75,"B",H827&gt;=60,"C",H827&lt;60,"D")</f>
        <v>C</v>
      </c>
      <c r="U827" t="str">
        <f t="shared" si="48"/>
        <v>10:59 AM</v>
      </c>
      <c r="V827" t="str">
        <f t="shared" si="49"/>
        <v>On Time</v>
      </c>
      <c r="W827" t="str">
        <f t="shared" si="50"/>
        <v>3 Hours 52 Minutes</v>
      </c>
      <c r="X827" t="str">
        <f t="shared" si="51"/>
        <v>Long Time Login</v>
      </c>
      <c r="AA827" s="35" t="s">
        <v>1113</v>
      </c>
      <c r="AB827" s="35" t="s">
        <v>52</v>
      </c>
      <c r="AC827" s="35">
        <v>71</v>
      </c>
      <c r="AD827" s="35">
        <v>88</v>
      </c>
      <c r="AE827" s="35" t="s">
        <v>68</v>
      </c>
      <c r="AF827" s="35">
        <v>0</v>
      </c>
      <c r="AH827" s="35" t="s">
        <v>27</v>
      </c>
    </row>
    <row r="828" spans="1:34">
      <c r="A828" t="s">
        <v>1114</v>
      </c>
      <c r="B828" t="s">
        <v>907</v>
      </c>
      <c r="C828">
        <v>18</v>
      </c>
      <c r="D828" t="s">
        <v>35</v>
      </c>
      <c r="E828" t="s">
        <v>113</v>
      </c>
      <c r="F828" t="s">
        <v>49</v>
      </c>
      <c r="G828" t="s">
        <v>50</v>
      </c>
      <c r="H828">
        <v>99</v>
      </c>
      <c r="I828">
        <v>84</v>
      </c>
      <c r="J828" t="s">
        <v>59</v>
      </c>
      <c r="K828">
        <v>10000</v>
      </c>
      <c r="L828">
        <v>10030</v>
      </c>
      <c r="M828">
        <v>0</v>
      </c>
      <c r="N828" t="s">
        <v>11</v>
      </c>
      <c r="O828" t="s">
        <v>27</v>
      </c>
      <c r="P828" s="1">
        <v>45796</v>
      </c>
      <c r="Q828" s="1">
        <v>45826</v>
      </c>
      <c r="R828" s="2">
        <v>0.37291666666666667</v>
      </c>
      <c r="S828" s="2">
        <v>0.48749999999999999</v>
      </c>
      <c r="T828" t="str" cm="1">
        <f t="array" ref="T828">_xlfn.IFS(H828&gt;=90,"A",H828&gt;=75,"B",H828&gt;=60,"C",H828&lt;60,"D")</f>
        <v>A</v>
      </c>
      <c r="U828" t="str">
        <f t="shared" si="48"/>
        <v>08:57 AM</v>
      </c>
      <c r="V828" t="str">
        <f t="shared" si="49"/>
        <v>On Time</v>
      </c>
      <c r="W828" t="str">
        <f t="shared" si="50"/>
        <v>2 Hours 45 Minutes</v>
      </c>
      <c r="X828" t="str">
        <f t="shared" si="51"/>
        <v>Short Time Login</v>
      </c>
      <c r="AA828" s="34" t="s">
        <v>1114</v>
      </c>
      <c r="AB828" s="34" t="s">
        <v>907</v>
      </c>
      <c r="AC828" s="34">
        <v>99</v>
      </c>
      <c r="AD828" s="34">
        <v>84</v>
      </c>
      <c r="AE828" s="34" t="s">
        <v>59</v>
      </c>
      <c r="AF828" s="34">
        <v>0</v>
      </c>
      <c r="AH828" s="34" t="s">
        <v>27</v>
      </c>
    </row>
    <row r="829" spans="1:34">
      <c r="A829" t="s">
        <v>1115</v>
      </c>
      <c r="B829" t="s">
        <v>449</v>
      </c>
      <c r="C829">
        <v>23</v>
      </c>
      <c r="D829" t="s">
        <v>35</v>
      </c>
      <c r="E829" t="s">
        <v>73</v>
      </c>
      <c r="F829" t="s">
        <v>49</v>
      </c>
      <c r="G829" t="s">
        <v>50</v>
      </c>
      <c r="H829">
        <v>95</v>
      </c>
      <c r="I829">
        <v>67</v>
      </c>
      <c r="J829" t="s">
        <v>59</v>
      </c>
      <c r="K829">
        <v>10000</v>
      </c>
      <c r="L829">
        <v>7800</v>
      </c>
      <c r="M829">
        <v>4000</v>
      </c>
      <c r="N829" t="s">
        <v>26</v>
      </c>
      <c r="O829" t="s">
        <v>27</v>
      </c>
      <c r="P829" s="1">
        <v>45672</v>
      </c>
      <c r="Q829" s="1">
        <v>45762</v>
      </c>
      <c r="R829" s="2">
        <v>0.42986111111111114</v>
      </c>
      <c r="S829" s="2">
        <v>0.58194444444444449</v>
      </c>
      <c r="T829" t="str" cm="1">
        <f t="array" ref="T829">_xlfn.IFS(H829&gt;=90,"A",H829&gt;=75,"B",H829&gt;=60,"C",H829&lt;60,"D")</f>
        <v>A</v>
      </c>
      <c r="U829" t="str">
        <f t="shared" si="48"/>
        <v>10:19 AM</v>
      </c>
      <c r="V829" t="str">
        <f t="shared" si="49"/>
        <v>On Time</v>
      </c>
      <c r="W829" t="str">
        <f t="shared" si="50"/>
        <v>3 Hours 39 Minutes</v>
      </c>
      <c r="X829" t="str">
        <f t="shared" si="51"/>
        <v>Long Time Login</v>
      </c>
      <c r="AA829" s="35" t="s">
        <v>1115</v>
      </c>
      <c r="AB829" s="35" t="s">
        <v>449</v>
      </c>
      <c r="AC829" s="35">
        <v>95</v>
      </c>
      <c r="AD829" s="35">
        <v>67</v>
      </c>
      <c r="AE829" s="35" t="s">
        <v>59</v>
      </c>
      <c r="AF829" s="35">
        <v>4000</v>
      </c>
      <c r="AH829" s="35" t="s">
        <v>27</v>
      </c>
    </row>
    <row r="830" spans="1:34">
      <c r="A830" t="s">
        <v>1116</v>
      </c>
      <c r="B830" t="s">
        <v>181</v>
      </c>
      <c r="C830">
        <v>23</v>
      </c>
      <c r="D830" t="s">
        <v>35</v>
      </c>
      <c r="E830" t="s">
        <v>48</v>
      </c>
      <c r="F830" t="s">
        <v>49</v>
      </c>
      <c r="G830" t="s">
        <v>50</v>
      </c>
      <c r="H830">
        <v>79</v>
      </c>
      <c r="I830">
        <v>61</v>
      </c>
      <c r="J830" t="s">
        <v>45</v>
      </c>
      <c r="K830">
        <v>18000</v>
      </c>
      <c r="L830">
        <v>16650</v>
      </c>
      <c r="M830">
        <v>4000</v>
      </c>
      <c r="N830" t="s">
        <v>26</v>
      </c>
      <c r="O830" t="s">
        <v>27</v>
      </c>
      <c r="P830" s="1">
        <v>45861</v>
      </c>
      <c r="Q830" s="1">
        <v>46041</v>
      </c>
      <c r="R830" s="2">
        <v>0.37222222222222223</v>
      </c>
      <c r="S830" s="2">
        <v>0.53541666666666665</v>
      </c>
      <c r="T830" t="str" cm="1">
        <f t="array" ref="T830">_xlfn.IFS(H830&gt;=90,"A",H830&gt;=75,"B",H830&gt;=60,"C",H830&lt;60,"D")</f>
        <v>B</v>
      </c>
      <c r="U830" t="str">
        <f t="shared" si="48"/>
        <v>08:56 AM</v>
      </c>
      <c r="V830" t="str">
        <f t="shared" si="49"/>
        <v>Delayed</v>
      </c>
      <c r="W830" t="str">
        <f t="shared" si="50"/>
        <v>3 Hours 55 Minutes</v>
      </c>
      <c r="X830" t="str">
        <f t="shared" si="51"/>
        <v>Short Time Login</v>
      </c>
      <c r="AA830" s="34" t="s">
        <v>1116</v>
      </c>
      <c r="AB830" s="34" t="s">
        <v>181</v>
      </c>
      <c r="AC830" s="34">
        <v>79</v>
      </c>
      <c r="AD830" s="34">
        <v>61</v>
      </c>
      <c r="AE830" s="34" t="s">
        <v>45</v>
      </c>
      <c r="AF830" s="34">
        <v>4000</v>
      </c>
      <c r="AH830" s="34" t="s">
        <v>27</v>
      </c>
    </row>
    <row r="831" spans="1:34">
      <c r="A831" t="s">
        <v>1117</v>
      </c>
      <c r="B831" t="s">
        <v>428</v>
      </c>
      <c r="C831">
        <v>26</v>
      </c>
      <c r="D831" t="s">
        <v>21</v>
      </c>
      <c r="E831" t="s">
        <v>122</v>
      </c>
      <c r="F831" t="s">
        <v>23</v>
      </c>
      <c r="G831" t="s">
        <v>24</v>
      </c>
      <c r="H831">
        <v>63</v>
      </c>
      <c r="I831">
        <v>65</v>
      </c>
      <c r="J831" t="s">
        <v>68</v>
      </c>
      <c r="K831">
        <v>10000</v>
      </c>
      <c r="L831">
        <v>7800</v>
      </c>
      <c r="M831">
        <v>4000</v>
      </c>
      <c r="N831" t="s">
        <v>26</v>
      </c>
      <c r="O831" t="s">
        <v>127</v>
      </c>
      <c r="P831" s="1">
        <v>45683</v>
      </c>
      <c r="Q831" s="1">
        <v>45773</v>
      </c>
      <c r="R831" s="2">
        <v>0.39513888888888887</v>
      </c>
      <c r="S831" s="2">
        <v>0.54652777777777772</v>
      </c>
      <c r="T831" t="str" cm="1">
        <f t="array" ref="T831">_xlfn.IFS(H831&gt;=90,"A",H831&gt;=75,"B",H831&gt;=60,"C",H831&lt;60,"D")</f>
        <v>C</v>
      </c>
      <c r="U831" t="str">
        <f t="shared" si="48"/>
        <v>09:29 AM</v>
      </c>
      <c r="V831" t="str">
        <f t="shared" si="49"/>
        <v>On Time</v>
      </c>
      <c r="W831" t="str">
        <f t="shared" si="50"/>
        <v>3 Hours 38 Minutes</v>
      </c>
      <c r="X831" t="str">
        <f t="shared" si="51"/>
        <v>Short Time Login</v>
      </c>
      <c r="AA831" s="35" t="s">
        <v>1117</v>
      </c>
      <c r="AB831" s="35" t="s">
        <v>428</v>
      </c>
      <c r="AC831" s="35">
        <v>63</v>
      </c>
      <c r="AD831" s="35">
        <v>65</v>
      </c>
      <c r="AE831" s="35" t="s">
        <v>68</v>
      </c>
      <c r="AF831" s="35">
        <v>4000</v>
      </c>
      <c r="AH831" s="35" t="s">
        <v>127</v>
      </c>
    </row>
    <row r="832" spans="1:34">
      <c r="A832" t="s">
        <v>1118</v>
      </c>
      <c r="B832" t="s">
        <v>38</v>
      </c>
      <c r="C832">
        <v>24</v>
      </c>
      <c r="D832" t="s">
        <v>35</v>
      </c>
      <c r="E832" t="s">
        <v>62</v>
      </c>
      <c r="F832" t="s">
        <v>40</v>
      </c>
      <c r="G832" t="s">
        <v>41</v>
      </c>
      <c r="H832">
        <v>80</v>
      </c>
      <c r="I832">
        <v>73</v>
      </c>
      <c r="J832" t="s">
        <v>45</v>
      </c>
      <c r="K832">
        <v>20000</v>
      </c>
      <c r="L832">
        <v>23010</v>
      </c>
      <c r="M832">
        <v>0</v>
      </c>
      <c r="N832" t="s">
        <v>11</v>
      </c>
      <c r="O832" t="s">
        <v>27</v>
      </c>
      <c r="P832" s="1">
        <v>45719</v>
      </c>
      <c r="Q832" s="1">
        <v>45899</v>
      </c>
      <c r="R832" s="2">
        <v>0.39652777777777776</v>
      </c>
      <c r="S832" s="2">
        <v>0.44583333333333336</v>
      </c>
      <c r="T832" t="str" cm="1">
        <f t="array" ref="T832">_xlfn.IFS(H832&gt;=90,"A",H832&gt;=75,"B",H832&gt;=60,"C",H832&lt;60,"D")</f>
        <v>B</v>
      </c>
      <c r="U832" t="str">
        <f t="shared" si="48"/>
        <v>09:31 AM</v>
      </c>
      <c r="V832" t="str">
        <f t="shared" si="49"/>
        <v>Delayed</v>
      </c>
      <c r="W832" t="str">
        <f t="shared" si="50"/>
        <v>1 Hours 11 Minutes</v>
      </c>
      <c r="X832" t="str">
        <f t="shared" si="51"/>
        <v>Short Time Login</v>
      </c>
      <c r="AA832" s="34" t="s">
        <v>1118</v>
      </c>
      <c r="AB832" s="34" t="s">
        <v>38</v>
      </c>
      <c r="AC832" s="34">
        <v>80</v>
      </c>
      <c r="AD832" s="34">
        <v>73</v>
      </c>
      <c r="AE832" s="34" t="s">
        <v>45</v>
      </c>
      <c r="AF832" s="34">
        <v>0</v>
      </c>
      <c r="AH832" s="34" t="s">
        <v>27</v>
      </c>
    </row>
    <row r="833" spans="1:34">
      <c r="A833" t="s">
        <v>1119</v>
      </c>
      <c r="B833" t="s">
        <v>305</v>
      </c>
      <c r="C833">
        <v>23</v>
      </c>
      <c r="D833" t="s">
        <v>21</v>
      </c>
      <c r="E833" t="s">
        <v>22</v>
      </c>
      <c r="F833" t="s">
        <v>31</v>
      </c>
      <c r="G833" t="s">
        <v>32</v>
      </c>
      <c r="H833">
        <v>70</v>
      </c>
      <c r="I833">
        <v>83</v>
      </c>
      <c r="J833" t="s">
        <v>68</v>
      </c>
      <c r="K833">
        <v>10000</v>
      </c>
      <c r="L833">
        <v>10030</v>
      </c>
      <c r="M833">
        <v>0</v>
      </c>
      <c r="N833" t="s">
        <v>11</v>
      </c>
      <c r="O833" t="s">
        <v>27</v>
      </c>
      <c r="P833" s="1">
        <v>45920</v>
      </c>
      <c r="Q833" s="1">
        <v>46040</v>
      </c>
      <c r="R833" s="2">
        <v>0.34722222222222221</v>
      </c>
      <c r="S833" s="2">
        <v>0.52152777777777781</v>
      </c>
      <c r="T833" t="str" cm="1">
        <f t="array" ref="T833">_xlfn.IFS(H833&gt;=90,"A",H833&gt;=75,"B",H833&gt;=60,"C",H833&lt;60,"D")</f>
        <v>C</v>
      </c>
      <c r="U833" t="str">
        <f t="shared" si="48"/>
        <v>08:20 AM</v>
      </c>
      <c r="V833" t="str">
        <f t="shared" si="49"/>
        <v>Delayed</v>
      </c>
      <c r="W833" t="str">
        <f t="shared" si="50"/>
        <v>4 Hours 11 Minutes</v>
      </c>
      <c r="X833" t="str">
        <f t="shared" si="51"/>
        <v>Short Time Login</v>
      </c>
      <c r="AA833" s="35" t="s">
        <v>1119</v>
      </c>
      <c r="AB833" s="35" t="s">
        <v>305</v>
      </c>
      <c r="AC833" s="35">
        <v>70</v>
      </c>
      <c r="AD833" s="35">
        <v>83</v>
      </c>
      <c r="AE833" s="35" t="s">
        <v>68</v>
      </c>
      <c r="AF833" s="35">
        <v>0</v>
      </c>
      <c r="AH833" s="35" t="s">
        <v>27</v>
      </c>
    </row>
    <row r="834" spans="1:34">
      <c r="A834" t="s">
        <v>1120</v>
      </c>
      <c r="B834" t="s">
        <v>759</v>
      </c>
      <c r="C834">
        <v>23</v>
      </c>
      <c r="D834" t="s">
        <v>35</v>
      </c>
      <c r="E834" t="s">
        <v>36</v>
      </c>
      <c r="F834" t="s">
        <v>57</v>
      </c>
      <c r="G834" t="s">
        <v>58</v>
      </c>
      <c r="H834">
        <v>86</v>
      </c>
      <c r="I834">
        <v>100</v>
      </c>
      <c r="J834" t="s">
        <v>45</v>
      </c>
      <c r="K834">
        <v>15000</v>
      </c>
      <c r="L834">
        <v>15110</v>
      </c>
      <c r="M834">
        <v>2000</v>
      </c>
      <c r="N834" t="s">
        <v>26</v>
      </c>
      <c r="O834" t="s">
        <v>27</v>
      </c>
      <c r="P834" s="1">
        <v>45915</v>
      </c>
      <c r="Q834" s="1">
        <v>45945</v>
      </c>
      <c r="R834" s="2">
        <v>0.45833333333333331</v>
      </c>
      <c r="S834" s="2">
        <v>0.62569444444444444</v>
      </c>
      <c r="T834" t="str" cm="1">
        <f t="array" ref="T834">_xlfn.IFS(H834&gt;=90,"A",H834&gt;=75,"B",H834&gt;=60,"C",H834&lt;60,"D")</f>
        <v>B</v>
      </c>
      <c r="U834" t="str">
        <f t="shared" ref="U834:U897" si="52">TEXT(R834,"hh:mm AM/PM")</f>
        <v>11:00 AM</v>
      </c>
      <c r="V834" t="str">
        <f t="shared" ref="V834:V897" si="53">IF(_xlfn.DAYS(Q834,P834)&lt;=90,"On Time","Delayed")</f>
        <v>On Time</v>
      </c>
      <c r="W834" t="str">
        <f t="shared" ref="W834:W897" si="54">HOUR(S834-R834)&amp;" Hours "&amp;MINUTE(S834-R834)&amp;" Minutes"</f>
        <v>4 Hours 1 Minutes</v>
      </c>
      <c r="X834" t="str">
        <f t="shared" ref="X834:X897" si="55">IF(R834&gt;TIME(10,0,0),"Long Time Login","Short Time Login")</f>
        <v>Long Time Login</v>
      </c>
      <c r="AA834" s="34" t="s">
        <v>1120</v>
      </c>
      <c r="AB834" s="34" t="s">
        <v>759</v>
      </c>
      <c r="AC834" s="34">
        <v>86</v>
      </c>
      <c r="AD834" s="34">
        <v>100</v>
      </c>
      <c r="AE834" s="34" t="s">
        <v>45</v>
      </c>
      <c r="AF834" s="34">
        <v>2000</v>
      </c>
      <c r="AH834" s="34" t="s">
        <v>27</v>
      </c>
    </row>
    <row r="835" spans="1:34">
      <c r="A835" t="s">
        <v>1121</v>
      </c>
      <c r="B835" t="s">
        <v>217</v>
      </c>
      <c r="C835">
        <v>28</v>
      </c>
      <c r="D835" t="s">
        <v>35</v>
      </c>
      <c r="E835" t="s">
        <v>73</v>
      </c>
      <c r="F835" t="s">
        <v>31</v>
      </c>
      <c r="G835" t="s">
        <v>32</v>
      </c>
      <c r="H835">
        <v>76</v>
      </c>
      <c r="I835">
        <v>71</v>
      </c>
      <c r="J835" t="s">
        <v>45</v>
      </c>
      <c r="K835">
        <v>18000</v>
      </c>
      <c r="L835">
        <v>21240</v>
      </c>
      <c r="M835">
        <v>0</v>
      </c>
      <c r="N835" t="s">
        <v>11</v>
      </c>
      <c r="O835" t="s">
        <v>27</v>
      </c>
      <c r="P835" s="1">
        <v>45929</v>
      </c>
      <c r="Q835" s="1">
        <v>45959</v>
      </c>
      <c r="R835" s="2">
        <v>0.45833333333333331</v>
      </c>
      <c r="S835" s="2">
        <v>0.59861111111111109</v>
      </c>
      <c r="T835" t="str" cm="1">
        <f t="array" ref="T835">_xlfn.IFS(H835&gt;=90,"A",H835&gt;=75,"B",H835&gt;=60,"C",H835&lt;60,"D")</f>
        <v>B</v>
      </c>
      <c r="U835" t="str">
        <f t="shared" si="52"/>
        <v>11:00 AM</v>
      </c>
      <c r="V835" t="str">
        <f t="shared" si="53"/>
        <v>On Time</v>
      </c>
      <c r="W835" t="str">
        <f t="shared" si="54"/>
        <v>3 Hours 22 Minutes</v>
      </c>
      <c r="X835" t="str">
        <f t="shared" si="55"/>
        <v>Long Time Login</v>
      </c>
      <c r="AA835" s="35" t="s">
        <v>1121</v>
      </c>
      <c r="AB835" s="35" t="s">
        <v>217</v>
      </c>
      <c r="AC835" s="35">
        <v>76</v>
      </c>
      <c r="AD835" s="35">
        <v>71</v>
      </c>
      <c r="AE835" s="35" t="s">
        <v>45</v>
      </c>
      <c r="AF835" s="35">
        <v>0</v>
      </c>
      <c r="AH835" s="35" t="s">
        <v>27</v>
      </c>
    </row>
    <row r="836" spans="1:34">
      <c r="A836" t="s">
        <v>1122</v>
      </c>
      <c r="B836" t="s">
        <v>650</v>
      </c>
      <c r="C836">
        <v>22</v>
      </c>
      <c r="D836" t="s">
        <v>21</v>
      </c>
      <c r="E836" t="s">
        <v>36</v>
      </c>
      <c r="F836" t="s">
        <v>31</v>
      </c>
      <c r="G836" t="s">
        <v>32</v>
      </c>
      <c r="H836">
        <v>35</v>
      </c>
      <c r="I836">
        <v>100</v>
      </c>
      <c r="J836" t="s">
        <v>25</v>
      </c>
      <c r="K836">
        <v>10000</v>
      </c>
      <c r="L836">
        <v>7800</v>
      </c>
      <c r="M836">
        <v>4000</v>
      </c>
      <c r="N836" t="s">
        <v>26</v>
      </c>
      <c r="O836" t="s">
        <v>27</v>
      </c>
      <c r="P836" s="1">
        <v>45847</v>
      </c>
      <c r="Q836" s="1">
        <v>46027</v>
      </c>
      <c r="R836" s="2">
        <v>0.35069444444444442</v>
      </c>
      <c r="S836" s="2">
        <v>0.51180555555555551</v>
      </c>
      <c r="T836" t="str" cm="1">
        <f t="array" ref="T836">_xlfn.IFS(H836&gt;=90,"A",H836&gt;=75,"B",H836&gt;=60,"C",H836&lt;60,"D")</f>
        <v>D</v>
      </c>
      <c r="U836" t="str">
        <f t="shared" si="52"/>
        <v>08:25 AM</v>
      </c>
      <c r="V836" t="str">
        <f t="shared" si="53"/>
        <v>Delayed</v>
      </c>
      <c r="W836" t="str">
        <f t="shared" si="54"/>
        <v>3 Hours 52 Minutes</v>
      </c>
      <c r="X836" t="str">
        <f t="shared" si="55"/>
        <v>Short Time Login</v>
      </c>
      <c r="AA836" s="34" t="s">
        <v>1122</v>
      </c>
      <c r="AB836" s="34" t="s">
        <v>650</v>
      </c>
      <c r="AC836" s="34">
        <v>35</v>
      </c>
      <c r="AD836" s="34">
        <v>100</v>
      </c>
      <c r="AE836" s="34" t="s">
        <v>25</v>
      </c>
      <c r="AF836" s="34">
        <v>4000</v>
      </c>
      <c r="AH836" s="34" t="s">
        <v>27</v>
      </c>
    </row>
    <row r="837" spans="1:34">
      <c r="A837" t="s">
        <v>1123</v>
      </c>
      <c r="B837" t="s">
        <v>144</v>
      </c>
      <c r="C837">
        <v>26</v>
      </c>
      <c r="D837" t="s">
        <v>35</v>
      </c>
      <c r="E837" t="s">
        <v>44</v>
      </c>
      <c r="F837" t="s">
        <v>63</v>
      </c>
      <c r="G837" t="s">
        <v>64</v>
      </c>
      <c r="H837">
        <v>41</v>
      </c>
      <c r="I837">
        <v>67</v>
      </c>
      <c r="J837" t="s">
        <v>25</v>
      </c>
      <c r="K837">
        <v>18000</v>
      </c>
      <c r="L837">
        <v>18650</v>
      </c>
      <c r="M837">
        <v>2000</v>
      </c>
      <c r="N837" t="s">
        <v>26</v>
      </c>
      <c r="O837" t="s">
        <v>27</v>
      </c>
      <c r="P837" s="1">
        <v>45861</v>
      </c>
      <c r="Q837" s="1">
        <v>45981</v>
      </c>
      <c r="R837" s="2">
        <v>0.38680555555555557</v>
      </c>
      <c r="S837" s="2">
        <v>0.51458333333333328</v>
      </c>
      <c r="T837" t="str" cm="1">
        <f t="array" ref="T837">_xlfn.IFS(H837&gt;=90,"A",H837&gt;=75,"B",H837&gt;=60,"C",H837&lt;60,"D")</f>
        <v>D</v>
      </c>
      <c r="U837" t="str">
        <f t="shared" si="52"/>
        <v>09:17 AM</v>
      </c>
      <c r="V837" t="str">
        <f t="shared" si="53"/>
        <v>Delayed</v>
      </c>
      <c r="W837" t="str">
        <f t="shared" si="54"/>
        <v>3 Hours 4 Minutes</v>
      </c>
      <c r="X837" t="str">
        <f t="shared" si="55"/>
        <v>Short Time Login</v>
      </c>
      <c r="AA837" s="35" t="s">
        <v>1123</v>
      </c>
      <c r="AB837" s="35" t="s">
        <v>144</v>
      </c>
      <c r="AC837" s="35">
        <v>41</v>
      </c>
      <c r="AD837" s="35">
        <v>67</v>
      </c>
      <c r="AE837" s="35" t="s">
        <v>25</v>
      </c>
      <c r="AF837" s="35">
        <v>2000</v>
      </c>
      <c r="AH837" s="35" t="s">
        <v>27</v>
      </c>
    </row>
    <row r="838" spans="1:34">
      <c r="A838" t="s">
        <v>1124</v>
      </c>
      <c r="B838" t="s">
        <v>81</v>
      </c>
      <c r="C838">
        <v>28</v>
      </c>
      <c r="D838" t="s">
        <v>35</v>
      </c>
      <c r="E838" t="s">
        <v>36</v>
      </c>
      <c r="F838" t="s">
        <v>23</v>
      </c>
      <c r="G838" t="s">
        <v>24</v>
      </c>
      <c r="H838">
        <v>85</v>
      </c>
      <c r="I838">
        <v>63</v>
      </c>
      <c r="J838" t="s">
        <v>45</v>
      </c>
      <c r="K838">
        <v>15000</v>
      </c>
      <c r="L838">
        <v>12520</v>
      </c>
      <c r="M838">
        <v>4000</v>
      </c>
      <c r="N838" t="s">
        <v>26</v>
      </c>
      <c r="O838" t="s">
        <v>127</v>
      </c>
      <c r="P838" s="1">
        <v>45730</v>
      </c>
      <c r="Q838" s="1">
        <v>45910</v>
      </c>
      <c r="R838" s="2">
        <v>0.42499999999999999</v>
      </c>
      <c r="S838" s="2">
        <v>0.52430555555555558</v>
      </c>
      <c r="T838" t="str" cm="1">
        <f t="array" ref="T838">_xlfn.IFS(H838&gt;=90,"A",H838&gt;=75,"B",H838&gt;=60,"C",H838&lt;60,"D")</f>
        <v>B</v>
      </c>
      <c r="U838" t="str">
        <f t="shared" si="52"/>
        <v>10:12 AM</v>
      </c>
      <c r="V838" t="str">
        <f t="shared" si="53"/>
        <v>Delayed</v>
      </c>
      <c r="W838" t="str">
        <f t="shared" si="54"/>
        <v>2 Hours 23 Minutes</v>
      </c>
      <c r="X838" t="str">
        <f t="shared" si="55"/>
        <v>Long Time Login</v>
      </c>
      <c r="AA838" s="34" t="s">
        <v>1124</v>
      </c>
      <c r="AB838" s="34" t="s">
        <v>81</v>
      </c>
      <c r="AC838" s="34">
        <v>85</v>
      </c>
      <c r="AD838" s="34">
        <v>63</v>
      </c>
      <c r="AE838" s="34" t="s">
        <v>45</v>
      </c>
      <c r="AF838" s="34">
        <v>4000</v>
      </c>
      <c r="AH838" s="34" t="s">
        <v>127</v>
      </c>
    </row>
    <row r="839" spans="1:34">
      <c r="A839" t="s">
        <v>1125</v>
      </c>
      <c r="B839" t="s">
        <v>683</v>
      </c>
      <c r="C839">
        <v>27</v>
      </c>
      <c r="D839" t="s">
        <v>21</v>
      </c>
      <c r="E839" t="s">
        <v>36</v>
      </c>
      <c r="F839" t="s">
        <v>57</v>
      </c>
      <c r="G839" t="s">
        <v>58</v>
      </c>
      <c r="H839">
        <v>81</v>
      </c>
      <c r="I839">
        <v>62</v>
      </c>
      <c r="J839" t="s">
        <v>45</v>
      </c>
      <c r="K839">
        <v>10000</v>
      </c>
      <c r="L839">
        <v>9210</v>
      </c>
      <c r="M839">
        <v>2000</v>
      </c>
      <c r="N839" t="s">
        <v>26</v>
      </c>
      <c r="O839" t="s">
        <v>27</v>
      </c>
      <c r="P839" s="1">
        <v>45851</v>
      </c>
      <c r="Q839" s="1">
        <v>45941</v>
      </c>
      <c r="R839" s="2">
        <v>0.37222222222222223</v>
      </c>
      <c r="S839" s="2">
        <v>0.4777777777777778</v>
      </c>
      <c r="T839" t="str" cm="1">
        <f t="array" ref="T839">_xlfn.IFS(H839&gt;=90,"A",H839&gt;=75,"B",H839&gt;=60,"C",H839&lt;60,"D")</f>
        <v>B</v>
      </c>
      <c r="U839" t="str">
        <f t="shared" si="52"/>
        <v>08:56 AM</v>
      </c>
      <c r="V839" t="str">
        <f t="shared" si="53"/>
        <v>On Time</v>
      </c>
      <c r="W839" t="str">
        <f t="shared" si="54"/>
        <v>2 Hours 32 Minutes</v>
      </c>
      <c r="X839" t="str">
        <f t="shared" si="55"/>
        <v>Short Time Login</v>
      </c>
      <c r="AA839" s="35" t="s">
        <v>1125</v>
      </c>
      <c r="AB839" s="35" t="s">
        <v>683</v>
      </c>
      <c r="AC839" s="35">
        <v>81</v>
      </c>
      <c r="AD839" s="35">
        <v>62</v>
      </c>
      <c r="AE839" s="35" t="s">
        <v>45</v>
      </c>
      <c r="AF839" s="35">
        <v>2000</v>
      </c>
      <c r="AH839" s="35" t="s">
        <v>27</v>
      </c>
    </row>
    <row r="840" spans="1:34">
      <c r="A840" t="s">
        <v>1126</v>
      </c>
      <c r="B840" t="s">
        <v>215</v>
      </c>
      <c r="C840">
        <v>25</v>
      </c>
      <c r="D840" t="s">
        <v>35</v>
      </c>
      <c r="E840" t="s">
        <v>113</v>
      </c>
      <c r="F840" t="s">
        <v>63</v>
      </c>
      <c r="G840" t="s">
        <v>64</v>
      </c>
      <c r="H840">
        <v>86</v>
      </c>
      <c r="I840">
        <v>61</v>
      </c>
      <c r="J840" t="s">
        <v>45</v>
      </c>
      <c r="K840">
        <v>15000</v>
      </c>
      <c r="L840">
        <v>17110</v>
      </c>
      <c r="M840">
        <v>0</v>
      </c>
      <c r="N840" t="s">
        <v>11</v>
      </c>
      <c r="O840" t="s">
        <v>27</v>
      </c>
      <c r="P840" s="1">
        <v>45875</v>
      </c>
      <c r="Q840" s="1">
        <v>46055</v>
      </c>
      <c r="R840" s="2">
        <v>0.41111111111111109</v>
      </c>
      <c r="S840" s="2">
        <v>0.56527777777777777</v>
      </c>
      <c r="T840" t="str" cm="1">
        <f t="array" ref="T840">_xlfn.IFS(H840&gt;=90,"A",H840&gt;=75,"B",H840&gt;=60,"C",H840&lt;60,"D")</f>
        <v>B</v>
      </c>
      <c r="U840" t="str">
        <f t="shared" si="52"/>
        <v>09:52 AM</v>
      </c>
      <c r="V840" t="str">
        <f t="shared" si="53"/>
        <v>Delayed</v>
      </c>
      <c r="W840" t="str">
        <f t="shared" si="54"/>
        <v>3 Hours 42 Minutes</v>
      </c>
      <c r="X840" t="str">
        <f t="shared" si="55"/>
        <v>Short Time Login</v>
      </c>
      <c r="AA840" s="34" t="s">
        <v>1126</v>
      </c>
      <c r="AB840" s="34" t="s">
        <v>215</v>
      </c>
      <c r="AC840" s="34">
        <v>86</v>
      </c>
      <c r="AD840" s="34">
        <v>61</v>
      </c>
      <c r="AE840" s="34" t="s">
        <v>45</v>
      </c>
      <c r="AF840" s="34">
        <v>0</v>
      </c>
      <c r="AH840" s="34" t="s">
        <v>27</v>
      </c>
    </row>
    <row r="841" spans="1:34">
      <c r="A841" t="s">
        <v>1127</v>
      </c>
      <c r="B841" t="s">
        <v>770</v>
      </c>
      <c r="C841">
        <v>22</v>
      </c>
      <c r="D841" t="s">
        <v>35</v>
      </c>
      <c r="E841" t="s">
        <v>67</v>
      </c>
      <c r="F841" t="s">
        <v>40</v>
      </c>
      <c r="G841" t="s">
        <v>41</v>
      </c>
      <c r="H841">
        <v>75</v>
      </c>
      <c r="I841">
        <v>79</v>
      </c>
      <c r="J841" t="s">
        <v>45</v>
      </c>
      <c r="K841">
        <v>15000</v>
      </c>
      <c r="L841">
        <v>13930</v>
      </c>
      <c r="M841">
        <v>2000</v>
      </c>
      <c r="N841" t="s">
        <v>26</v>
      </c>
      <c r="O841" t="s">
        <v>27</v>
      </c>
      <c r="P841" s="1">
        <v>45702</v>
      </c>
      <c r="Q841" s="1">
        <v>45762</v>
      </c>
      <c r="R841" s="2">
        <v>0.41319444444444442</v>
      </c>
      <c r="S841" s="2">
        <v>0.50347222222222221</v>
      </c>
      <c r="T841" t="str" cm="1">
        <f t="array" ref="T841">_xlfn.IFS(H841&gt;=90,"A",H841&gt;=75,"B",H841&gt;=60,"C",H841&lt;60,"D")</f>
        <v>B</v>
      </c>
      <c r="U841" t="str">
        <f t="shared" si="52"/>
        <v>09:55 AM</v>
      </c>
      <c r="V841" t="str">
        <f t="shared" si="53"/>
        <v>On Time</v>
      </c>
      <c r="W841" t="str">
        <f t="shared" si="54"/>
        <v>2 Hours 10 Minutes</v>
      </c>
      <c r="X841" t="str">
        <f t="shared" si="55"/>
        <v>Short Time Login</v>
      </c>
      <c r="AA841" s="35" t="s">
        <v>1127</v>
      </c>
      <c r="AB841" s="35" t="s">
        <v>770</v>
      </c>
      <c r="AC841" s="35">
        <v>75</v>
      </c>
      <c r="AD841" s="35">
        <v>79</v>
      </c>
      <c r="AE841" s="35" t="s">
        <v>45</v>
      </c>
      <c r="AF841" s="35">
        <v>2000</v>
      </c>
      <c r="AH841" s="35" t="s">
        <v>27</v>
      </c>
    </row>
    <row r="842" spans="1:34">
      <c r="A842" t="s">
        <v>1128</v>
      </c>
      <c r="B842" t="s">
        <v>408</v>
      </c>
      <c r="C842">
        <v>25</v>
      </c>
      <c r="D842" t="s">
        <v>21</v>
      </c>
      <c r="E842" t="s">
        <v>36</v>
      </c>
      <c r="F842" t="s">
        <v>53</v>
      </c>
      <c r="G842" t="s">
        <v>54</v>
      </c>
      <c r="H842">
        <v>100</v>
      </c>
      <c r="I842">
        <v>77</v>
      </c>
      <c r="J842" t="s">
        <v>59</v>
      </c>
      <c r="K842">
        <v>10000</v>
      </c>
      <c r="L842">
        <v>10620</v>
      </c>
      <c r="M842">
        <v>0</v>
      </c>
      <c r="N842" t="s">
        <v>11</v>
      </c>
      <c r="O842" t="s">
        <v>27</v>
      </c>
      <c r="P842" s="1">
        <v>45797</v>
      </c>
      <c r="Q842" s="1">
        <v>45857</v>
      </c>
      <c r="R842" s="2">
        <v>0.3840277777777778</v>
      </c>
      <c r="S842" s="2">
        <v>0.42708333333333331</v>
      </c>
      <c r="T842" t="str" cm="1">
        <f t="array" ref="T842">_xlfn.IFS(H842&gt;=90,"A",H842&gt;=75,"B",H842&gt;=60,"C",H842&lt;60,"D")</f>
        <v>A</v>
      </c>
      <c r="U842" t="str">
        <f t="shared" si="52"/>
        <v>09:13 AM</v>
      </c>
      <c r="V842" t="str">
        <f t="shared" si="53"/>
        <v>On Time</v>
      </c>
      <c r="W842" t="str">
        <f t="shared" si="54"/>
        <v>1 Hours 2 Minutes</v>
      </c>
      <c r="X842" t="str">
        <f t="shared" si="55"/>
        <v>Short Time Login</v>
      </c>
      <c r="AA842" s="34" t="s">
        <v>1128</v>
      </c>
      <c r="AB842" s="34" t="s">
        <v>408</v>
      </c>
      <c r="AC842" s="34">
        <v>100</v>
      </c>
      <c r="AD842" s="34">
        <v>77</v>
      </c>
      <c r="AE842" s="34" t="s">
        <v>59</v>
      </c>
      <c r="AF842" s="34">
        <v>0</v>
      </c>
      <c r="AH842" s="34" t="s">
        <v>27</v>
      </c>
    </row>
    <row r="843" spans="1:34">
      <c r="A843" t="s">
        <v>1129</v>
      </c>
      <c r="B843" t="s">
        <v>302</v>
      </c>
      <c r="C843">
        <v>27</v>
      </c>
      <c r="D843" t="s">
        <v>35</v>
      </c>
      <c r="E843" t="s">
        <v>30</v>
      </c>
      <c r="F843" t="s">
        <v>53</v>
      </c>
      <c r="G843" t="s">
        <v>54</v>
      </c>
      <c r="H843">
        <v>89</v>
      </c>
      <c r="I843">
        <v>91</v>
      </c>
      <c r="J843" t="s">
        <v>45</v>
      </c>
      <c r="K843">
        <v>12000</v>
      </c>
      <c r="L843">
        <v>9570</v>
      </c>
      <c r="M843">
        <v>4000</v>
      </c>
      <c r="N843" t="s">
        <v>26</v>
      </c>
      <c r="O843" t="s">
        <v>27</v>
      </c>
      <c r="P843" s="1">
        <v>46012</v>
      </c>
      <c r="Q843" s="1">
        <v>46132</v>
      </c>
      <c r="R843" s="2">
        <v>0.35555555555555557</v>
      </c>
      <c r="S843" s="2">
        <v>0.44374999999999998</v>
      </c>
      <c r="T843" t="str" cm="1">
        <f t="array" ref="T843">_xlfn.IFS(H843&gt;=90,"A",H843&gt;=75,"B",H843&gt;=60,"C",H843&lt;60,"D")</f>
        <v>B</v>
      </c>
      <c r="U843" t="str">
        <f t="shared" si="52"/>
        <v>08:32 AM</v>
      </c>
      <c r="V843" t="str">
        <f t="shared" si="53"/>
        <v>Delayed</v>
      </c>
      <c r="W843" t="str">
        <f t="shared" si="54"/>
        <v>2 Hours 7 Minutes</v>
      </c>
      <c r="X843" t="str">
        <f t="shared" si="55"/>
        <v>Short Time Login</v>
      </c>
      <c r="AA843" s="35" t="s">
        <v>1129</v>
      </c>
      <c r="AB843" s="35" t="s">
        <v>302</v>
      </c>
      <c r="AC843" s="35">
        <v>89</v>
      </c>
      <c r="AD843" s="35">
        <v>91</v>
      </c>
      <c r="AE843" s="35" t="s">
        <v>45</v>
      </c>
      <c r="AF843" s="35">
        <v>4000</v>
      </c>
      <c r="AH843" s="35" t="s">
        <v>27</v>
      </c>
    </row>
    <row r="844" spans="1:34">
      <c r="A844" t="s">
        <v>1130</v>
      </c>
      <c r="B844" t="s">
        <v>343</v>
      </c>
      <c r="C844">
        <v>23</v>
      </c>
      <c r="D844" t="s">
        <v>21</v>
      </c>
      <c r="E844" t="s">
        <v>39</v>
      </c>
      <c r="F844" t="s">
        <v>57</v>
      </c>
      <c r="G844" t="s">
        <v>58</v>
      </c>
      <c r="H844">
        <v>75</v>
      </c>
      <c r="I844">
        <v>79</v>
      </c>
      <c r="J844" t="s">
        <v>45</v>
      </c>
      <c r="K844">
        <v>18000</v>
      </c>
      <c r="L844">
        <v>18060</v>
      </c>
      <c r="M844">
        <v>2000</v>
      </c>
      <c r="N844" t="s">
        <v>26</v>
      </c>
      <c r="O844" t="s">
        <v>27</v>
      </c>
      <c r="P844" s="1">
        <v>45725</v>
      </c>
      <c r="Q844" s="1">
        <v>45905</v>
      </c>
      <c r="R844" s="2">
        <v>0.40555555555555556</v>
      </c>
      <c r="S844" s="2">
        <v>0.60972222222222228</v>
      </c>
      <c r="T844" t="str" cm="1">
        <f t="array" ref="T844">_xlfn.IFS(H844&gt;=90,"A",H844&gt;=75,"B",H844&gt;=60,"C",H844&lt;60,"D")</f>
        <v>B</v>
      </c>
      <c r="U844" t="str">
        <f t="shared" si="52"/>
        <v>09:44 AM</v>
      </c>
      <c r="V844" t="str">
        <f t="shared" si="53"/>
        <v>Delayed</v>
      </c>
      <c r="W844" t="str">
        <f t="shared" si="54"/>
        <v>4 Hours 54 Minutes</v>
      </c>
      <c r="X844" t="str">
        <f t="shared" si="55"/>
        <v>Short Time Login</v>
      </c>
      <c r="AA844" s="34" t="s">
        <v>1130</v>
      </c>
      <c r="AB844" s="34" t="s">
        <v>343</v>
      </c>
      <c r="AC844" s="34">
        <v>75</v>
      </c>
      <c r="AD844" s="34">
        <v>79</v>
      </c>
      <c r="AE844" s="34" t="s">
        <v>45</v>
      </c>
      <c r="AF844" s="34">
        <v>2000</v>
      </c>
      <c r="AH844" s="34" t="s">
        <v>27</v>
      </c>
    </row>
    <row r="845" spans="1:34">
      <c r="A845" t="s">
        <v>1131</v>
      </c>
      <c r="B845" t="s">
        <v>266</v>
      </c>
      <c r="C845">
        <v>28</v>
      </c>
      <c r="D845" t="s">
        <v>35</v>
      </c>
      <c r="E845" t="s">
        <v>62</v>
      </c>
      <c r="F845" t="s">
        <v>88</v>
      </c>
      <c r="G845" t="s">
        <v>89</v>
      </c>
      <c r="H845">
        <v>75</v>
      </c>
      <c r="I845">
        <v>76</v>
      </c>
      <c r="J845" t="s">
        <v>45</v>
      </c>
      <c r="K845">
        <v>10000</v>
      </c>
      <c r="L845">
        <v>8030</v>
      </c>
      <c r="M845">
        <v>2000</v>
      </c>
      <c r="N845" t="s">
        <v>26</v>
      </c>
      <c r="O845" t="s">
        <v>27</v>
      </c>
      <c r="P845" s="1">
        <v>45699</v>
      </c>
      <c r="Q845" s="1">
        <v>45819</v>
      </c>
      <c r="R845" s="2">
        <v>0.34513888888888888</v>
      </c>
      <c r="S845" s="2">
        <v>0.40416666666666667</v>
      </c>
      <c r="T845" t="str" cm="1">
        <f t="array" ref="T845">_xlfn.IFS(H845&gt;=90,"A",H845&gt;=75,"B",H845&gt;=60,"C",H845&lt;60,"D")</f>
        <v>B</v>
      </c>
      <c r="U845" t="str">
        <f t="shared" si="52"/>
        <v>08:17 AM</v>
      </c>
      <c r="V845" t="str">
        <f t="shared" si="53"/>
        <v>Delayed</v>
      </c>
      <c r="W845" t="str">
        <f t="shared" si="54"/>
        <v>1 Hours 25 Minutes</v>
      </c>
      <c r="X845" t="str">
        <f t="shared" si="55"/>
        <v>Short Time Login</v>
      </c>
      <c r="AA845" s="35" t="s">
        <v>1131</v>
      </c>
      <c r="AB845" s="35" t="s">
        <v>266</v>
      </c>
      <c r="AC845" s="35">
        <v>75</v>
      </c>
      <c r="AD845" s="35">
        <v>76</v>
      </c>
      <c r="AE845" s="35" t="s">
        <v>45</v>
      </c>
      <c r="AF845" s="35">
        <v>2000</v>
      </c>
      <c r="AH845" s="35" t="s">
        <v>27</v>
      </c>
    </row>
    <row r="846" spans="1:34">
      <c r="A846" t="s">
        <v>1132</v>
      </c>
      <c r="B846" t="s">
        <v>369</v>
      </c>
      <c r="C846">
        <v>20</v>
      </c>
      <c r="D846" t="s">
        <v>35</v>
      </c>
      <c r="E846" t="s">
        <v>22</v>
      </c>
      <c r="F846" t="s">
        <v>23</v>
      </c>
      <c r="G846" t="s">
        <v>24</v>
      </c>
      <c r="H846">
        <v>81</v>
      </c>
      <c r="I846">
        <v>84</v>
      </c>
      <c r="J846" t="s">
        <v>45</v>
      </c>
      <c r="K846">
        <v>18000</v>
      </c>
      <c r="L846">
        <v>18060</v>
      </c>
      <c r="M846">
        <v>2000</v>
      </c>
      <c r="N846" t="s">
        <v>26</v>
      </c>
      <c r="O846" t="s">
        <v>27</v>
      </c>
      <c r="P846" s="1">
        <v>45803</v>
      </c>
      <c r="Q846" s="1">
        <v>45863</v>
      </c>
      <c r="R846" s="2">
        <v>0.34722222222222221</v>
      </c>
      <c r="S846" s="2">
        <v>0.39444444444444443</v>
      </c>
      <c r="T846" t="str" cm="1">
        <f t="array" ref="T846">_xlfn.IFS(H846&gt;=90,"A",H846&gt;=75,"B",H846&gt;=60,"C",H846&lt;60,"D")</f>
        <v>B</v>
      </c>
      <c r="U846" t="str">
        <f t="shared" si="52"/>
        <v>08:20 AM</v>
      </c>
      <c r="V846" t="str">
        <f t="shared" si="53"/>
        <v>On Time</v>
      </c>
      <c r="W846" t="str">
        <f t="shared" si="54"/>
        <v>1 Hours 8 Minutes</v>
      </c>
      <c r="X846" t="str">
        <f t="shared" si="55"/>
        <v>Short Time Login</v>
      </c>
      <c r="AA846" s="34" t="s">
        <v>1132</v>
      </c>
      <c r="AB846" s="34" t="s">
        <v>369</v>
      </c>
      <c r="AC846" s="34">
        <v>81</v>
      </c>
      <c r="AD846" s="34">
        <v>84</v>
      </c>
      <c r="AE846" s="34" t="s">
        <v>45</v>
      </c>
      <c r="AF846" s="34">
        <v>2000</v>
      </c>
      <c r="AH846" s="34" t="s">
        <v>27</v>
      </c>
    </row>
    <row r="847" spans="1:34">
      <c r="A847" t="s">
        <v>1133</v>
      </c>
      <c r="B847" t="s">
        <v>376</v>
      </c>
      <c r="C847">
        <v>27</v>
      </c>
      <c r="D847" t="s">
        <v>35</v>
      </c>
      <c r="E847" t="s">
        <v>48</v>
      </c>
      <c r="F847" t="s">
        <v>49</v>
      </c>
      <c r="G847" t="s">
        <v>50</v>
      </c>
      <c r="H847">
        <v>71</v>
      </c>
      <c r="I847">
        <v>78</v>
      </c>
      <c r="J847" t="s">
        <v>68</v>
      </c>
      <c r="K847">
        <v>20000</v>
      </c>
      <c r="L847">
        <v>19600</v>
      </c>
      <c r="M847">
        <v>4000</v>
      </c>
      <c r="N847" t="s">
        <v>26</v>
      </c>
      <c r="O847" t="s">
        <v>27</v>
      </c>
      <c r="P847" s="1">
        <v>45677</v>
      </c>
      <c r="Q847" s="1">
        <v>45767</v>
      </c>
      <c r="R847" s="2">
        <v>0.42430555555555555</v>
      </c>
      <c r="S847" s="2">
        <v>0.59444444444444444</v>
      </c>
      <c r="T847" t="str" cm="1">
        <f t="array" ref="T847">_xlfn.IFS(H847&gt;=90,"A",H847&gt;=75,"B",H847&gt;=60,"C",H847&lt;60,"D")</f>
        <v>C</v>
      </c>
      <c r="U847" t="str">
        <f t="shared" si="52"/>
        <v>10:11 AM</v>
      </c>
      <c r="V847" t="str">
        <f t="shared" si="53"/>
        <v>On Time</v>
      </c>
      <c r="W847" t="str">
        <f t="shared" si="54"/>
        <v>4 Hours 5 Minutes</v>
      </c>
      <c r="X847" t="str">
        <f t="shared" si="55"/>
        <v>Long Time Login</v>
      </c>
      <c r="AA847" s="35" t="s">
        <v>1133</v>
      </c>
      <c r="AB847" s="35" t="s">
        <v>376</v>
      </c>
      <c r="AC847" s="35">
        <v>71</v>
      </c>
      <c r="AD847" s="35">
        <v>78</v>
      </c>
      <c r="AE847" s="35" t="s">
        <v>68</v>
      </c>
      <c r="AF847" s="35">
        <v>4000</v>
      </c>
      <c r="AH847" s="35" t="s">
        <v>27</v>
      </c>
    </row>
    <row r="848" spans="1:34">
      <c r="A848" t="s">
        <v>1134</v>
      </c>
      <c r="B848" t="s">
        <v>650</v>
      </c>
      <c r="C848">
        <v>25</v>
      </c>
      <c r="D848" t="s">
        <v>35</v>
      </c>
      <c r="E848" t="s">
        <v>67</v>
      </c>
      <c r="F848" t="s">
        <v>23</v>
      </c>
      <c r="G848" t="s">
        <v>24</v>
      </c>
      <c r="H848">
        <v>86</v>
      </c>
      <c r="I848">
        <v>96</v>
      </c>
      <c r="J848" t="s">
        <v>45</v>
      </c>
      <c r="K848">
        <v>15000</v>
      </c>
      <c r="L848">
        <v>15930</v>
      </c>
      <c r="M848">
        <v>0</v>
      </c>
      <c r="N848" t="s">
        <v>11</v>
      </c>
      <c r="O848" t="s">
        <v>27</v>
      </c>
      <c r="P848" s="1">
        <v>45798</v>
      </c>
      <c r="Q848" s="1">
        <v>45888</v>
      </c>
      <c r="R848" s="2">
        <v>0.34930555555555554</v>
      </c>
      <c r="S848" s="2">
        <v>0.42708333333333331</v>
      </c>
      <c r="T848" t="str" cm="1">
        <f t="array" ref="T848">_xlfn.IFS(H848&gt;=90,"A",H848&gt;=75,"B",H848&gt;=60,"C",H848&lt;60,"D")</f>
        <v>B</v>
      </c>
      <c r="U848" t="str">
        <f t="shared" si="52"/>
        <v>08:23 AM</v>
      </c>
      <c r="V848" t="str">
        <f t="shared" si="53"/>
        <v>On Time</v>
      </c>
      <c r="W848" t="str">
        <f t="shared" si="54"/>
        <v>1 Hours 52 Minutes</v>
      </c>
      <c r="X848" t="str">
        <f t="shared" si="55"/>
        <v>Short Time Login</v>
      </c>
      <c r="AA848" s="34" t="s">
        <v>1134</v>
      </c>
      <c r="AB848" s="34" t="s">
        <v>650</v>
      </c>
      <c r="AC848" s="34">
        <v>86</v>
      </c>
      <c r="AD848" s="34">
        <v>96</v>
      </c>
      <c r="AE848" s="34" t="s">
        <v>45</v>
      </c>
      <c r="AF848" s="34">
        <v>0</v>
      </c>
      <c r="AH848" s="34" t="s">
        <v>27</v>
      </c>
    </row>
    <row r="849" spans="1:34">
      <c r="A849" t="s">
        <v>1135</v>
      </c>
      <c r="B849" t="s">
        <v>503</v>
      </c>
      <c r="C849">
        <v>25</v>
      </c>
      <c r="D849" t="s">
        <v>21</v>
      </c>
      <c r="E849" t="s">
        <v>36</v>
      </c>
      <c r="F849" t="s">
        <v>31</v>
      </c>
      <c r="G849" t="s">
        <v>32</v>
      </c>
      <c r="H849">
        <v>62</v>
      </c>
      <c r="I849">
        <v>68</v>
      </c>
      <c r="J849" t="s">
        <v>68</v>
      </c>
      <c r="K849">
        <v>20000</v>
      </c>
      <c r="L849">
        <v>18420</v>
      </c>
      <c r="M849">
        <v>4000</v>
      </c>
      <c r="N849" t="s">
        <v>26</v>
      </c>
      <c r="O849" t="s">
        <v>127</v>
      </c>
      <c r="P849" s="1">
        <v>45946</v>
      </c>
      <c r="Q849" s="1">
        <v>46036</v>
      </c>
      <c r="R849" s="2">
        <v>0.40277777777777779</v>
      </c>
      <c r="S849" s="2">
        <v>0.47638888888888886</v>
      </c>
      <c r="T849" t="str" cm="1">
        <f t="array" ref="T849">_xlfn.IFS(H849&gt;=90,"A",H849&gt;=75,"B",H849&gt;=60,"C",H849&lt;60,"D")</f>
        <v>C</v>
      </c>
      <c r="U849" t="str">
        <f t="shared" si="52"/>
        <v>09:40 AM</v>
      </c>
      <c r="V849" t="str">
        <f t="shared" si="53"/>
        <v>On Time</v>
      </c>
      <c r="W849" t="str">
        <f t="shared" si="54"/>
        <v>1 Hours 46 Minutes</v>
      </c>
      <c r="X849" t="str">
        <f t="shared" si="55"/>
        <v>Short Time Login</v>
      </c>
      <c r="AA849" s="35" t="s">
        <v>1135</v>
      </c>
      <c r="AB849" s="35" t="s">
        <v>503</v>
      </c>
      <c r="AC849" s="35">
        <v>62</v>
      </c>
      <c r="AD849" s="35">
        <v>68</v>
      </c>
      <c r="AE849" s="35" t="s">
        <v>68</v>
      </c>
      <c r="AF849" s="35">
        <v>4000</v>
      </c>
      <c r="AH849" s="35" t="s">
        <v>127</v>
      </c>
    </row>
    <row r="850" spans="1:34">
      <c r="A850" t="s">
        <v>1136</v>
      </c>
      <c r="B850" t="s">
        <v>61</v>
      </c>
      <c r="C850">
        <v>28</v>
      </c>
      <c r="D850" t="s">
        <v>21</v>
      </c>
      <c r="E850" t="s">
        <v>122</v>
      </c>
      <c r="F850" t="s">
        <v>53</v>
      </c>
      <c r="G850" t="s">
        <v>54</v>
      </c>
      <c r="H850">
        <v>88</v>
      </c>
      <c r="I850">
        <v>76</v>
      </c>
      <c r="J850" t="s">
        <v>45</v>
      </c>
      <c r="K850">
        <v>18000</v>
      </c>
      <c r="L850">
        <v>17470</v>
      </c>
      <c r="M850">
        <v>2000</v>
      </c>
      <c r="N850" t="s">
        <v>26</v>
      </c>
      <c r="O850" t="s">
        <v>27</v>
      </c>
      <c r="P850" s="1">
        <v>45756</v>
      </c>
      <c r="Q850" s="1">
        <v>45786</v>
      </c>
      <c r="R850" s="2">
        <v>0.34791666666666665</v>
      </c>
      <c r="S850" s="2">
        <v>0.53541666666666665</v>
      </c>
      <c r="T850" t="str" cm="1">
        <f t="array" ref="T850">_xlfn.IFS(H850&gt;=90,"A",H850&gt;=75,"B",H850&gt;=60,"C",H850&lt;60,"D")</f>
        <v>B</v>
      </c>
      <c r="U850" t="str">
        <f t="shared" si="52"/>
        <v>08:21 AM</v>
      </c>
      <c r="V850" t="str">
        <f t="shared" si="53"/>
        <v>On Time</v>
      </c>
      <c r="W850" t="str">
        <f t="shared" si="54"/>
        <v>4 Hours 30 Minutes</v>
      </c>
      <c r="X850" t="str">
        <f t="shared" si="55"/>
        <v>Short Time Login</v>
      </c>
      <c r="AA850" s="34" t="s">
        <v>1136</v>
      </c>
      <c r="AB850" s="34" t="s">
        <v>61</v>
      </c>
      <c r="AC850" s="34">
        <v>88</v>
      </c>
      <c r="AD850" s="34">
        <v>76</v>
      </c>
      <c r="AE850" s="34" t="s">
        <v>45</v>
      </c>
      <c r="AF850" s="34">
        <v>2000</v>
      </c>
      <c r="AH850" s="34" t="s">
        <v>27</v>
      </c>
    </row>
    <row r="851" spans="1:34">
      <c r="A851" t="s">
        <v>1137</v>
      </c>
      <c r="B851" t="s">
        <v>414</v>
      </c>
      <c r="C851">
        <v>27</v>
      </c>
      <c r="D851" t="s">
        <v>35</v>
      </c>
      <c r="E851" t="s">
        <v>48</v>
      </c>
      <c r="F851" t="s">
        <v>88</v>
      </c>
      <c r="G851" t="s">
        <v>89</v>
      </c>
      <c r="H851">
        <v>82</v>
      </c>
      <c r="I851">
        <v>89</v>
      </c>
      <c r="J851" t="s">
        <v>45</v>
      </c>
      <c r="K851">
        <v>20000</v>
      </c>
      <c r="L851">
        <v>17830</v>
      </c>
      <c r="M851">
        <v>4000</v>
      </c>
      <c r="N851" t="s">
        <v>26</v>
      </c>
      <c r="O851" t="s">
        <v>27</v>
      </c>
      <c r="P851" s="1">
        <v>45836</v>
      </c>
      <c r="Q851" s="1">
        <v>45956</v>
      </c>
      <c r="R851" s="2">
        <v>0.42986111111111114</v>
      </c>
      <c r="S851" s="2">
        <v>0.56041666666666667</v>
      </c>
      <c r="T851" t="str" cm="1">
        <f t="array" ref="T851">_xlfn.IFS(H851&gt;=90,"A",H851&gt;=75,"B",H851&gt;=60,"C",H851&lt;60,"D")</f>
        <v>B</v>
      </c>
      <c r="U851" t="str">
        <f t="shared" si="52"/>
        <v>10:19 AM</v>
      </c>
      <c r="V851" t="str">
        <f t="shared" si="53"/>
        <v>Delayed</v>
      </c>
      <c r="W851" t="str">
        <f t="shared" si="54"/>
        <v>3 Hours 8 Minutes</v>
      </c>
      <c r="X851" t="str">
        <f t="shared" si="55"/>
        <v>Long Time Login</v>
      </c>
      <c r="AA851" s="35" t="s">
        <v>1137</v>
      </c>
      <c r="AB851" s="35" t="s">
        <v>414</v>
      </c>
      <c r="AC851" s="35">
        <v>82</v>
      </c>
      <c r="AD851" s="35">
        <v>89</v>
      </c>
      <c r="AE851" s="35" t="s">
        <v>45</v>
      </c>
      <c r="AF851" s="35">
        <v>4000</v>
      </c>
      <c r="AH851" s="35" t="s">
        <v>27</v>
      </c>
    </row>
    <row r="852" spans="1:34">
      <c r="A852" t="s">
        <v>1138</v>
      </c>
      <c r="B852" t="s">
        <v>696</v>
      </c>
      <c r="C852">
        <v>18</v>
      </c>
      <c r="D852" t="s">
        <v>21</v>
      </c>
      <c r="E852" t="s">
        <v>39</v>
      </c>
      <c r="F852" t="s">
        <v>49</v>
      </c>
      <c r="G852" t="s">
        <v>50</v>
      </c>
      <c r="H852">
        <v>40</v>
      </c>
      <c r="I852">
        <v>73</v>
      </c>
      <c r="J852" t="s">
        <v>25</v>
      </c>
      <c r="K852">
        <v>15000</v>
      </c>
      <c r="L852">
        <v>15930</v>
      </c>
      <c r="M852">
        <v>0</v>
      </c>
      <c r="N852" t="s">
        <v>11</v>
      </c>
      <c r="O852" t="s">
        <v>27</v>
      </c>
      <c r="P852" s="1">
        <v>45887</v>
      </c>
      <c r="Q852" s="1">
        <v>46067</v>
      </c>
      <c r="R852" s="2">
        <v>0.35902777777777778</v>
      </c>
      <c r="S852" s="2">
        <v>0.54305555555555551</v>
      </c>
      <c r="T852" t="str" cm="1">
        <f t="array" ref="T852">_xlfn.IFS(H852&gt;=90,"A",H852&gt;=75,"B",H852&gt;=60,"C",H852&lt;60,"D")</f>
        <v>D</v>
      </c>
      <c r="U852" t="str">
        <f t="shared" si="52"/>
        <v>08:37 AM</v>
      </c>
      <c r="V852" t="str">
        <f t="shared" si="53"/>
        <v>Delayed</v>
      </c>
      <c r="W852" t="str">
        <f t="shared" si="54"/>
        <v>4 Hours 25 Minutes</v>
      </c>
      <c r="X852" t="str">
        <f t="shared" si="55"/>
        <v>Short Time Login</v>
      </c>
      <c r="AA852" s="34" t="s">
        <v>1138</v>
      </c>
      <c r="AB852" s="34" t="s">
        <v>696</v>
      </c>
      <c r="AC852" s="34">
        <v>40</v>
      </c>
      <c r="AD852" s="34">
        <v>73</v>
      </c>
      <c r="AE852" s="34" t="s">
        <v>25</v>
      </c>
      <c r="AF852" s="34">
        <v>0</v>
      </c>
      <c r="AH852" s="34" t="s">
        <v>27</v>
      </c>
    </row>
    <row r="853" spans="1:34">
      <c r="A853" t="s">
        <v>1139</v>
      </c>
      <c r="B853" t="s">
        <v>691</v>
      </c>
      <c r="C853">
        <v>21</v>
      </c>
      <c r="D853" t="s">
        <v>35</v>
      </c>
      <c r="E853" t="s">
        <v>113</v>
      </c>
      <c r="F853" t="s">
        <v>49</v>
      </c>
      <c r="G853" t="s">
        <v>50</v>
      </c>
      <c r="H853">
        <v>61</v>
      </c>
      <c r="I853">
        <v>82</v>
      </c>
      <c r="J853" t="s">
        <v>68</v>
      </c>
      <c r="K853">
        <v>20000</v>
      </c>
      <c r="L853">
        <v>21600</v>
      </c>
      <c r="M853">
        <v>2000</v>
      </c>
      <c r="N853" t="s">
        <v>26</v>
      </c>
      <c r="O853" t="s">
        <v>27</v>
      </c>
      <c r="P853" s="1">
        <v>45768</v>
      </c>
      <c r="Q853" s="1">
        <v>45888</v>
      </c>
      <c r="R853" s="2">
        <v>0.37222222222222223</v>
      </c>
      <c r="S853" s="2">
        <v>0.55486111111111114</v>
      </c>
      <c r="T853" t="str" cm="1">
        <f t="array" ref="T853">_xlfn.IFS(H853&gt;=90,"A",H853&gt;=75,"B",H853&gt;=60,"C",H853&lt;60,"D")</f>
        <v>C</v>
      </c>
      <c r="U853" t="str">
        <f t="shared" si="52"/>
        <v>08:56 AM</v>
      </c>
      <c r="V853" t="str">
        <f t="shared" si="53"/>
        <v>Delayed</v>
      </c>
      <c r="W853" t="str">
        <f t="shared" si="54"/>
        <v>4 Hours 23 Minutes</v>
      </c>
      <c r="X853" t="str">
        <f t="shared" si="55"/>
        <v>Short Time Login</v>
      </c>
      <c r="AA853" s="35" t="s">
        <v>1139</v>
      </c>
      <c r="AB853" s="35" t="s">
        <v>691</v>
      </c>
      <c r="AC853" s="35">
        <v>61</v>
      </c>
      <c r="AD853" s="35">
        <v>82</v>
      </c>
      <c r="AE853" s="35" t="s">
        <v>68</v>
      </c>
      <c r="AF853" s="35">
        <v>2000</v>
      </c>
      <c r="AH853" s="35" t="s">
        <v>27</v>
      </c>
    </row>
    <row r="854" spans="1:34">
      <c r="A854" t="s">
        <v>1140</v>
      </c>
      <c r="B854" t="s">
        <v>148</v>
      </c>
      <c r="C854">
        <v>21</v>
      </c>
      <c r="D854" t="s">
        <v>21</v>
      </c>
      <c r="E854" t="s">
        <v>73</v>
      </c>
      <c r="F854" t="s">
        <v>63</v>
      </c>
      <c r="G854" t="s">
        <v>64</v>
      </c>
      <c r="H854">
        <v>81</v>
      </c>
      <c r="I854">
        <v>94</v>
      </c>
      <c r="J854" t="s">
        <v>45</v>
      </c>
      <c r="K854">
        <v>10000</v>
      </c>
      <c r="L854">
        <v>10030</v>
      </c>
      <c r="M854">
        <v>0</v>
      </c>
      <c r="N854" t="s">
        <v>11</v>
      </c>
      <c r="O854" t="s">
        <v>27</v>
      </c>
      <c r="P854" s="1">
        <v>45888</v>
      </c>
      <c r="Q854" s="1">
        <v>45918</v>
      </c>
      <c r="R854" s="2">
        <v>0.35347222222222224</v>
      </c>
      <c r="S854" s="2">
        <v>0.44305555555555554</v>
      </c>
      <c r="T854" t="str" cm="1">
        <f t="array" ref="T854">_xlfn.IFS(H854&gt;=90,"A",H854&gt;=75,"B",H854&gt;=60,"C",H854&lt;60,"D")</f>
        <v>B</v>
      </c>
      <c r="U854" t="str">
        <f t="shared" si="52"/>
        <v>08:29 AM</v>
      </c>
      <c r="V854" t="str">
        <f t="shared" si="53"/>
        <v>On Time</v>
      </c>
      <c r="W854" t="str">
        <f t="shared" si="54"/>
        <v>2 Hours 9 Minutes</v>
      </c>
      <c r="X854" t="str">
        <f t="shared" si="55"/>
        <v>Short Time Login</v>
      </c>
      <c r="AA854" s="34" t="s">
        <v>1140</v>
      </c>
      <c r="AB854" s="34" t="s">
        <v>148</v>
      </c>
      <c r="AC854" s="34">
        <v>81</v>
      </c>
      <c r="AD854" s="34">
        <v>94</v>
      </c>
      <c r="AE854" s="34" t="s">
        <v>45</v>
      </c>
      <c r="AF854" s="34">
        <v>0</v>
      </c>
      <c r="AH854" s="34" t="s">
        <v>27</v>
      </c>
    </row>
    <row r="855" spans="1:34">
      <c r="A855" t="s">
        <v>1141</v>
      </c>
      <c r="B855" t="s">
        <v>770</v>
      </c>
      <c r="C855">
        <v>21</v>
      </c>
      <c r="D855" t="s">
        <v>21</v>
      </c>
      <c r="E855" t="s">
        <v>96</v>
      </c>
      <c r="F855" t="s">
        <v>40</v>
      </c>
      <c r="G855" t="s">
        <v>41</v>
      </c>
      <c r="H855">
        <v>44</v>
      </c>
      <c r="I855">
        <v>95</v>
      </c>
      <c r="J855" t="s">
        <v>25</v>
      </c>
      <c r="K855">
        <v>12000</v>
      </c>
      <c r="L855">
        <v>12160</v>
      </c>
      <c r="M855">
        <v>2000</v>
      </c>
      <c r="N855" t="s">
        <v>26</v>
      </c>
      <c r="O855" t="s">
        <v>27</v>
      </c>
      <c r="P855" s="1">
        <v>45867</v>
      </c>
      <c r="Q855" s="1">
        <v>46047</v>
      </c>
      <c r="R855" s="2">
        <v>0.4152777777777778</v>
      </c>
      <c r="S855" s="2">
        <v>0.58750000000000002</v>
      </c>
      <c r="T855" t="str" cm="1">
        <f t="array" ref="T855">_xlfn.IFS(H855&gt;=90,"A",H855&gt;=75,"B",H855&gt;=60,"C",H855&lt;60,"D")</f>
        <v>D</v>
      </c>
      <c r="U855" t="str">
        <f t="shared" si="52"/>
        <v>09:58 AM</v>
      </c>
      <c r="V855" t="str">
        <f t="shared" si="53"/>
        <v>Delayed</v>
      </c>
      <c r="W855" t="str">
        <f t="shared" si="54"/>
        <v>4 Hours 8 Minutes</v>
      </c>
      <c r="X855" t="str">
        <f t="shared" si="55"/>
        <v>Short Time Login</v>
      </c>
      <c r="AA855" s="35" t="s">
        <v>1141</v>
      </c>
      <c r="AB855" s="35" t="s">
        <v>770</v>
      </c>
      <c r="AC855" s="35">
        <v>44</v>
      </c>
      <c r="AD855" s="35">
        <v>95</v>
      </c>
      <c r="AE855" s="35" t="s">
        <v>25</v>
      </c>
      <c r="AF855" s="35">
        <v>2000</v>
      </c>
      <c r="AH855" s="35" t="s">
        <v>27</v>
      </c>
    </row>
    <row r="856" spans="1:34">
      <c r="A856" t="s">
        <v>1142</v>
      </c>
      <c r="B856" t="s">
        <v>693</v>
      </c>
      <c r="C856">
        <v>28</v>
      </c>
      <c r="D856" t="s">
        <v>21</v>
      </c>
      <c r="E856" t="s">
        <v>39</v>
      </c>
      <c r="F856" t="s">
        <v>23</v>
      </c>
      <c r="G856" t="s">
        <v>24</v>
      </c>
      <c r="H856">
        <v>75</v>
      </c>
      <c r="I856">
        <v>84</v>
      </c>
      <c r="J856" t="s">
        <v>45</v>
      </c>
      <c r="K856">
        <v>12000</v>
      </c>
      <c r="L856">
        <v>10160</v>
      </c>
      <c r="M856">
        <v>4000</v>
      </c>
      <c r="N856" t="s">
        <v>26</v>
      </c>
      <c r="O856" t="s">
        <v>27</v>
      </c>
      <c r="P856" s="1">
        <v>45939</v>
      </c>
      <c r="Q856" s="1">
        <v>46029</v>
      </c>
      <c r="R856" s="2">
        <v>0.41111111111111109</v>
      </c>
      <c r="S856" s="2">
        <v>0.49513888888888891</v>
      </c>
      <c r="T856" t="str" cm="1">
        <f t="array" ref="T856">_xlfn.IFS(H856&gt;=90,"A",H856&gt;=75,"B",H856&gt;=60,"C",H856&lt;60,"D")</f>
        <v>B</v>
      </c>
      <c r="U856" t="str">
        <f t="shared" si="52"/>
        <v>09:52 AM</v>
      </c>
      <c r="V856" t="str">
        <f t="shared" si="53"/>
        <v>On Time</v>
      </c>
      <c r="W856" t="str">
        <f t="shared" si="54"/>
        <v>2 Hours 1 Minutes</v>
      </c>
      <c r="X856" t="str">
        <f t="shared" si="55"/>
        <v>Short Time Login</v>
      </c>
      <c r="AA856" s="34" t="s">
        <v>1142</v>
      </c>
      <c r="AB856" s="34" t="s">
        <v>693</v>
      </c>
      <c r="AC856" s="34">
        <v>75</v>
      </c>
      <c r="AD856" s="34">
        <v>84</v>
      </c>
      <c r="AE856" s="34" t="s">
        <v>45</v>
      </c>
      <c r="AF856" s="34">
        <v>4000</v>
      </c>
      <c r="AH856" s="34" t="s">
        <v>27</v>
      </c>
    </row>
    <row r="857" spans="1:34">
      <c r="A857" t="s">
        <v>1143</v>
      </c>
      <c r="B857" t="s">
        <v>495</v>
      </c>
      <c r="C857">
        <v>22</v>
      </c>
      <c r="D857" t="s">
        <v>35</v>
      </c>
      <c r="E857" t="s">
        <v>39</v>
      </c>
      <c r="F857" t="s">
        <v>57</v>
      </c>
      <c r="G857" t="s">
        <v>58</v>
      </c>
      <c r="H857">
        <v>87</v>
      </c>
      <c r="I857">
        <v>82</v>
      </c>
      <c r="J857" t="s">
        <v>45</v>
      </c>
      <c r="K857">
        <v>18000</v>
      </c>
      <c r="L857">
        <v>18650</v>
      </c>
      <c r="M857">
        <v>2000</v>
      </c>
      <c r="N857" t="s">
        <v>26</v>
      </c>
      <c r="O857" t="s">
        <v>27</v>
      </c>
      <c r="P857" s="1">
        <v>45848</v>
      </c>
      <c r="Q857" s="1">
        <v>45908</v>
      </c>
      <c r="R857" s="2">
        <v>0.38333333333333336</v>
      </c>
      <c r="S857" s="2">
        <v>0.44097222222222221</v>
      </c>
      <c r="T857" t="str" cm="1">
        <f t="array" ref="T857">_xlfn.IFS(H857&gt;=90,"A",H857&gt;=75,"B",H857&gt;=60,"C",H857&lt;60,"D")</f>
        <v>B</v>
      </c>
      <c r="U857" t="str">
        <f t="shared" si="52"/>
        <v>09:12 AM</v>
      </c>
      <c r="V857" t="str">
        <f t="shared" si="53"/>
        <v>On Time</v>
      </c>
      <c r="W857" t="str">
        <f t="shared" si="54"/>
        <v>1 Hours 23 Minutes</v>
      </c>
      <c r="X857" t="str">
        <f t="shared" si="55"/>
        <v>Short Time Login</v>
      </c>
      <c r="AA857" s="35" t="s">
        <v>1143</v>
      </c>
      <c r="AB857" s="35" t="s">
        <v>495</v>
      </c>
      <c r="AC857" s="35">
        <v>87</v>
      </c>
      <c r="AD857" s="35">
        <v>82</v>
      </c>
      <c r="AE857" s="35" t="s">
        <v>45</v>
      </c>
      <c r="AF857" s="35">
        <v>2000</v>
      </c>
      <c r="AH857" s="35" t="s">
        <v>27</v>
      </c>
    </row>
    <row r="858" spans="1:34">
      <c r="A858" t="s">
        <v>1144</v>
      </c>
      <c r="B858" t="s">
        <v>1145</v>
      </c>
      <c r="C858">
        <v>26</v>
      </c>
      <c r="D858" t="s">
        <v>21</v>
      </c>
      <c r="E858" t="s">
        <v>67</v>
      </c>
      <c r="F858" t="s">
        <v>23</v>
      </c>
      <c r="G858" t="s">
        <v>24</v>
      </c>
      <c r="H858">
        <v>40</v>
      </c>
      <c r="I858">
        <v>88</v>
      </c>
      <c r="J858" t="s">
        <v>25</v>
      </c>
      <c r="K858">
        <v>15000</v>
      </c>
      <c r="L858">
        <v>16520</v>
      </c>
      <c r="M858">
        <v>0</v>
      </c>
      <c r="N858" t="s">
        <v>11</v>
      </c>
      <c r="O858" t="s">
        <v>27</v>
      </c>
      <c r="P858" s="1">
        <v>45868</v>
      </c>
      <c r="Q858" s="1">
        <v>45928</v>
      </c>
      <c r="R858" s="2">
        <v>0.40972222222222221</v>
      </c>
      <c r="S858" s="2">
        <v>0.61319444444444449</v>
      </c>
      <c r="T858" t="str" cm="1">
        <f t="array" ref="T858">_xlfn.IFS(H858&gt;=90,"A",H858&gt;=75,"B",H858&gt;=60,"C",H858&lt;60,"D")</f>
        <v>D</v>
      </c>
      <c r="U858" t="str">
        <f t="shared" si="52"/>
        <v>09:50 AM</v>
      </c>
      <c r="V858" t="str">
        <f t="shared" si="53"/>
        <v>On Time</v>
      </c>
      <c r="W858" t="str">
        <f t="shared" si="54"/>
        <v>4 Hours 53 Minutes</v>
      </c>
      <c r="X858" t="str">
        <f t="shared" si="55"/>
        <v>Short Time Login</v>
      </c>
      <c r="AA858" s="34" t="s">
        <v>1144</v>
      </c>
      <c r="AB858" s="34" t="s">
        <v>1145</v>
      </c>
      <c r="AC858" s="34">
        <v>40</v>
      </c>
      <c r="AD858" s="34">
        <v>88</v>
      </c>
      <c r="AE858" s="34" t="s">
        <v>25</v>
      </c>
      <c r="AF858" s="34">
        <v>0</v>
      </c>
      <c r="AH858" s="34" t="s">
        <v>27</v>
      </c>
    </row>
    <row r="859" spans="1:34">
      <c r="A859" t="s">
        <v>1146</v>
      </c>
      <c r="B859" t="s">
        <v>938</v>
      </c>
      <c r="C859">
        <v>24</v>
      </c>
      <c r="D859" t="s">
        <v>35</v>
      </c>
      <c r="E859" t="s">
        <v>48</v>
      </c>
      <c r="F859" t="s">
        <v>49</v>
      </c>
      <c r="G859" t="s">
        <v>50</v>
      </c>
      <c r="H859">
        <v>90</v>
      </c>
      <c r="I859">
        <v>86</v>
      </c>
      <c r="J859" t="s">
        <v>59</v>
      </c>
      <c r="K859">
        <v>20000</v>
      </c>
      <c r="L859">
        <v>17830</v>
      </c>
      <c r="M859">
        <v>4000</v>
      </c>
      <c r="N859" t="s">
        <v>26</v>
      </c>
      <c r="O859" t="s">
        <v>27</v>
      </c>
      <c r="P859" s="1">
        <v>45731</v>
      </c>
      <c r="Q859" s="1">
        <v>45911</v>
      </c>
      <c r="R859" s="2">
        <v>0.4284722222222222</v>
      </c>
      <c r="S859" s="2">
        <v>0.54791666666666672</v>
      </c>
      <c r="T859" t="str" cm="1">
        <f t="array" ref="T859">_xlfn.IFS(H859&gt;=90,"A",H859&gt;=75,"B",H859&gt;=60,"C",H859&lt;60,"D")</f>
        <v>A</v>
      </c>
      <c r="U859" t="str">
        <f t="shared" si="52"/>
        <v>10:17 AM</v>
      </c>
      <c r="V859" t="str">
        <f t="shared" si="53"/>
        <v>Delayed</v>
      </c>
      <c r="W859" t="str">
        <f t="shared" si="54"/>
        <v>2 Hours 52 Minutes</v>
      </c>
      <c r="X859" t="str">
        <f t="shared" si="55"/>
        <v>Long Time Login</v>
      </c>
      <c r="AA859" s="35" t="s">
        <v>1146</v>
      </c>
      <c r="AB859" s="35" t="s">
        <v>938</v>
      </c>
      <c r="AC859" s="35">
        <v>90</v>
      </c>
      <c r="AD859" s="35">
        <v>86</v>
      </c>
      <c r="AE859" s="35" t="s">
        <v>59</v>
      </c>
      <c r="AF859" s="35">
        <v>4000</v>
      </c>
      <c r="AH859" s="35" t="s">
        <v>27</v>
      </c>
    </row>
    <row r="860" spans="1:34">
      <c r="A860" t="s">
        <v>1147</v>
      </c>
      <c r="B860" t="s">
        <v>156</v>
      </c>
      <c r="C860">
        <v>24</v>
      </c>
      <c r="D860" t="s">
        <v>35</v>
      </c>
      <c r="E860" t="s">
        <v>113</v>
      </c>
      <c r="F860" t="s">
        <v>40</v>
      </c>
      <c r="G860" t="s">
        <v>41</v>
      </c>
      <c r="H860">
        <v>87</v>
      </c>
      <c r="I860">
        <v>75</v>
      </c>
      <c r="J860" t="s">
        <v>45</v>
      </c>
      <c r="K860">
        <v>12000</v>
      </c>
      <c r="L860">
        <v>13570</v>
      </c>
      <c r="M860">
        <v>0</v>
      </c>
      <c r="N860" t="s">
        <v>11</v>
      </c>
      <c r="O860" t="s">
        <v>27</v>
      </c>
      <c r="P860" s="1">
        <v>45999</v>
      </c>
      <c r="Q860" s="1">
        <v>46059</v>
      </c>
      <c r="R860" s="2">
        <v>0.42638888888888887</v>
      </c>
      <c r="S860" s="2">
        <v>0.50069444444444444</v>
      </c>
      <c r="T860" t="str" cm="1">
        <f t="array" ref="T860">_xlfn.IFS(H860&gt;=90,"A",H860&gt;=75,"B",H860&gt;=60,"C",H860&lt;60,"D")</f>
        <v>B</v>
      </c>
      <c r="U860" t="str">
        <f t="shared" si="52"/>
        <v>10:14 AM</v>
      </c>
      <c r="V860" t="str">
        <f t="shared" si="53"/>
        <v>On Time</v>
      </c>
      <c r="W860" t="str">
        <f t="shared" si="54"/>
        <v>1 Hours 47 Minutes</v>
      </c>
      <c r="X860" t="str">
        <f t="shared" si="55"/>
        <v>Long Time Login</v>
      </c>
      <c r="AA860" s="34" t="s">
        <v>1147</v>
      </c>
      <c r="AB860" s="34" t="s">
        <v>156</v>
      </c>
      <c r="AC860" s="34">
        <v>87</v>
      </c>
      <c r="AD860" s="34">
        <v>75</v>
      </c>
      <c r="AE860" s="34" t="s">
        <v>45</v>
      </c>
      <c r="AF860" s="34">
        <v>0</v>
      </c>
      <c r="AH860" s="34" t="s">
        <v>27</v>
      </c>
    </row>
    <row r="861" spans="1:34">
      <c r="A861" t="s">
        <v>1148</v>
      </c>
      <c r="B861" t="s">
        <v>495</v>
      </c>
      <c r="C861">
        <v>27</v>
      </c>
      <c r="D861" t="s">
        <v>35</v>
      </c>
      <c r="E861" t="s">
        <v>62</v>
      </c>
      <c r="F861" t="s">
        <v>57</v>
      </c>
      <c r="G861" t="s">
        <v>58</v>
      </c>
      <c r="H861">
        <v>51</v>
      </c>
      <c r="I861">
        <v>92</v>
      </c>
      <c r="J861" t="s">
        <v>25</v>
      </c>
      <c r="K861">
        <v>12000</v>
      </c>
      <c r="L861">
        <v>9570</v>
      </c>
      <c r="M861">
        <v>4000</v>
      </c>
      <c r="N861" t="s">
        <v>26</v>
      </c>
      <c r="O861" t="s">
        <v>27</v>
      </c>
      <c r="P861" s="1">
        <v>45696</v>
      </c>
      <c r="Q861" s="1">
        <v>45726</v>
      </c>
      <c r="R861" s="2">
        <v>0.45277777777777778</v>
      </c>
      <c r="S861" s="2">
        <v>0.52569444444444446</v>
      </c>
      <c r="T861" t="str" cm="1">
        <f t="array" ref="T861">_xlfn.IFS(H861&gt;=90,"A",H861&gt;=75,"B",H861&gt;=60,"C",H861&lt;60,"D")</f>
        <v>D</v>
      </c>
      <c r="U861" t="str">
        <f t="shared" si="52"/>
        <v>10:52 AM</v>
      </c>
      <c r="V861" t="str">
        <f t="shared" si="53"/>
        <v>On Time</v>
      </c>
      <c r="W861" t="str">
        <f t="shared" si="54"/>
        <v>1 Hours 45 Minutes</v>
      </c>
      <c r="X861" t="str">
        <f t="shared" si="55"/>
        <v>Long Time Login</v>
      </c>
      <c r="AA861" s="35" t="s">
        <v>1148</v>
      </c>
      <c r="AB861" s="35" t="s">
        <v>495</v>
      </c>
      <c r="AC861" s="35">
        <v>51</v>
      </c>
      <c r="AD861" s="35">
        <v>92</v>
      </c>
      <c r="AE861" s="35" t="s">
        <v>25</v>
      </c>
      <c r="AF861" s="35">
        <v>4000</v>
      </c>
      <c r="AH861" s="35" t="s">
        <v>27</v>
      </c>
    </row>
    <row r="862" spans="1:34">
      <c r="A862" t="s">
        <v>1149</v>
      </c>
      <c r="B862" t="s">
        <v>144</v>
      </c>
      <c r="C862">
        <v>27</v>
      </c>
      <c r="D862" t="s">
        <v>21</v>
      </c>
      <c r="E862" t="s">
        <v>67</v>
      </c>
      <c r="F862" t="s">
        <v>23</v>
      </c>
      <c r="G862" t="s">
        <v>24</v>
      </c>
      <c r="H862">
        <v>60</v>
      </c>
      <c r="I862">
        <v>75</v>
      </c>
      <c r="J862" t="s">
        <v>68</v>
      </c>
      <c r="K862">
        <v>12000</v>
      </c>
      <c r="L862">
        <v>8980</v>
      </c>
      <c r="M862">
        <v>4000</v>
      </c>
      <c r="N862" t="s">
        <v>26</v>
      </c>
      <c r="O862" t="s">
        <v>27</v>
      </c>
      <c r="P862" s="1">
        <v>45715</v>
      </c>
      <c r="Q862" s="1">
        <v>45775</v>
      </c>
      <c r="R862" s="2">
        <v>0.42083333333333334</v>
      </c>
      <c r="S862" s="2">
        <v>0.60555555555555551</v>
      </c>
      <c r="T862" t="str" cm="1">
        <f t="array" ref="T862">_xlfn.IFS(H862&gt;=90,"A",H862&gt;=75,"B",H862&gt;=60,"C",H862&lt;60,"D")</f>
        <v>C</v>
      </c>
      <c r="U862" t="str">
        <f t="shared" si="52"/>
        <v>10:06 AM</v>
      </c>
      <c r="V862" t="str">
        <f t="shared" si="53"/>
        <v>On Time</v>
      </c>
      <c r="W862" t="str">
        <f t="shared" si="54"/>
        <v>4 Hours 26 Minutes</v>
      </c>
      <c r="X862" t="str">
        <f t="shared" si="55"/>
        <v>Long Time Login</v>
      </c>
      <c r="AA862" s="34" t="s">
        <v>1149</v>
      </c>
      <c r="AB862" s="34" t="s">
        <v>144</v>
      </c>
      <c r="AC862" s="34">
        <v>60</v>
      </c>
      <c r="AD862" s="34">
        <v>75</v>
      </c>
      <c r="AE862" s="34" t="s">
        <v>68</v>
      </c>
      <c r="AF862" s="34">
        <v>4000</v>
      </c>
      <c r="AH862" s="34" t="s">
        <v>27</v>
      </c>
    </row>
    <row r="863" spans="1:34">
      <c r="A863" t="s">
        <v>1150</v>
      </c>
      <c r="B863" t="s">
        <v>264</v>
      </c>
      <c r="C863">
        <v>21</v>
      </c>
      <c r="D863" t="s">
        <v>35</v>
      </c>
      <c r="E863" t="s">
        <v>73</v>
      </c>
      <c r="F863" t="s">
        <v>49</v>
      </c>
      <c r="G863" t="s">
        <v>50</v>
      </c>
      <c r="H863">
        <v>40</v>
      </c>
      <c r="I863">
        <v>69</v>
      </c>
      <c r="J863" t="s">
        <v>25</v>
      </c>
      <c r="K863">
        <v>18000</v>
      </c>
      <c r="L863">
        <v>15470</v>
      </c>
      <c r="M863">
        <v>4000</v>
      </c>
      <c r="N863" t="s">
        <v>26</v>
      </c>
      <c r="O863" t="s">
        <v>27</v>
      </c>
      <c r="P863" s="1">
        <v>45782</v>
      </c>
      <c r="Q863" s="1">
        <v>45962</v>
      </c>
      <c r="R863" s="2">
        <v>0.4375</v>
      </c>
      <c r="S863" s="2">
        <v>0.53402777777777777</v>
      </c>
      <c r="T863" t="str" cm="1">
        <f t="array" ref="T863">_xlfn.IFS(H863&gt;=90,"A",H863&gt;=75,"B",H863&gt;=60,"C",H863&lt;60,"D")</f>
        <v>D</v>
      </c>
      <c r="U863" t="str">
        <f t="shared" si="52"/>
        <v>10:30 AM</v>
      </c>
      <c r="V863" t="str">
        <f t="shared" si="53"/>
        <v>Delayed</v>
      </c>
      <c r="W863" t="str">
        <f t="shared" si="54"/>
        <v>2 Hours 19 Minutes</v>
      </c>
      <c r="X863" t="str">
        <f t="shared" si="55"/>
        <v>Long Time Login</v>
      </c>
      <c r="AA863" s="35" t="s">
        <v>1150</v>
      </c>
      <c r="AB863" s="35" t="s">
        <v>264</v>
      </c>
      <c r="AC863" s="35">
        <v>40</v>
      </c>
      <c r="AD863" s="35">
        <v>69</v>
      </c>
      <c r="AE863" s="35" t="s">
        <v>25</v>
      </c>
      <c r="AF863" s="35">
        <v>4000</v>
      </c>
      <c r="AH863" s="35" t="s">
        <v>27</v>
      </c>
    </row>
    <row r="864" spans="1:34">
      <c r="A864" t="s">
        <v>1151</v>
      </c>
      <c r="B864" t="s">
        <v>236</v>
      </c>
      <c r="C864">
        <v>23</v>
      </c>
      <c r="D864" t="s">
        <v>21</v>
      </c>
      <c r="E864" t="s">
        <v>113</v>
      </c>
      <c r="F864" t="s">
        <v>31</v>
      </c>
      <c r="G864" t="s">
        <v>32</v>
      </c>
      <c r="H864">
        <v>81</v>
      </c>
      <c r="I864">
        <v>100</v>
      </c>
      <c r="J864" t="s">
        <v>45</v>
      </c>
      <c r="K864">
        <v>10000</v>
      </c>
      <c r="L864">
        <v>9210</v>
      </c>
      <c r="M864">
        <v>2000</v>
      </c>
      <c r="N864" t="s">
        <v>26</v>
      </c>
      <c r="O864" t="s">
        <v>27</v>
      </c>
      <c r="P864" s="1">
        <v>45694</v>
      </c>
      <c r="Q864" s="1">
        <v>45754</v>
      </c>
      <c r="R864" s="2">
        <v>0.37569444444444444</v>
      </c>
      <c r="S864" s="2">
        <v>0.43263888888888891</v>
      </c>
      <c r="T864" t="str" cm="1">
        <f t="array" ref="T864">_xlfn.IFS(H864&gt;=90,"A",H864&gt;=75,"B",H864&gt;=60,"C",H864&lt;60,"D")</f>
        <v>B</v>
      </c>
      <c r="U864" t="str">
        <f t="shared" si="52"/>
        <v>09:01 AM</v>
      </c>
      <c r="V864" t="str">
        <f t="shared" si="53"/>
        <v>On Time</v>
      </c>
      <c r="W864" t="str">
        <f t="shared" si="54"/>
        <v>1 Hours 22 Minutes</v>
      </c>
      <c r="X864" t="str">
        <f t="shared" si="55"/>
        <v>Short Time Login</v>
      </c>
      <c r="AA864" s="34" t="s">
        <v>1151</v>
      </c>
      <c r="AB864" s="34" t="s">
        <v>236</v>
      </c>
      <c r="AC864" s="34">
        <v>81</v>
      </c>
      <c r="AD864" s="34">
        <v>100</v>
      </c>
      <c r="AE864" s="34" t="s">
        <v>45</v>
      </c>
      <c r="AF864" s="34">
        <v>2000</v>
      </c>
      <c r="AH864" s="34" t="s">
        <v>27</v>
      </c>
    </row>
    <row r="865" spans="1:34">
      <c r="A865" t="s">
        <v>1152</v>
      </c>
      <c r="B865" t="s">
        <v>451</v>
      </c>
      <c r="C865">
        <v>26</v>
      </c>
      <c r="D865" t="s">
        <v>21</v>
      </c>
      <c r="E865" t="s">
        <v>96</v>
      </c>
      <c r="F865" t="s">
        <v>49</v>
      </c>
      <c r="G865" t="s">
        <v>50</v>
      </c>
      <c r="H865">
        <v>96</v>
      </c>
      <c r="I865">
        <v>74</v>
      </c>
      <c r="J865" t="s">
        <v>59</v>
      </c>
      <c r="K865">
        <v>20000</v>
      </c>
      <c r="L865">
        <v>18420</v>
      </c>
      <c r="M865">
        <v>4000</v>
      </c>
      <c r="N865" t="s">
        <v>26</v>
      </c>
      <c r="O865" t="s">
        <v>27</v>
      </c>
      <c r="P865" s="1">
        <v>45742</v>
      </c>
      <c r="Q865" s="1">
        <v>45802</v>
      </c>
      <c r="R865" s="2">
        <v>0.40972222222222221</v>
      </c>
      <c r="S865" s="2">
        <v>0.48333333333333334</v>
      </c>
      <c r="T865" t="str" cm="1">
        <f t="array" ref="T865">_xlfn.IFS(H865&gt;=90,"A",H865&gt;=75,"B",H865&gt;=60,"C",H865&lt;60,"D")</f>
        <v>A</v>
      </c>
      <c r="U865" t="str">
        <f t="shared" si="52"/>
        <v>09:50 AM</v>
      </c>
      <c r="V865" t="str">
        <f t="shared" si="53"/>
        <v>On Time</v>
      </c>
      <c r="W865" t="str">
        <f t="shared" si="54"/>
        <v>1 Hours 46 Minutes</v>
      </c>
      <c r="X865" t="str">
        <f t="shared" si="55"/>
        <v>Short Time Login</v>
      </c>
      <c r="AA865" s="35" t="s">
        <v>1152</v>
      </c>
      <c r="AB865" s="35" t="s">
        <v>451</v>
      </c>
      <c r="AC865" s="35">
        <v>96</v>
      </c>
      <c r="AD865" s="35">
        <v>74</v>
      </c>
      <c r="AE865" s="35" t="s">
        <v>59</v>
      </c>
      <c r="AF865" s="35">
        <v>4000</v>
      </c>
      <c r="AH865" s="35" t="s">
        <v>27</v>
      </c>
    </row>
    <row r="866" spans="1:34">
      <c r="A866" t="s">
        <v>1153</v>
      </c>
      <c r="B866" t="s">
        <v>213</v>
      </c>
      <c r="C866">
        <v>22</v>
      </c>
      <c r="D866" t="s">
        <v>35</v>
      </c>
      <c r="E866" t="s">
        <v>113</v>
      </c>
      <c r="F866" t="s">
        <v>23</v>
      </c>
      <c r="G866" t="s">
        <v>24</v>
      </c>
      <c r="H866">
        <v>94</v>
      </c>
      <c r="I866">
        <v>60</v>
      </c>
      <c r="J866" t="s">
        <v>59</v>
      </c>
      <c r="K866">
        <v>12000</v>
      </c>
      <c r="L866">
        <v>8390</v>
      </c>
      <c r="M866">
        <v>4000</v>
      </c>
      <c r="N866" t="s">
        <v>26</v>
      </c>
      <c r="O866" t="s">
        <v>27</v>
      </c>
      <c r="P866" s="1">
        <v>45693</v>
      </c>
      <c r="Q866" s="1">
        <v>45723</v>
      </c>
      <c r="R866" s="2">
        <v>0.34375</v>
      </c>
      <c r="S866" s="2">
        <v>0.45208333333333334</v>
      </c>
      <c r="T866" t="str" cm="1">
        <f t="array" ref="T866">_xlfn.IFS(H866&gt;=90,"A",H866&gt;=75,"B",H866&gt;=60,"C",H866&lt;60,"D")</f>
        <v>A</v>
      </c>
      <c r="U866" t="str">
        <f t="shared" si="52"/>
        <v>08:15 AM</v>
      </c>
      <c r="V866" t="str">
        <f t="shared" si="53"/>
        <v>On Time</v>
      </c>
      <c r="W866" t="str">
        <f t="shared" si="54"/>
        <v>2 Hours 36 Minutes</v>
      </c>
      <c r="X866" t="str">
        <f t="shared" si="55"/>
        <v>Short Time Login</v>
      </c>
      <c r="AA866" s="34" t="s">
        <v>1153</v>
      </c>
      <c r="AB866" s="34" t="s">
        <v>213</v>
      </c>
      <c r="AC866" s="34">
        <v>94</v>
      </c>
      <c r="AD866" s="34">
        <v>60</v>
      </c>
      <c r="AE866" s="34" t="s">
        <v>59</v>
      </c>
      <c r="AF866" s="34">
        <v>4000</v>
      </c>
      <c r="AH866" s="34" t="s">
        <v>27</v>
      </c>
    </row>
    <row r="867" spans="1:34">
      <c r="A867" t="s">
        <v>1154</v>
      </c>
      <c r="B867" t="s">
        <v>664</v>
      </c>
      <c r="C867">
        <v>23</v>
      </c>
      <c r="D867" t="s">
        <v>35</v>
      </c>
      <c r="E867" t="s">
        <v>122</v>
      </c>
      <c r="F867" t="s">
        <v>57</v>
      </c>
      <c r="G867" t="s">
        <v>58</v>
      </c>
      <c r="H867">
        <v>77</v>
      </c>
      <c r="I867">
        <v>63</v>
      </c>
      <c r="J867" t="s">
        <v>45</v>
      </c>
      <c r="K867">
        <v>10000</v>
      </c>
      <c r="L867">
        <v>11210</v>
      </c>
      <c r="M867">
        <v>0</v>
      </c>
      <c r="N867" t="s">
        <v>11</v>
      </c>
      <c r="O867" t="s">
        <v>127</v>
      </c>
      <c r="P867" s="1">
        <v>45805</v>
      </c>
      <c r="Q867" s="1">
        <v>45835</v>
      </c>
      <c r="R867" s="2">
        <v>0.40625</v>
      </c>
      <c r="S867" s="2">
        <v>0.56874999999999998</v>
      </c>
      <c r="T867" t="str" cm="1">
        <f t="array" ref="T867">_xlfn.IFS(H867&gt;=90,"A",H867&gt;=75,"B",H867&gt;=60,"C",H867&lt;60,"D")</f>
        <v>B</v>
      </c>
      <c r="U867" t="str">
        <f t="shared" si="52"/>
        <v>09:45 AM</v>
      </c>
      <c r="V867" t="str">
        <f t="shared" si="53"/>
        <v>On Time</v>
      </c>
      <c r="W867" t="str">
        <f t="shared" si="54"/>
        <v>3 Hours 54 Minutes</v>
      </c>
      <c r="X867" t="str">
        <f t="shared" si="55"/>
        <v>Short Time Login</v>
      </c>
      <c r="AA867" s="35" t="s">
        <v>1154</v>
      </c>
      <c r="AB867" s="35" t="s">
        <v>664</v>
      </c>
      <c r="AC867" s="35">
        <v>77</v>
      </c>
      <c r="AD867" s="35">
        <v>63</v>
      </c>
      <c r="AE867" s="35" t="s">
        <v>45</v>
      </c>
      <c r="AF867" s="35">
        <v>0</v>
      </c>
      <c r="AH867" s="35" t="s">
        <v>127</v>
      </c>
    </row>
    <row r="868" spans="1:34">
      <c r="A868" t="s">
        <v>1155</v>
      </c>
      <c r="B868" t="s">
        <v>203</v>
      </c>
      <c r="C868">
        <v>26</v>
      </c>
      <c r="D868" t="s">
        <v>35</v>
      </c>
      <c r="E868" t="s">
        <v>39</v>
      </c>
      <c r="F868" t="s">
        <v>57</v>
      </c>
      <c r="G868" t="s">
        <v>58</v>
      </c>
      <c r="H868">
        <v>45</v>
      </c>
      <c r="I868">
        <v>94</v>
      </c>
      <c r="J868" t="s">
        <v>25</v>
      </c>
      <c r="K868">
        <v>12000</v>
      </c>
      <c r="L868">
        <v>12390</v>
      </c>
      <c r="M868">
        <v>0</v>
      </c>
      <c r="N868" t="s">
        <v>11</v>
      </c>
      <c r="O868" t="s">
        <v>27</v>
      </c>
      <c r="P868" s="1">
        <v>46017</v>
      </c>
      <c r="Q868" s="1">
        <v>46047</v>
      </c>
      <c r="R868" s="2">
        <v>0.34375</v>
      </c>
      <c r="S868" s="2">
        <v>0.42083333333333334</v>
      </c>
      <c r="T868" t="str" cm="1">
        <f t="array" ref="T868">_xlfn.IFS(H868&gt;=90,"A",H868&gt;=75,"B",H868&gt;=60,"C",H868&lt;60,"D")</f>
        <v>D</v>
      </c>
      <c r="U868" t="str">
        <f t="shared" si="52"/>
        <v>08:15 AM</v>
      </c>
      <c r="V868" t="str">
        <f t="shared" si="53"/>
        <v>On Time</v>
      </c>
      <c r="W868" t="str">
        <f t="shared" si="54"/>
        <v>1 Hours 51 Minutes</v>
      </c>
      <c r="X868" t="str">
        <f t="shared" si="55"/>
        <v>Short Time Login</v>
      </c>
      <c r="AA868" s="34" t="s">
        <v>1155</v>
      </c>
      <c r="AB868" s="34" t="s">
        <v>203</v>
      </c>
      <c r="AC868" s="34">
        <v>45</v>
      </c>
      <c r="AD868" s="34">
        <v>94</v>
      </c>
      <c r="AE868" s="34" t="s">
        <v>25</v>
      </c>
      <c r="AF868" s="34">
        <v>0</v>
      </c>
      <c r="AH868" s="34" t="s">
        <v>27</v>
      </c>
    </row>
    <row r="869" spans="1:34">
      <c r="A869" t="s">
        <v>1156</v>
      </c>
      <c r="B869" t="s">
        <v>671</v>
      </c>
      <c r="C869">
        <v>19</v>
      </c>
      <c r="D869" t="s">
        <v>35</v>
      </c>
      <c r="E869" t="s">
        <v>113</v>
      </c>
      <c r="F869" t="s">
        <v>57</v>
      </c>
      <c r="G869" t="s">
        <v>58</v>
      </c>
      <c r="H869">
        <v>89</v>
      </c>
      <c r="I869">
        <v>61</v>
      </c>
      <c r="J869" t="s">
        <v>45</v>
      </c>
      <c r="K869">
        <v>15000</v>
      </c>
      <c r="L869">
        <v>15930</v>
      </c>
      <c r="M869">
        <v>0</v>
      </c>
      <c r="N869" t="s">
        <v>11</v>
      </c>
      <c r="O869" t="s">
        <v>127</v>
      </c>
      <c r="P869" s="1">
        <v>45796</v>
      </c>
      <c r="Q869" s="1">
        <v>45886</v>
      </c>
      <c r="R869" s="2">
        <v>0.40833333333333333</v>
      </c>
      <c r="S869" s="2">
        <v>0.47430555555555554</v>
      </c>
      <c r="T869" t="str" cm="1">
        <f t="array" ref="T869">_xlfn.IFS(H869&gt;=90,"A",H869&gt;=75,"B",H869&gt;=60,"C",H869&lt;60,"D")</f>
        <v>B</v>
      </c>
      <c r="U869" t="str">
        <f t="shared" si="52"/>
        <v>09:48 AM</v>
      </c>
      <c r="V869" t="str">
        <f t="shared" si="53"/>
        <v>On Time</v>
      </c>
      <c r="W869" t="str">
        <f t="shared" si="54"/>
        <v>1 Hours 35 Minutes</v>
      </c>
      <c r="X869" t="str">
        <f t="shared" si="55"/>
        <v>Short Time Login</v>
      </c>
      <c r="AA869" s="35" t="s">
        <v>1156</v>
      </c>
      <c r="AB869" s="35" t="s">
        <v>671</v>
      </c>
      <c r="AC869" s="35">
        <v>89</v>
      </c>
      <c r="AD869" s="35">
        <v>61</v>
      </c>
      <c r="AE869" s="35" t="s">
        <v>45</v>
      </c>
      <c r="AF869" s="35">
        <v>0</v>
      </c>
      <c r="AH869" s="35" t="s">
        <v>127</v>
      </c>
    </row>
    <row r="870" spans="1:34">
      <c r="A870" t="s">
        <v>1157</v>
      </c>
      <c r="B870" t="s">
        <v>428</v>
      </c>
      <c r="C870">
        <v>27</v>
      </c>
      <c r="D870" t="s">
        <v>21</v>
      </c>
      <c r="E870" t="s">
        <v>73</v>
      </c>
      <c r="F870" t="s">
        <v>53</v>
      </c>
      <c r="G870" t="s">
        <v>54</v>
      </c>
      <c r="H870">
        <v>69</v>
      </c>
      <c r="I870">
        <v>91</v>
      </c>
      <c r="J870" t="s">
        <v>68</v>
      </c>
      <c r="K870">
        <v>20000</v>
      </c>
      <c r="L870">
        <v>22420</v>
      </c>
      <c r="M870">
        <v>0</v>
      </c>
      <c r="N870" t="s">
        <v>11</v>
      </c>
      <c r="O870" t="s">
        <v>27</v>
      </c>
      <c r="P870" s="1">
        <v>45668</v>
      </c>
      <c r="Q870" s="1">
        <v>45848</v>
      </c>
      <c r="R870" s="2">
        <v>0.35694444444444445</v>
      </c>
      <c r="S870" s="2">
        <v>0.52777777777777779</v>
      </c>
      <c r="T870" t="str" cm="1">
        <f t="array" ref="T870">_xlfn.IFS(H870&gt;=90,"A",H870&gt;=75,"B",H870&gt;=60,"C",H870&lt;60,"D")</f>
        <v>C</v>
      </c>
      <c r="U870" t="str">
        <f t="shared" si="52"/>
        <v>08:34 AM</v>
      </c>
      <c r="V870" t="str">
        <f t="shared" si="53"/>
        <v>Delayed</v>
      </c>
      <c r="W870" t="str">
        <f t="shared" si="54"/>
        <v>4 Hours 6 Minutes</v>
      </c>
      <c r="X870" t="str">
        <f t="shared" si="55"/>
        <v>Short Time Login</v>
      </c>
      <c r="AA870" s="34" t="s">
        <v>1157</v>
      </c>
      <c r="AB870" s="34" t="s">
        <v>428</v>
      </c>
      <c r="AC870" s="34">
        <v>69</v>
      </c>
      <c r="AD870" s="34">
        <v>91</v>
      </c>
      <c r="AE870" s="34" t="s">
        <v>68</v>
      </c>
      <c r="AF870" s="34">
        <v>0</v>
      </c>
      <c r="AH870" s="34" t="s">
        <v>27</v>
      </c>
    </row>
    <row r="871" spans="1:34">
      <c r="A871" t="s">
        <v>1158</v>
      </c>
      <c r="B871" t="s">
        <v>246</v>
      </c>
      <c r="C871">
        <v>25</v>
      </c>
      <c r="D871" t="s">
        <v>35</v>
      </c>
      <c r="E871" t="s">
        <v>67</v>
      </c>
      <c r="F871" t="s">
        <v>49</v>
      </c>
      <c r="G871" t="s">
        <v>50</v>
      </c>
      <c r="H871">
        <v>62</v>
      </c>
      <c r="I871">
        <v>93</v>
      </c>
      <c r="J871" t="s">
        <v>68</v>
      </c>
      <c r="K871">
        <v>12000</v>
      </c>
      <c r="L871">
        <v>11570</v>
      </c>
      <c r="M871">
        <v>2000</v>
      </c>
      <c r="N871" t="s">
        <v>26</v>
      </c>
      <c r="O871" t="s">
        <v>27</v>
      </c>
      <c r="P871" s="1">
        <v>45973</v>
      </c>
      <c r="Q871" s="1">
        <v>46153</v>
      </c>
      <c r="R871" s="2">
        <v>0.33750000000000002</v>
      </c>
      <c r="S871" s="2">
        <v>0.45416666666666666</v>
      </c>
      <c r="T871" t="str" cm="1">
        <f t="array" ref="T871">_xlfn.IFS(H871&gt;=90,"A",H871&gt;=75,"B",H871&gt;=60,"C",H871&lt;60,"D")</f>
        <v>C</v>
      </c>
      <c r="U871" t="str">
        <f t="shared" si="52"/>
        <v>08:06 AM</v>
      </c>
      <c r="V871" t="str">
        <f t="shared" si="53"/>
        <v>Delayed</v>
      </c>
      <c r="W871" t="str">
        <f t="shared" si="54"/>
        <v>2 Hours 48 Minutes</v>
      </c>
      <c r="X871" t="str">
        <f t="shared" si="55"/>
        <v>Short Time Login</v>
      </c>
      <c r="AA871" s="35" t="s">
        <v>1158</v>
      </c>
      <c r="AB871" s="35" t="s">
        <v>246</v>
      </c>
      <c r="AC871" s="35">
        <v>62</v>
      </c>
      <c r="AD871" s="35">
        <v>93</v>
      </c>
      <c r="AE871" s="35" t="s">
        <v>68</v>
      </c>
      <c r="AF871" s="35">
        <v>2000</v>
      </c>
      <c r="AH871" s="35" t="s">
        <v>27</v>
      </c>
    </row>
    <row r="872" spans="1:34">
      <c r="A872" t="s">
        <v>1159</v>
      </c>
      <c r="B872" t="s">
        <v>276</v>
      </c>
      <c r="C872">
        <v>28</v>
      </c>
      <c r="D872" t="s">
        <v>35</v>
      </c>
      <c r="E872" t="s">
        <v>44</v>
      </c>
      <c r="F872" t="s">
        <v>31</v>
      </c>
      <c r="G872" t="s">
        <v>32</v>
      </c>
      <c r="H872">
        <v>62</v>
      </c>
      <c r="I872">
        <v>60</v>
      </c>
      <c r="J872" t="s">
        <v>68</v>
      </c>
      <c r="K872">
        <v>15000</v>
      </c>
      <c r="L872">
        <v>13700</v>
      </c>
      <c r="M872">
        <v>4000</v>
      </c>
      <c r="N872" t="s">
        <v>26</v>
      </c>
      <c r="O872" t="s">
        <v>127</v>
      </c>
      <c r="P872" s="1">
        <v>45707</v>
      </c>
      <c r="Q872" s="1">
        <v>45887</v>
      </c>
      <c r="R872" s="2">
        <v>0.37013888888888891</v>
      </c>
      <c r="S872" s="2">
        <v>0.41458333333333336</v>
      </c>
      <c r="T872" t="str" cm="1">
        <f t="array" ref="T872">_xlfn.IFS(H872&gt;=90,"A",H872&gt;=75,"B",H872&gt;=60,"C",H872&lt;60,"D")</f>
        <v>C</v>
      </c>
      <c r="U872" t="str">
        <f t="shared" si="52"/>
        <v>08:53 AM</v>
      </c>
      <c r="V872" t="str">
        <f t="shared" si="53"/>
        <v>Delayed</v>
      </c>
      <c r="W872" t="str">
        <f t="shared" si="54"/>
        <v>1 Hours 4 Minutes</v>
      </c>
      <c r="X872" t="str">
        <f t="shared" si="55"/>
        <v>Short Time Login</v>
      </c>
      <c r="AA872" s="34" t="s">
        <v>1159</v>
      </c>
      <c r="AB872" s="34" t="s">
        <v>276</v>
      </c>
      <c r="AC872" s="34">
        <v>62</v>
      </c>
      <c r="AD872" s="34">
        <v>60</v>
      </c>
      <c r="AE872" s="34" t="s">
        <v>68</v>
      </c>
      <c r="AF872" s="34">
        <v>4000</v>
      </c>
      <c r="AH872" s="34" t="s">
        <v>127</v>
      </c>
    </row>
    <row r="873" spans="1:34">
      <c r="A873" t="s">
        <v>1160</v>
      </c>
      <c r="B873" t="s">
        <v>169</v>
      </c>
      <c r="C873">
        <v>22</v>
      </c>
      <c r="D873" t="s">
        <v>21</v>
      </c>
      <c r="E873" t="s">
        <v>122</v>
      </c>
      <c r="F873" t="s">
        <v>57</v>
      </c>
      <c r="G873" t="s">
        <v>58</v>
      </c>
      <c r="H873">
        <v>97</v>
      </c>
      <c r="I873">
        <v>96</v>
      </c>
      <c r="J873" t="s">
        <v>59</v>
      </c>
      <c r="K873">
        <v>15000</v>
      </c>
      <c r="L873">
        <v>11930</v>
      </c>
      <c r="M873">
        <v>4000</v>
      </c>
      <c r="N873" t="s">
        <v>26</v>
      </c>
      <c r="O873" t="s">
        <v>27</v>
      </c>
      <c r="P873" s="1">
        <v>45901</v>
      </c>
      <c r="Q873" s="1">
        <v>46081</v>
      </c>
      <c r="R873" s="2">
        <v>0.40902777777777777</v>
      </c>
      <c r="S873" s="2">
        <v>0.58750000000000002</v>
      </c>
      <c r="T873" t="str" cm="1">
        <f t="array" ref="T873">_xlfn.IFS(H873&gt;=90,"A",H873&gt;=75,"B",H873&gt;=60,"C",H873&lt;60,"D")</f>
        <v>A</v>
      </c>
      <c r="U873" t="str">
        <f t="shared" si="52"/>
        <v>09:49 AM</v>
      </c>
      <c r="V873" t="str">
        <f t="shared" si="53"/>
        <v>Delayed</v>
      </c>
      <c r="W873" t="str">
        <f t="shared" si="54"/>
        <v>4 Hours 17 Minutes</v>
      </c>
      <c r="X873" t="str">
        <f t="shared" si="55"/>
        <v>Short Time Login</v>
      </c>
      <c r="AA873" s="35" t="s">
        <v>1160</v>
      </c>
      <c r="AB873" s="35" t="s">
        <v>169</v>
      </c>
      <c r="AC873" s="35">
        <v>97</v>
      </c>
      <c r="AD873" s="35">
        <v>96</v>
      </c>
      <c r="AE873" s="35" t="s">
        <v>59</v>
      </c>
      <c r="AF873" s="35">
        <v>4000</v>
      </c>
      <c r="AH873" s="35" t="s">
        <v>27</v>
      </c>
    </row>
    <row r="874" spans="1:34">
      <c r="A874" t="s">
        <v>1161</v>
      </c>
      <c r="B874" t="s">
        <v>148</v>
      </c>
      <c r="C874">
        <v>28</v>
      </c>
      <c r="D874" t="s">
        <v>21</v>
      </c>
      <c r="E874" t="s">
        <v>36</v>
      </c>
      <c r="F874" t="s">
        <v>63</v>
      </c>
      <c r="G874" t="s">
        <v>64</v>
      </c>
      <c r="H874">
        <v>37</v>
      </c>
      <c r="I874">
        <v>68</v>
      </c>
      <c r="J874" t="s">
        <v>25</v>
      </c>
      <c r="K874">
        <v>18000</v>
      </c>
      <c r="L874">
        <v>19240</v>
      </c>
      <c r="M874">
        <v>2000</v>
      </c>
      <c r="N874" t="s">
        <v>26</v>
      </c>
      <c r="O874" t="s">
        <v>127</v>
      </c>
      <c r="P874" s="1">
        <v>45759</v>
      </c>
      <c r="Q874" s="1">
        <v>45879</v>
      </c>
      <c r="R874" s="2">
        <v>0.37152777777777779</v>
      </c>
      <c r="S874" s="2">
        <v>0.56805555555555554</v>
      </c>
      <c r="T874" t="str" cm="1">
        <f t="array" ref="T874">_xlfn.IFS(H874&gt;=90,"A",H874&gt;=75,"B",H874&gt;=60,"C",H874&lt;60,"D")</f>
        <v>D</v>
      </c>
      <c r="U874" t="str">
        <f t="shared" si="52"/>
        <v>08:55 AM</v>
      </c>
      <c r="V874" t="str">
        <f t="shared" si="53"/>
        <v>Delayed</v>
      </c>
      <c r="W874" t="str">
        <f t="shared" si="54"/>
        <v>4 Hours 43 Minutes</v>
      </c>
      <c r="X874" t="str">
        <f t="shared" si="55"/>
        <v>Short Time Login</v>
      </c>
      <c r="AA874" s="34" t="s">
        <v>1161</v>
      </c>
      <c r="AB874" s="34" t="s">
        <v>148</v>
      </c>
      <c r="AC874" s="34">
        <v>37</v>
      </c>
      <c r="AD874" s="34">
        <v>68</v>
      </c>
      <c r="AE874" s="34" t="s">
        <v>25</v>
      </c>
      <c r="AF874" s="34">
        <v>2000</v>
      </c>
      <c r="AH874" s="34" t="s">
        <v>127</v>
      </c>
    </row>
    <row r="875" spans="1:34">
      <c r="A875" t="s">
        <v>1162</v>
      </c>
      <c r="B875" t="s">
        <v>986</v>
      </c>
      <c r="C875">
        <v>18</v>
      </c>
      <c r="D875" t="s">
        <v>21</v>
      </c>
      <c r="E875" t="s">
        <v>44</v>
      </c>
      <c r="F875" t="s">
        <v>53</v>
      </c>
      <c r="G875" t="s">
        <v>54</v>
      </c>
      <c r="H875">
        <v>48</v>
      </c>
      <c r="I875">
        <v>61</v>
      </c>
      <c r="J875" t="s">
        <v>25</v>
      </c>
      <c r="K875">
        <v>12000</v>
      </c>
      <c r="L875">
        <v>10160</v>
      </c>
      <c r="M875">
        <v>4000</v>
      </c>
      <c r="N875" t="s">
        <v>26</v>
      </c>
      <c r="O875" t="s">
        <v>27</v>
      </c>
      <c r="P875" s="1">
        <v>45736</v>
      </c>
      <c r="Q875" s="1">
        <v>45766</v>
      </c>
      <c r="R875" s="2">
        <v>0.44861111111111113</v>
      </c>
      <c r="S875" s="2">
        <v>0.60833333333333328</v>
      </c>
      <c r="T875" t="str" cm="1">
        <f t="array" ref="T875">_xlfn.IFS(H875&gt;=90,"A",H875&gt;=75,"B",H875&gt;=60,"C",H875&lt;60,"D")</f>
        <v>D</v>
      </c>
      <c r="U875" t="str">
        <f t="shared" si="52"/>
        <v>10:46 AM</v>
      </c>
      <c r="V875" t="str">
        <f t="shared" si="53"/>
        <v>On Time</v>
      </c>
      <c r="W875" t="str">
        <f t="shared" si="54"/>
        <v>3 Hours 50 Minutes</v>
      </c>
      <c r="X875" t="str">
        <f t="shared" si="55"/>
        <v>Long Time Login</v>
      </c>
      <c r="AA875" s="35" t="s">
        <v>1162</v>
      </c>
      <c r="AB875" s="35" t="s">
        <v>986</v>
      </c>
      <c r="AC875" s="35">
        <v>48</v>
      </c>
      <c r="AD875" s="35">
        <v>61</v>
      </c>
      <c r="AE875" s="35" t="s">
        <v>25</v>
      </c>
      <c r="AF875" s="35">
        <v>4000</v>
      </c>
      <c r="AH875" s="35" t="s">
        <v>27</v>
      </c>
    </row>
    <row r="876" spans="1:34">
      <c r="A876" t="s">
        <v>1163</v>
      </c>
      <c r="B876" t="s">
        <v>327</v>
      </c>
      <c r="C876">
        <v>20</v>
      </c>
      <c r="D876" t="s">
        <v>35</v>
      </c>
      <c r="E876" t="s">
        <v>122</v>
      </c>
      <c r="F876" t="s">
        <v>53</v>
      </c>
      <c r="G876" t="s">
        <v>54</v>
      </c>
      <c r="H876">
        <v>73</v>
      </c>
      <c r="I876">
        <v>74</v>
      </c>
      <c r="J876" t="s">
        <v>68</v>
      </c>
      <c r="K876">
        <v>18000</v>
      </c>
      <c r="L876">
        <v>17240</v>
      </c>
      <c r="M876">
        <v>4000</v>
      </c>
      <c r="N876" t="s">
        <v>26</v>
      </c>
      <c r="O876" t="s">
        <v>27</v>
      </c>
      <c r="P876" s="1">
        <v>45783</v>
      </c>
      <c r="Q876" s="1">
        <v>45963</v>
      </c>
      <c r="R876" s="2">
        <v>0.38611111111111113</v>
      </c>
      <c r="S876" s="2">
        <v>0.51736111111111116</v>
      </c>
      <c r="T876" t="str" cm="1">
        <f t="array" ref="T876">_xlfn.IFS(H876&gt;=90,"A",H876&gt;=75,"B",H876&gt;=60,"C",H876&lt;60,"D")</f>
        <v>C</v>
      </c>
      <c r="U876" t="str">
        <f t="shared" si="52"/>
        <v>09:16 AM</v>
      </c>
      <c r="V876" t="str">
        <f t="shared" si="53"/>
        <v>Delayed</v>
      </c>
      <c r="W876" t="str">
        <f t="shared" si="54"/>
        <v>3 Hours 9 Minutes</v>
      </c>
      <c r="X876" t="str">
        <f t="shared" si="55"/>
        <v>Short Time Login</v>
      </c>
      <c r="AA876" s="34" t="s">
        <v>1163</v>
      </c>
      <c r="AB876" s="34" t="s">
        <v>327</v>
      </c>
      <c r="AC876" s="34">
        <v>73</v>
      </c>
      <c r="AD876" s="34">
        <v>74</v>
      </c>
      <c r="AE876" s="34" t="s">
        <v>68</v>
      </c>
      <c r="AF876" s="34">
        <v>4000</v>
      </c>
      <c r="AH876" s="34" t="s">
        <v>27</v>
      </c>
    </row>
    <row r="877" spans="1:34">
      <c r="A877" t="s">
        <v>1164</v>
      </c>
      <c r="B877" t="s">
        <v>571</v>
      </c>
      <c r="C877">
        <v>21</v>
      </c>
      <c r="D877" t="s">
        <v>21</v>
      </c>
      <c r="E877" t="s">
        <v>30</v>
      </c>
      <c r="F877" t="s">
        <v>49</v>
      </c>
      <c r="G877" t="s">
        <v>50</v>
      </c>
      <c r="H877">
        <v>59</v>
      </c>
      <c r="I877">
        <v>65</v>
      </c>
      <c r="J877" t="s">
        <v>25</v>
      </c>
      <c r="K877">
        <v>18000</v>
      </c>
      <c r="L877">
        <v>20060</v>
      </c>
      <c r="M877">
        <v>0</v>
      </c>
      <c r="N877" t="s">
        <v>11</v>
      </c>
      <c r="O877" t="s">
        <v>27</v>
      </c>
      <c r="P877" s="1">
        <v>45711</v>
      </c>
      <c r="Q877" s="1">
        <v>45771</v>
      </c>
      <c r="R877" s="2">
        <v>0.34375</v>
      </c>
      <c r="S877" s="2">
        <v>0.43055555555555558</v>
      </c>
      <c r="T877" t="str" cm="1">
        <f t="array" ref="T877">_xlfn.IFS(H877&gt;=90,"A",H877&gt;=75,"B",H877&gt;=60,"C",H877&lt;60,"D")</f>
        <v>D</v>
      </c>
      <c r="U877" t="str">
        <f t="shared" si="52"/>
        <v>08:15 AM</v>
      </c>
      <c r="V877" t="str">
        <f t="shared" si="53"/>
        <v>On Time</v>
      </c>
      <c r="W877" t="str">
        <f t="shared" si="54"/>
        <v>2 Hours 5 Minutes</v>
      </c>
      <c r="X877" t="str">
        <f t="shared" si="55"/>
        <v>Short Time Login</v>
      </c>
      <c r="AA877" s="35" t="s">
        <v>1164</v>
      </c>
      <c r="AB877" s="35" t="s">
        <v>571</v>
      </c>
      <c r="AC877" s="35">
        <v>59</v>
      </c>
      <c r="AD877" s="35">
        <v>65</v>
      </c>
      <c r="AE877" s="35" t="s">
        <v>25</v>
      </c>
      <c r="AF877" s="35">
        <v>0</v>
      </c>
      <c r="AH877" s="35" t="s">
        <v>27</v>
      </c>
    </row>
    <row r="878" spans="1:34">
      <c r="A878" t="s">
        <v>1165</v>
      </c>
      <c r="B878" t="s">
        <v>675</v>
      </c>
      <c r="C878">
        <v>21</v>
      </c>
      <c r="D878" t="s">
        <v>21</v>
      </c>
      <c r="E878" t="s">
        <v>39</v>
      </c>
      <c r="F878" t="s">
        <v>31</v>
      </c>
      <c r="G878" t="s">
        <v>32</v>
      </c>
      <c r="H878">
        <v>64</v>
      </c>
      <c r="I878">
        <v>88</v>
      </c>
      <c r="J878" t="s">
        <v>68</v>
      </c>
      <c r="K878">
        <v>15000</v>
      </c>
      <c r="L878">
        <v>15110</v>
      </c>
      <c r="M878">
        <v>2000</v>
      </c>
      <c r="N878" t="s">
        <v>26</v>
      </c>
      <c r="O878" t="s">
        <v>27</v>
      </c>
      <c r="P878" s="1">
        <v>45843</v>
      </c>
      <c r="Q878" s="1">
        <v>45873</v>
      </c>
      <c r="R878" s="2">
        <v>0.42777777777777776</v>
      </c>
      <c r="S878" s="2">
        <v>0.53194444444444444</v>
      </c>
      <c r="T878" t="str" cm="1">
        <f t="array" ref="T878">_xlfn.IFS(H878&gt;=90,"A",H878&gt;=75,"B",H878&gt;=60,"C",H878&lt;60,"D")</f>
        <v>C</v>
      </c>
      <c r="U878" t="str">
        <f t="shared" si="52"/>
        <v>10:16 AM</v>
      </c>
      <c r="V878" t="str">
        <f t="shared" si="53"/>
        <v>On Time</v>
      </c>
      <c r="W878" t="str">
        <f t="shared" si="54"/>
        <v>2 Hours 30 Minutes</v>
      </c>
      <c r="X878" t="str">
        <f t="shared" si="55"/>
        <v>Long Time Login</v>
      </c>
      <c r="AA878" s="34" t="s">
        <v>1165</v>
      </c>
      <c r="AB878" s="34" t="s">
        <v>675</v>
      </c>
      <c r="AC878" s="34">
        <v>64</v>
      </c>
      <c r="AD878" s="34">
        <v>88</v>
      </c>
      <c r="AE878" s="34" t="s">
        <v>68</v>
      </c>
      <c r="AF878" s="34">
        <v>2000</v>
      </c>
      <c r="AH878" s="34" t="s">
        <v>27</v>
      </c>
    </row>
    <row r="879" spans="1:34">
      <c r="A879" t="s">
        <v>1166</v>
      </c>
      <c r="B879" t="s">
        <v>152</v>
      </c>
      <c r="C879">
        <v>23</v>
      </c>
      <c r="D879" t="s">
        <v>21</v>
      </c>
      <c r="E879" t="s">
        <v>30</v>
      </c>
      <c r="F879" t="s">
        <v>57</v>
      </c>
      <c r="G879" t="s">
        <v>58</v>
      </c>
      <c r="H879">
        <v>67</v>
      </c>
      <c r="I879">
        <v>89</v>
      </c>
      <c r="J879" t="s">
        <v>68</v>
      </c>
      <c r="K879">
        <v>10000</v>
      </c>
      <c r="L879">
        <v>8620</v>
      </c>
      <c r="M879">
        <v>2000</v>
      </c>
      <c r="N879" t="s">
        <v>26</v>
      </c>
      <c r="O879" t="s">
        <v>27</v>
      </c>
      <c r="P879" s="1">
        <v>45792</v>
      </c>
      <c r="Q879" s="1">
        <v>45822</v>
      </c>
      <c r="R879" s="2">
        <v>0.4284722222222222</v>
      </c>
      <c r="S879" s="2">
        <v>0.47499999999999998</v>
      </c>
      <c r="T879" t="str" cm="1">
        <f t="array" ref="T879">_xlfn.IFS(H879&gt;=90,"A",H879&gt;=75,"B",H879&gt;=60,"C",H879&lt;60,"D")</f>
        <v>C</v>
      </c>
      <c r="U879" t="str">
        <f t="shared" si="52"/>
        <v>10:17 AM</v>
      </c>
      <c r="V879" t="str">
        <f t="shared" si="53"/>
        <v>On Time</v>
      </c>
      <c r="W879" t="str">
        <f t="shared" si="54"/>
        <v>1 Hours 7 Minutes</v>
      </c>
      <c r="X879" t="str">
        <f t="shared" si="55"/>
        <v>Long Time Login</v>
      </c>
      <c r="AA879" s="35" t="s">
        <v>1166</v>
      </c>
      <c r="AB879" s="35" t="s">
        <v>152</v>
      </c>
      <c r="AC879" s="35">
        <v>67</v>
      </c>
      <c r="AD879" s="35">
        <v>89</v>
      </c>
      <c r="AE879" s="35" t="s">
        <v>68</v>
      </c>
      <c r="AF879" s="35">
        <v>2000</v>
      </c>
      <c r="AH879" s="35" t="s">
        <v>27</v>
      </c>
    </row>
    <row r="880" spans="1:34">
      <c r="A880" t="s">
        <v>1167</v>
      </c>
      <c r="B880" t="s">
        <v>121</v>
      </c>
      <c r="C880">
        <v>18</v>
      </c>
      <c r="D880" t="s">
        <v>21</v>
      </c>
      <c r="E880" t="s">
        <v>22</v>
      </c>
      <c r="F880" t="s">
        <v>63</v>
      </c>
      <c r="G880" t="s">
        <v>64</v>
      </c>
      <c r="H880">
        <v>50</v>
      </c>
      <c r="I880">
        <v>79</v>
      </c>
      <c r="J880" t="s">
        <v>25</v>
      </c>
      <c r="K880">
        <v>12000</v>
      </c>
      <c r="L880">
        <v>13570</v>
      </c>
      <c r="M880">
        <v>0</v>
      </c>
      <c r="N880" t="s">
        <v>11</v>
      </c>
      <c r="O880" t="s">
        <v>27</v>
      </c>
      <c r="P880" s="1">
        <v>45685</v>
      </c>
      <c r="Q880" s="1">
        <v>45775</v>
      </c>
      <c r="R880" s="2">
        <v>0.45763888888888887</v>
      </c>
      <c r="S880" s="2">
        <v>0.54236111111111107</v>
      </c>
      <c r="T880" t="str" cm="1">
        <f t="array" ref="T880">_xlfn.IFS(H880&gt;=90,"A",H880&gt;=75,"B",H880&gt;=60,"C",H880&lt;60,"D")</f>
        <v>D</v>
      </c>
      <c r="U880" t="str">
        <f t="shared" si="52"/>
        <v>10:59 AM</v>
      </c>
      <c r="V880" t="str">
        <f t="shared" si="53"/>
        <v>On Time</v>
      </c>
      <c r="W880" t="str">
        <f t="shared" si="54"/>
        <v>2 Hours 2 Minutes</v>
      </c>
      <c r="X880" t="str">
        <f t="shared" si="55"/>
        <v>Long Time Login</v>
      </c>
      <c r="AA880" s="34" t="s">
        <v>1167</v>
      </c>
      <c r="AB880" s="34" t="s">
        <v>121</v>
      </c>
      <c r="AC880" s="34">
        <v>50</v>
      </c>
      <c r="AD880" s="34">
        <v>79</v>
      </c>
      <c r="AE880" s="34" t="s">
        <v>25</v>
      </c>
      <c r="AF880" s="34">
        <v>0</v>
      </c>
      <c r="AH880" s="34" t="s">
        <v>27</v>
      </c>
    </row>
    <row r="881" spans="1:34">
      <c r="A881" t="s">
        <v>1168</v>
      </c>
      <c r="B881" t="s">
        <v>119</v>
      </c>
      <c r="C881">
        <v>19</v>
      </c>
      <c r="D881" t="s">
        <v>35</v>
      </c>
      <c r="E881" t="s">
        <v>39</v>
      </c>
      <c r="F881" t="s">
        <v>63</v>
      </c>
      <c r="G881" t="s">
        <v>64</v>
      </c>
      <c r="H881">
        <v>68</v>
      </c>
      <c r="I881">
        <v>97</v>
      </c>
      <c r="J881" t="s">
        <v>68</v>
      </c>
      <c r="K881">
        <v>20000</v>
      </c>
      <c r="L881">
        <v>22420</v>
      </c>
      <c r="M881">
        <v>0</v>
      </c>
      <c r="N881" t="s">
        <v>11</v>
      </c>
      <c r="O881" t="s">
        <v>27</v>
      </c>
      <c r="P881" s="1">
        <v>45670</v>
      </c>
      <c r="Q881" s="1">
        <v>45700</v>
      </c>
      <c r="R881" s="2">
        <v>0.37638888888888888</v>
      </c>
      <c r="S881" s="2">
        <v>0.50694444444444442</v>
      </c>
      <c r="T881" t="str" cm="1">
        <f t="array" ref="T881">_xlfn.IFS(H881&gt;=90,"A",H881&gt;=75,"B",H881&gt;=60,"C",H881&lt;60,"D")</f>
        <v>C</v>
      </c>
      <c r="U881" t="str">
        <f t="shared" si="52"/>
        <v>09:02 AM</v>
      </c>
      <c r="V881" t="str">
        <f t="shared" si="53"/>
        <v>On Time</v>
      </c>
      <c r="W881" t="str">
        <f t="shared" si="54"/>
        <v>3 Hours 8 Minutes</v>
      </c>
      <c r="X881" t="str">
        <f t="shared" si="55"/>
        <v>Short Time Login</v>
      </c>
      <c r="AA881" s="35" t="s">
        <v>1168</v>
      </c>
      <c r="AB881" s="35" t="s">
        <v>119</v>
      </c>
      <c r="AC881" s="35">
        <v>68</v>
      </c>
      <c r="AD881" s="35">
        <v>97</v>
      </c>
      <c r="AE881" s="35" t="s">
        <v>68</v>
      </c>
      <c r="AF881" s="35">
        <v>0</v>
      </c>
      <c r="AH881" s="35" t="s">
        <v>27</v>
      </c>
    </row>
    <row r="882" spans="1:34">
      <c r="A882" t="s">
        <v>1169</v>
      </c>
      <c r="B882" t="s">
        <v>1051</v>
      </c>
      <c r="C882">
        <v>20</v>
      </c>
      <c r="D882" t="s">
        <v>35</v>
      </c>
      <c r="E882" t="s">
        <v>96</v>
      </c>
      <c r="F882" t="s">
        <v>49</v>
      </c>
      <c r="G882" t="s">
        <v>50</v>
      </c>
      <c r="H882">
        <v>70</v>
      </c>
      <c r="I882">
        <v>93</v>
      </c>
      <c r="J882" t="s">
        <v>68</v>
      </c>
      <c r="K882">
        <v>15000</v>
      </c>
      <c r="L882">
        <v>12520</v>
      </c>
      <c r="M882">
        <v>4000</v>
      </c>
      <c r="N882" t="s">
        <v>26</v>
      </c>
      <c r="O882" t="s">
        <v>27</v>
      </c>
      <c r="P882" s="1">
        <v>45894</v>
      </c>
      <c r="Q882" s="1">
        <v>46014</v>
      </c>
      <c r="R882" s="2">
        <v>0.41111111111111109</v>
      </c>
      <c r="S882" s="2">
        <v>0.46597222222222223</v>
      </c>
      <c r="T882" t="str" cm="1">
        <f t="array" ref="T882">_xlfn.IFS(H882&gt;=90,"A",H882&gt;=75,"B",H882&gt;=60,"C",H882&lt;60,"D")</f>
        <v>C</v>
      </c>
      <c r="U882" t="str">
        <f t="shared" si="52"/>
        <v>09:52 AM</v>
      </c>
      <c r="V882" t="str">
        <f t="shared" si="53"/>
        <v>Delayed</v>
      </c>
      <c r="W882" t="str">
        <f t="shared" si="54"/>
        <v>1 Hours 19 Minutes</v>
      </c>
      <c r="X882" t="str">
        <f t="shared" si="55"/>
        <v>Short Time Login</v>
      </c>
      <c r="AA882" s="34" t="s">
        <v>1169</v>
      </c>
      <c r="AB882" s="34" t="s">
        <v>1051</v>
      </c>
      <c r="AC882" s="34">
        <v>70</v>
      </c>
      <c r="AD882" s="34">
        <v>93</v>
      </c>
      <c r="AE882" s="34" t="s">
        <v>68</v>
      </c>
      <c r="AF882" s="34">
        <v>4000</v>
      </c>
      <c r="AH882" s="34" t="s">
        <v>27</v>
      </c>
    </row>
    <row r="883" spans="1:34">
      <c r="A883" t="s">
        <v>1170</v>
      </c>
      <c r="B883" t="s">
        <v>334</v>
      </c>
      <c r="C883">
        <v>21</v>
      </c>
      <c r="D883" t="s">
        <v>21</v>
      </c>
      <c r="E883" t="s">
        <v>36</v>
      </c>
      <c r="F883" t="s">
        <v>23</v>
      </c>
      <c r="G883" t="s">
        <v>24</v>
      </c>
      <c r="H883">
        <v>62</v>
      </c>
      <c r="I883">
        <v>85</v>
      </c>
      <c r="J883" t="s">
        <v>68</v>
      </c>
      <c r="K883">
        <v>20000</v>
      </c>
      <c r="L883">
        <v>21010</v>
      </c>
      <c r="M883">
        <v>2000</v>
      </c>
      <c r="N883" t="s">
        <v>26</v>
      </c>
      <c r="O883" t="s">
        <v>27</v>
      </c>
      <c r="P883" s="1">
        <v>45951</v>
      </c>
      <c r="Q883" s="1">
        <v>46041</v>
      </c>
      <c r="R883" s="2">
        <v>0.43611111111111112</v>
      </c>
      <c r="S883" s="2">
        <v>0.53194444444444444</v>
      </c>
      <c r="T883" t="str" cm="1">
        <f t="array" ref="T883">_xlfn.IFS(H883&gt;=90,"A",H883&gt;=75,"B",H883&gt;=60,"C",H883&lt;60,"D")</f>
        <v>C</v>
      </c>
      <c r="U883" t="str">
        <f t="shared" si="52"/>
        <v>10:28 AM</v>
      </c>
      <c r="V883" t="str">
        <f t="shared" si="53"/>
        <v>On Time</v>
      </c>
      <c r="W883" t="str">
        <f t="shared" si="54"/>
        <v>2 Hours 18 Minutes</v>
      </c>
      <c r="X883" t="str">
        <f t="shared" si="55"/>
        <v>Long Time Login</v>
      </c>
      <c r="AA883" s="35" t="s">
        <v>1170</v>
      </c>
      <c r="AB883" s="35" t="s">
        <v>334</v>
      </c>
      <c r="AC883" s="35">
        <v>62</v>
      </c>
      <c r="AD883" s="35">
        <v>85</v>
      </c>
      <c r="AE883" s="35" t="s">
        <v>68</v>
      </c>
      <c r="AF883" s="35">
        <v>2000</v>
      </c>
      <c r="AH883" s="35" t="s">
        <v>27</v>
      </c>
    </row>
    <row r="884" spans="1:34">
      <c r="A884" t="s">
        <v>1171</v>
      </c>
      <c r="B884" t="s">
        <v>518</v>
      </c>
      <c r="C884">
        <v>21</v>
      </c>
      <c r="D884" t="s">
        <v>35</v>
      </c>
      <c r="E884" t="s">
        <v>44</v>
      </c>
      <c r="F884" t="s">
        <v>88</v>
      </c>
      <c r="G884" t="s">
        <v>89</v>
      </c>
      <c r="H884">
        <v>97</v>
      </c>
      <c r="I884">
        <v>81</v>
      </c>
      <c r="J884" t="s">
        <v>59</v>
      </c>
      <c r="K884">
        <v>15000</v>
      </c>
      <c r="L884">
        <v>13700</v>
      </c>
      <c r="M884">
        <v>4000</v>
      </c>
      <c r="N884" t="s">
        <v>26</v>
      </c>
      <c r="O884" t="s">
        <v>27</v>
      </c>
      <c r="P884" s="1">
        <v>45896</v>
      </c>
      <c r="Q884" s="1">
        <v>46076</v>
      </c>
      <c r="R884" s="2">
        <v>0.36805555555555558</v>
      </c>
      <c r="S884" s="2">
        <v>0.46111111111111114</v>
      </c>
      <c r="T884" t="str" cm="1">
        <f t="array" ref="T884">_xlfn.IFS(H884&gt;=90,"A",H884&gt;=75,"B",H884&gt;=60,"C",H884&lt;60,"D")</f>
        <v>A</v>
      </c>
      <c r="U884" t="str">
        <f t="shared" si="52"/>
        <v>08:50 AM</v>
      </c>
      <c r="V884" t="str">
        <f t="shared" si="53"/>
        <v>Delayed</v>
      </c>
      <c r="W884" t="str">
        <f t="shared" si="54"/>
        <v>2 Hours 14 Minutes</v>
      </c>
      <c r="X884" t="str">
        <f t="shared" si="55"/>
        <v>Short Time Login</v>
      </c>
      <c r="AA884" s="34" t="s">
        <v>1171</v>
      </c>
      <c r="AB884" s="34" t="s">
        <v>518</v>
      </c>
      <c r="AC884" s="34">
        <v>97</v>
      </c>
      <c r="AD884" s="34">
        <v>81</v>
      </c>
      <c r="AE884" s="34" t="s">
        <v>59</v>
      </c>
      <c r="AF884" s="34">
        <v>4000</v>
      </c>
      <c r="AH884" s="34" t="s">
        <v>27</v>
      </c>
    </row>
    <row r="885" spans="1:34">
      <c r="A885" t="s">
        <v>1172</v>
      </c>
      <c r="B885" t="s">
        <v>678</v>
      </c>
      <c r="C885">
        <v>26</v>
      </c>
      <c r="D885" t="s">
        <v>35</v>
      </c>
      <c r="E885" t="s">
        <v>73</v>
      </c>
      <c r="F885" t="s">
        <v>40</v>
      </c>
      <c r="G885" t="s">
        <v>41</v>
      </c>
      <c r="H885">
        <v>77</v>
      </c>
      <c r="I885">
        <v>87</v>
      </c>
      <c r="J885" t="s">
        <v>45</v>
      </c>
      <c r="K885">
        <v>18000</v>
      </c>
      <c r="L885">
        <v>16650</v>
      </c>
      <c r="M885">
        <v>4000</v>
      </c>
      <c r="N885" t="s">
        <v>26</v>
      </c>
      <c r="O885" t="s">
        <v>27</v>
      </c>
      <c r="P885" s="1">
        <v>45806</v>
      </c>
      <c r="Q885" s="1">
        <v>45986</v>
      </c>
      <c r="R885" s="2">
        <v>0.44166666666666665</v>
      </c>
      <c r="S885" s="2">
        <v>0.5541666666666667</v>
      </c>
      <c r="T885" t="str" cm="1">
        <f t="array" ref="T885">_xlfn.IFS(H885&gt;=90,"A",H885&gt;=75,"B",H885&gt;=60,"C",H885&lt;60,"D")</f>
        <v>B</v>
      </c>
      <c r="U885" t="str">
        <f t="shared" si="52"/>
        <v>10:36 AM</v>
      </c>
      <c r="V885" t="str">
        <f t="shared" si="53"/>
        <v>Delayed</v>
      </c>
      <c r="W885" t="str">
        <f t="shared" si="54"/>
        <v>2 Hours 42 Minutes</v>
      </c>
      <c r="X885" t="str">
        <f t="shared" si="55"/>
        <v>Long Time Login</v>
      </c>
      <c r="AA885" s="35" t="s">
        <v>1172</v>
      </c>
      <c r="AB885" s="35" t="s">
        <v>678</v>
      </c>
      <c r="AC885" s="35">
        <v>77</v>
      </c>
      <c r="AD885" s="35">
        <v>87</v>
      </c>
      <c r="AE885" s="35" t="s">
        <v>45</v>
      </c>
      <c r="AF885" s="35">
        <v>4000</v>
      </c>
      <c r="AH885" s="35" t="s">
        <v>27</v>
      </c>
    </row>
    <row r="886" spans="1:34">
      <c r="A886" t="s">
        <v>1173</v>
      </c>
      <c r="B886" t="s">
        <v>264</v>
      </c>
      <c r="C886">
        <v>23</v>
      </c>
      <c r="D886" t="s">
        <v>35</v>
      </c>
      <c r="E886" t="s">
        <v>122</v>
      </c>
      <c r="F886" t="s">
        <v>40</v>
      </c>
      <c r="G886" t="s">
        <v>41</v>
      </c>
      <c r="H886">
        <v>84</v>
      </c>
      <c r="I886">
        <v>69</v>
      </c>
      <c r="J886" t="s">
        <v>45</v>
      </c>
      <c r="K886">
        <v>18000</v>
      </c>
      <c r="L886">
        <v>18650</v>
      </c>
      <c r="M886">
        <v>2000</v>
      </c>
      <c r="N886" t="s">
        <v>26</v>
      </c>
      <c r="O886" t="s">
        <v>127</v>
      </c>
      <c r="P886" s="1">
        <v>45714</v>
      </c>
      <c r="Q886" s="1">
        <v>45834</v>
      </c>
      <c r="R886" s="2">
        <v>0.4465277777777778</v>
      </c>
      <c r="S886" s="2">
        <v>0.57986111111111116</v>
      </c>
      <c r="T886" t="str" cm="1">
        <f t="array" ref="T886">_xlfn.IFS(H886&gt;=90,"A",H886&gt;=75,"B",H886&gt;=60,"C",H886&lt;60,"D")</f>
        <v>B</v>
      </c>
      <c r="U886" t="str">
        <f t="shared" si="52"/>
        <v>10:43 AM</v>
      </c>
      <c r="V886" t="str">
        <f t="shared" si="53"/>
        <v>Delayed</v>
      </c>
      <c r="W886" t="str">
        <f t="shared" si="54"/>
        <v>3 Hours 12 Minutes</v>
      </c>
      <c r="X886" t="str">
        <f t="shared" si="55"/>
        <v>Long Time Login</v>
      </c>
      <c r="AA886" s="34" t="s">
        <v>1173</v>
      </c>
      <c r="AB886" s="34" t="s">
        <v>264</v>
      </c>
      <c r="AC886" s="34">
        <v>84</v>
      </c>
      <c r="AD886" s="34">
        <v>69</v>
      </c>
      <c r="AE886" s="34" t="s">
        <v>45</v>
      </c>
      <c r="AF886" s="34">
        <v>2000</v>
      </c>
      <c r="AH886" s="34" t="s">
        <v>127</v>
      </c>
    </row>
    <row r="887" spans="1:34">
      <c r="A887" t="s">
        <v>1174</v>
      </c>
      <c r="B887" t="s">
        <v>471</v>
      </c>
      <c r="C887">
        <v>18</v>
      </c>
      <c r="D887" t="s">
        <v>21</v>
      </c>
      <c r="E887" t="s">
        <v>39</v>
      </c>
      <c r="F887" t="s">
        <v>88</v>
      </c>
      <c r="G887" t="s">
        <v>89</v>
      </c>
      <c r="H887">
        <v>82</v>
      </c>
      <c r="I887">
        <v>85</v>
      </c>
      <c r="J887" t="s">
        <v>45</v>
      </c>
      <c r="K887">
        <v>10000</v>
      </c>
      <c r="L887">
        <v>6620</v>
      </c>
      <c r="M887">
        <v>4000</v>
      </c>
      <c r="N887" t="s">
        <v>26</v>
      </c>
      <c r="O887" t="s">
        <v>27</v>
      </c>
      <c r="P887" s="1">
        <v>45841</v>
      </c>
      <c r="Q887" s="1">
        <v>45901</v>
      </c>
      <c r="R887" s="2">
        <v>0.43472222222222223</v>
      </c>
      <c r="S887" s="2">
        <v>0.6069444444444444</v>
      </c>
      <c r="T887" t="str" cm="1">
        <f t="array" ref="T887">_xlfn.IFS(H887&gt;=90,"A",H887&gt;=75,"B",H887&gt;=60,"C",H887&lt;60,"D")</f>
        <v>B</v>
      </c>
      <c r="U887" t="str">
        <f t="shared" si="52"/>
        <v>10:26 AM</v>
      </c>
      <c r="V887" t="str">
        <f t="shared" si="53"/>
        <v>On Time</v>
      </c>
      <c r="W887" t="str">
        <f t="shared" si="54"/>
        <v>4 Hours 8 Minutes</v>
      </c>
      <c r="X887" t="str">
        <f t="shared" si="55"/>
        <v>Long Time Login</v>
      </c>
      <c r="AA887" s="35" t="s">
        <v>1174</v>
      </c>
      <c r="AB887" s="35" t="s">
        <v>471</v>
      </c>
      <c r="AC887" s="35">
        <v>82</v>
      </c>
      <c r="AD887" s="35">
        <v>85</v>
      </c>
      <c r="AE887" s="35" t="s">
        <v>45</v>
      </c>
      <c r="AF887" s="35">
        <v>4000</v>
      </c>
      <c r="AH887" s="35" t="s">
        <v>27</v>
      </c>
    </row>
    <row r="888" spans="1:34">
      <c r="A888" t="s">
        <v>1175</v>
      </c>
      <c r="B888" t="s">
        <v>83</v>
      </c>
      <c r="C888">
        <v>28</v>
      </c>
      <c r="D888" t="s">
        <v>35</v>
      </c>
      <c r="E888" t="s">
        <v>113</v>
      </c>
      <c r="F888" t="s">
        <v>63</v>
      </c>
      <c r="G888" t="s">
        <v>64</v>
      </c>
      <c r="H888">
        <v>84</v>
      </c>
      <c r="I888">
        <v>97</v>
      </c>
      <c r="J888" t="s">
        <v>45</v>
      </c>
      <c r="K888">
        <v>10000</v>
      </c>
      <c r="L888">
        <v>8030</v>
      </c>
      <c r="M888">
        <v>2000</v>
      </c>
      <c r="N888" t="s">
        <v>26</v>
      </c>
      <c r="O888" t="s">
        <v>27</v>
      </c>
      <c r="P888" s="1">
        <v>45706</v>
      </c>
      <c r="Q888" s="1">
        <v>45796</v>
      </c>
      <c r="R888" s="2">
        <v>0.37708333333333333</v>
      </c>
      <c r="S888" s="2">
        <v>0.51736111111111116</v>
      </c>
      <c r="T888" t="str" cm="1">
        <f t="array" ref="T888">_xlfn.IFS(H888&gt;=90,"A",H888&gt;=75,"B",H888&gt;=60,"C",H888&lt;60,"D")</f>
        <v>B</v>
      </c>
      <c r="U888" t="str">
        <f t="shared" si="52"/>
        <v>09:03 AM</v>
      </c>
      <c r="V888" t="str">
        <f t="shared" si="53"/>
        <v>On Time</v>
      </c>
      <c r="W888" t="str">
        <f t="shared" si="54"/>
        <v>3 Hours 22 Minutes</v>
      </c>
      <c r="X888" t="str">
        <f t="shared" si="55"/>
        <v>Short Time Login</v>
      </c>
      <c r="AA888" s="34" t="s">
        <v>1175</v>
      </c>
      <c r="AB888" s="34" t="s">
        <v>83</v>
      </c>
      <c r="AC888" s="34">
        <v>84</v>
      </c>
      <c r="AD888" s="34">
        <v>97</v>
      </c>
      <c r="AE888" s="34" t="s">
        <v>45</v>
      </c>
      <c r="AF888" s="34">
        <v>2000</v>
      </c>
      <c r="AH888" s="34" t="s">
        <v>27</v>
      </c>
    </row>
    <row r="889" spans="1:34">
      <c r="A889" t="s">
        <v>1176</v>
      </c>
      <c r="B889" t="s">
        <v>264</v>
      </c>
      <c r="C889">
        <v>18</v>
      </c>
      <c r="D889" t="s">
        <v>35</v>
      </c>
      <c r="E889" t="s">
        <v>36</v>
      </c>
      <c r="F889" t="s">
        <v>53</v>
      </c>
      <c r="G889" t="s">
        <v>54</v>
      </c>
      <c r="H889">
        <v>36</v>
      </c>
      <c r="I889">
        <v>89</v>
      </c>
      <c r="J889" t="s">
        <v>25</v>
      </c>
      <c r="K889">
        <v>20000</v>
      </c>
      <c r="L889">
        <v>19830</v>
      </c>
      <c r="M889">
        <v>2000</v>
      </c>
      <c r="N889" t="s">
        <v>26</v>
      </c>
      <c r="O889" t="s">
        <v>27</v>
      </c>
      <c r="P889" s="1">
        <v>45970</v>
      </c>
      <c r="Q889" s="1">
        <v>46090</v>
      </c>
      <c r="R889" s="2">
        <v>0.45416666666666666</v>
      </c>
      <c r="S889" s="2">
        <v>0.60347222222222219</v>
      </c>
      <c r="T889" t="str" cm="1">
        <f t="array" ref="T889">_xlfn.IFS(H889&gt;=90,"A",H889&gt;=75,"B",H889&gt;=60,"C",H889&lt;60,"D")</f>
        <v>D</v>
      </c>
      <c r="U889" t="str">
        <f t="shared" si="52"/>
        <v>10:54 AM</v>
      </c>
      <c r="V889" t="str">
        <f t="shared" si="53"/>
        <v>Delayed</v>
      </c>
      <c r="W889" t="str">
        <f t="shared" si="54"/>
        <v>3 Hours 35 Minutes</v>
      </c>
      <c r="X889" t="str">
        <f t="shared" si="55"/>
        <v>Long Time Login</v>
      </c>
      <c r="AA889" s="35" t="s">
        <v>1176</v>
      </c>
      <c r="AB889" s="35" t="s">
        <v>264</v>
      </c>
      <c r="AC889" s="35">
        <v>36</v>
      </c>
      <c r="AD889" s="35">
        <v>89</v>
      </c>
      <c r="AE889" s="35" t="s">
        <v>25</v>
      </c>
      <c r="AF889" s="35">
        <v>2000</v>
      </c>
      <c r="AH889" s="35" t="s">
        <v>27</v>
      </c>
    </row>
    <row r="890" spans="1:34">
      <c r="A890" t="s">
        <v>1177</v>
      </c>
      <c r="B890" t="s">
        <v>173</v>
      </c>
      <c r="C890">
        <v>20</v>
      </c>
      <c r="D890" t="s">
        <v>21</v>
      </c>
      <c r="E890" t="s">
        <v>73</v>
      </c>
      <c r="F890" t="s">
        <v>40</v>
      </c>
      <c r="G890" t="s">
        <v>41</v>
      </c>
      <c r="H890">
        <v>98</v>
      </c>
      <c r="I890">
        <v>81</v>
      </c>
      <c r="J890" t="s">
        <v>59</v>
      </c>
      <c r="K890">
        <v>20000</v>
      </c>
      <c r="L890">
        <v>23010</v>
      </c>
      <c r="M890">
        <v>0</v>
      </c>
      <c r="N890" t="s">
        <v>11</v>
      </c>
      <c r="O890" t="s">
        <v>27</v>
      </c>
      <c r="P890" s="1">
        <v>45705</v>
      </c>
      <c r="Q890" s="1">
        <v>45885</v>
      </c>
      <c r="R890" s="2">
        <v>0.37638888888888888</v>
      </c>
      <c r="S890" s="2">
        <v>0.45277777777777778</v>
      </c>
      <c r="T890" t="str" cm="1">
        <f t="array" ref="T890">_xlfn.IFS(H890&gt;=90,"A",H890&gt;=75,"B",H890&gt;=60,"C",H890&lt;60,"D")</f>
        <v>A</v>
      </c>
      <c r="U890" t="str">
        <f t="shared" si="52"/>
        <v>09:02 AM</v>
      </c>
      <c r="V890" t="str">
        <f t="shared" si="53"/>
        <v>Delayed</v>
      </c>
      <c r="W890" t="str">
        <f t="shared" si="54"/>
        <v>1 Hours 50 Minutes</v>
      </c>
      <c r="X890" t="str">
        <f t="shared" si="55"/>
        <v>Short Time Login</v>
      </c>
      <c r="AA890" s="34" t="s">
        <v>1177</v>
      </c>
      <c r="AB890" s="34" t="s">
        <v>173</v>
      </c>
      <c r="AC890" s="34">
        <v>98</v>
      </c>
      <c r="AD890" s="34">
        <v>81</v>
      </c>
      <c r="AE890" s="34" t="s">
        <v>59</v>
      </c>
      <c r="AF890" s="34">
        <v>0</v>
      </c>
      <c r="AH890" s="34" t="s">
        <v>27</v>
      </c>
    </row>
    <row r="891" spans="1:34">
      <c r="A891" t="s">
        <v>1178</v>
      </c>
      <c r="B891" t="s">
        <v>138</v>
      </c>
      <c r="C891">
        <v>20</v>
      </c>
      <c r="D891" t="s">
        <v>21</v>
      </c>
      <c r="E891" t="s">
        <v>39</v>
      </c>
      <c r="F891" t="s">
        <v>23</v>
      </c>
      <c r="G891" t="s">
        <v>24</v>
      </c>
      <c r="H891">
        <v>92</v>
      </c>
      <c r="I891">
        <v>93</v>
      </c>
      <c r="J891" t="s">
        <v>59</v>
      </c>
      <c r="K891">
        <v>20000</v>
      </c>
      <c r="L891">
        <v>21010</v>
      </c>
      <c r="M891">
        <v>2000</v>
      </c>
      <c r="N891" t="s">
        <v>26</v>
      </c>
      <c r="O891" t="s">
        <v>27</v>
      </c>
      <c r="P891" s="1">
        <v>46017</v>
      </c>
      <c r="Q891" s="1">
        <v>46077</v>
      </c>
      <c r="R891" s="2">
        <v>0.35694444444444445</v>
      </c>
      <c r="S891" s="2">
        <v>0.54374999999999996</v>
      </c>
      <c r="T891" t="str" cm="1">
        <f t="array" ref="T891">_xlfn.IFS(H891&gt;=90,"A",H891&gt;=75,"B",H891&gt;=60,"C",H891&lt;60,"D")</f>
        <v>A</v>
      </c>
      <c r="U891" t="str">
        <f t="shared" si="52"/>
        <v>08:34 AM</v>
      </c>
      <c r="V891" t="str">
        <f t="shared" si="53"/>
        <v>On Time</v>
      </c>
      <c r="W891" t="str">
        <f t="shared" si="54"/>
        <v>4 Hours 29 Minutes</v>
      </c>
      <c r="X891" t="str">
        <f t="shared" si="55"/>
        <v>Short Time Login</v>
      </c>
      <c r="AA891" s="35" t="s">
        <v>1178</v>
      </c>
      <c r="AB891" s="35" t="s">
        <v>138</v>
      </c>
      <c r="AC891" s="35">
        <v>92</v>
      </c>
      <c r="AD891" s="35">
        <v>93</v>
      </c>
      <c r="AE891" s="35" t="s">
        <v>59</v>
      </c>
      <c r="AF891" s="35">
        <v>2000</v>
      </c>
      <c r="AH891" s="35" t="s">
        <v>27</v>
      </c>
    </row>
    <row r="892" spans="1:34">
      <c r="A892" t="s">
        <v>1179</v>
      </c>
      <c r="B892" t="s">
        <v>1180</v>
      </c>
      <c r="C892">
        <v>27</v>
      </c>
      <c r="D892" t="s">
        <v>21</v>
      </c>
      <c r="E892" t="s">
        <v>113</v>
      </c>
      <c r="F892" t="s">
        <v>57</v>
      </c>
      <c r="G892" t="s">
        <v>58</v>
      </c>
      <c r="H892">
        <v>67</v>
      </c>
      <c r="I892">
        <v>94</v>
      </c>
      <c r="J892" t="s">
        <v>68</v>
      </c>
      <c r="K892">
        <v>20000</v>
      </c>
      <c r="L892">
        <v>21600</v>
      </c>
      <c r="M892">
        <v>2000</v>
      </c>
      <c r="N892" t="s">
        <v>26</v>
      </c>
      <c r="O892" t="s">
        <v>27</v>
      </c>
      <c r="P892" s="1">
        <v>46004</v>
      </c>
      <c r="Q892" s="1">
        <v>46034</v>
      </c>
      <c r="R892" s="2">
        <v>0.42777777777777776</v>
      </c>
      <c r="S892" s="2">
        <v>0.61319444444444449</v>
      </c>
      <c r="T892" t="str" cm="1">
        <f t="array" ref="T892">_xlfn.IFS(H892&gt;=90,"A",H892&gt;=75,"B",H892&gt;=60,"C",H892&lt;60,"D")</f>
        <v>C</v>
      </c>
      <c r="U892" t="str">
        <f t="shared" si="52"/>
        <v>10:16 AM</v>
      </c>
      <c r="V892" t="str">
        <f t="shared" si="53"/>
        <v>On Time</v>
      </c>
      <c r="W892" t="str">
        <f t="shared" si="54"/>
        <v>4 Hours 27 Minutes</v>
      </c>
      <c r="X892" t="str">
        <f t="shared" si="55"/>
        <v>Long Time Login</v>
      </c>
      <c r="AA892" s="34" t="s">
        <v>1179</v>
      </c>
      <c r="AB892" s="34" t="s">
        <v>1180</v>
      </c>
      <c r="AC892" s="34">
        <v>67</v>
      </c>
      <c r="AD892" s="34">
        <v>94</v>
      </c>
      <c r="AE892" s="34" t="s">
        <v>68</v>
      </c>
      <c r="AF892" s="34">
        <v>2000</v>
      </c>
      <c r="AH892" s="34" t="s">
        <v>27</v>
      </c>
    </row>
    <row r="893" spans="1:34">
      <c r="A893" t="s">
        <v>1181</v>
      </c>
      <c r="B893" t="s">
        <v>945</v>
      </c>
      <c r="C893">
        <v>18</v>
      </c>
      <c r="D893" t="s">
        <v>21</v>
      </c>
      <c r="E893" t="s">
        <v>30</v>
      </c>
      <c r="F893" t="s">
        <v>49</v>
      </c>
      <c r="G893" t="s">
        <v>50</v>
      </c>
      <c r="H893">
        <v>48</v>
      </c>
      <c r="I893">
        <v>63</v>
      </c>
      <c r="J893" t="s">
        <v>25</v>
      </c>
      <c r="K893">
        <v>18000</v>
      </c>
      <c r="L893">
        <v>19240</v>
      </c>
      <c r="M893">
        <v>2000</v>
      </c>
      <c r="N893" t="s">
        <v>26</v>
      </c>
      <c r="O893" t="s">
        <v>27</v>
      </c>
      <c r="P893" s="1">
        <v>46001</v>
      </c>
      <c r="Q893" s="1">
        <v>46181</v>
      </c>
      <c r="R893" s="2">
        <v>0.39861111111111114</v>
      </c>
      <c r="S893" s="2">
        <v>0.58333333333333337</v>
      </c>
      <c r="T893" t="str" cm="1">
        <f t="array" ref="T893">_xlfn.IFS(H893&gt;=90,"A",H893&gt;=75,"B",H893&gt;=60,"C",H893&lt;60,"D")</f>
        <v>D</v>
      </c>
      <c r="U893" t="str">
        <f t="shared" si="52"/>
        <v>09:34 AM</v>
      </c>
      <c r="V893" t="str">
        <f t="shared" si="53"/>
        <v>Delayed</v>
      </c>
      <c r="W893" t="str">
        <f t="shared" si="54"/>
        <v>4 Hours 26 Minutes</v>
      </c>
      <c r="X893" t="str">
        <f t="shared" si="55"/>
        <v>Short Time Login</v>
      </c>
      <c r="AA893" s="35" t="s">
        <v>1181</v>
      </c>
      <c r="AB893" s="35" t="s">
        <v>945</v>
      </c>
      <c r="AC893" s="35">
        <v>48</v>
      </c>
      <c r="AD893" s="35">
        <v>63</v>
      </c>
      <c r="AE893" s="35" t="s">
        <v>25</v>
      </c>
      <c r="AF893" s="35">
        <v>2000</v>
      </c>
      <c r="AH893" s="35" t="s">
        <v>27</v>
      </c>
    </row>
    <row r="894" spans="1:34">
      <c r="A894" t="s">
        <v>1182</v>
      </c>
      <c r="B894" t="s">
        <v>106</v>
      </c>
      <c r="C894">
        <v>20</v>
      </c>
      <c r="D894" t="s">
        <v>35</v>
      </c>
      <c r="E894" t="s">
        <v>113</v>
      </c>
      <c r="F894" t="s">
        <v>31</v>
      </c>
      <c r="G894" t="s">
        <v>32</v>
      </c>
      <c r="H894">
        <v>94</v>
      </c>
      <c r="I894">
        <v>94</v>
      </c>
      <c r="J894" t="s">
        <v>59</v>
      </c>
      <c r="K894">
        <v>15000</v>
      </c>
      <c r="L894">
        <v>11930</v>
      </c>
      <c r="M894">
        <v>4000</v>
      </c>
      <c r="N894" t="s">
        <v>26</v>
      </c>
      <c r="O894" t="s">
        <v>27</v>
      </c>
      <c r="P894" s="1">
        <v>45808</v>
      </c>
      <c r="Q894" s="1">
        <v>45988</v>
      </c>
      <c r="R894" s="2">
        <v>0.42222222222222222</v>
      </c>
      <c r="S894" s="2">
        <v>0.62569444444444444</v>
      </c>
      <c r="T894" t="str" cm="1">
        <f t="array" ref="T894">_xlfn.IFS(H894&gt;=90,"A",H894&gt;=75,"B",H894&gt;=60,"C",H894&lt;60,"D")</f>
        <v>A</v>
      </c>
      <c r="U894" t="str">
        <f t="shared" si="52"/>
        <v>10:08 AM</v>
      </c>
      <c r="V894" t="str">
        <f t="shared" si="53"/>
        <v>Delayed</v>
      </c>
      <c r="W894" t="str">
        <f t="shared" si="54"/>
        <v>4 Hours 53 Minutes</v>
      </c>
      <c r="X894" t="str">
        <f t="shared" si="55"/>
        <v>Long Time Login</v>
      </c>
      <c r="AA894" s="34" t="s">
        <v>1182</v>
      </c>
      <c r="AB894" s="34" t="s">
        <v>106</v>
      </c>
      <c r="AC894" s="34">
        <v>94</v>
      </c>
      <c r="AD894" s="34">
        <v>94</v>
      </c>
      <c r="AE894" s="34" t="s">
        <v>59</v>
      </c>
      <c r="AF894" s="34">
        <v>4000</v>
      </c>
      <c r="AH894" s="34" t="s">
        <v>27</v>
      </c>
    </row>
    <row r="895" spans="1:34">
      <c r="A895" t="s">
        <v>1183</v>
      </c>
      <c r="B895" t="s">
        <v>591</v>
      </c>
      <c r="C895">
        <v>18</v>
      </c>
      <c r="D895" t="s">
        <v>35</v>
      </c>
      <c r="E895" t="s">
        <v>113</v>
      </c>
      <c r="F895" t="s">
        <v>40</v>
      </c>
      <c r="G895" t="s">
        <v>41</v>
      </c>
      <c r="H895">
        <v>91</v>
      </c>
      <c r="I895">
        <v>93</v>
      </c>
      <c r="J895" t="s">
        <v>59</v>
      </c>
      <c r="K895">
        <v>12000</v>
      </c>
      <c r="L895">
        <v>9570</v>
      </c>
      <c r="M895">
        <v>4000</v>
      </c>
      <c r="N895" t="s">
        <v>26</v>
      </c>
      <c r="O895" t="s">
        <v>27</v>
      </c>
      <c r="P895" s="1">
        <v>46016</v>
      </c>
      <c r="Q895" s="1">
        <v>46196</v>
      </c>
      <c r="R895" s="2">
        <v>0.44722222222222224</v>
      </c>
      <c r="S895" s="2">
        <v>0.50694444444444442</v>
      </c>
      <c r="T895" t="str" cm="1">
        <f t="array" ref="T895">_xlfn.IFS(H895&gt;=90,"A",H895&gt;=75,"B",H895&gt;=60,"C",H895&lt;60,"D")</f>
        <v>A</v>
      </c>
      <c r="U895" t="str">
        <f t="shared" si="52"/>
        <v>10:44 AM</v>
      </c>
      <c r="V895" t="str">
        <f t="shared" si="53"/>
        <v>Delayed</v>
      </c>
      <c r="W895" t="str">
        <f t="shared" si="54"/>
        <v>1 Hours 26 Minutes</v>
      </c>
      <c r="X895" t="str">
        <f t="shared" si="55"/>
        <v>Long Time Login</v>
      </c>
      <c r="AA895" s="35" t="s">
        <v>1183</v>
      </c>
      <c r="AB895" s="35" t="s">
        <v>591</v>
      </c>
      <c r="AC895" s="35">
        <v>91</v>
      </c>
      <c r="AD895" s="35">
        <v>93</v>
      </c>
      <c r="AE895" s="35" t="s">
        <v>59</v>
      </c>
      <c r="AF895" s="35">
        <v>4000</v>
      </c>
      <c r="AH895" s="35" t="s">
        <v>27</v>
      </c>
    </row>
    <row r="896" spans="1:34">
      <c r="A896" t="s">
        <v>1184</v>
      </c>
      <c r="B896" t="s">
        <v>91</v>
      </c>
      <c r="C896">
        <v>24</v>
      </c>
      <c r="D896" t="s">
        <v>35</v>
      </c>
      <c r="E896" t="s">
        <v>62</v>
      </c>
      <c r="F896" t="s">
        <v>49</v>
      </c>
      <c r="G896" t="s">
        <v>50</v>
      </c>
      <c r="H896">
        <v>92</v>
      </c>
      <c r="I896">
        <v>82</v>
      </c>
      <c r="J896" t="s">
        <v>59</v>
      </c>
      <c r="K896">
        <v>12000</v>
      </c>
      <c r="L896">
        <v>12390</v>
      </c>
      <c r="M896">
        <v>0</v>
      </c>
      <c r="N896" t="s">
        <v>11</v>
      </c>
      <c r="O896" t="s">
        <v>27</v>
      </c>
      <c r="P896" s="1">
        <v>45822</v>
      </c>
      <c r="Q896" s="1">
        <v>45942</v>
      </c>
      <c r="R896" s="2">
        <v>0.45624999999999999</v>
      </c>
      <c r="S896" s="2">
        <v>0.58680555555555558</v>
      </c>
      <c r="T896" t="str" cm="1">
        <f t="array" ref="T896">_xlfn.IFS(H896&gt;=90,"A",H896&gt;=75,"B",H896&gt;=60,"C",H896&lt;60,"D")</f>
        <v>A</v>
      </c>
      <c r="U896" t="str">
        <f t="shared" si="52"/>
        <v>10:57 AM</v>
      </c>
      <c r="V896" t="str">
        <f t="shared" si="53"/>
        <v>Delayed</v>
      </c>
      <c r="W896" t="str">
        <f t="shared" si="54"/>
        <v>3 Hours 8 Minutes</v>
      </c>
      <c r="X896" t="str">
        <f t="shared" si="55"/>
        <v>Long Time Login</v>
      </c>
      <c r="AA896" s="34" t="s">
        <v>1184</v>
      </c>
      <c r="AB896" s="34" t="s">
        <v>91</v>
      </c>
      <c r="AC896" s="34">
        <v>92</v>
      </c>
      <c r="AD896" s="34">
        <v>82</v>
      </c>
      <c r="AE896" s="34" t="s">
        <v>59</v>
      </c>
      <c r="AF896" s="34">
        <v>0</v>
      </c>
      <c r="AH896" s="34" t="s">
        <v>27</v>
      </c>
    </row>
    <row r="897" spans="1:34">
      <c r="A897" t="s">
        <v>1185</v>
      </c>
      <c r="B897" t="s">
        <v>518</v>
      </c>
      <c r="C897">
        <v>23</v>
      </c>
      <c r="D897" t="s">
        <v>21</v>
      </c>
      <c r="E897" t="s">
        <v>44</v>
      </c>
      <c r="F897" t="s">
        <v>57</v>
      </c>
      <c r="G897" t="s">
        <v>58</v>
      </c>
      <c r="H897">
        <v>50</v>
      </c>
      <c r="I897">
        <v>68</v>
      </c>
      <c r="J897" t="s">
        <v>25</v>
      </c>
      <c r="K897">
        <v>20000</v>
      </c>
      <c r="L897">
        <v>18420</v>
      </c>
      <c r="M897">
        <v>4000</v>
      </c>
      <c r="N897" t="s">
        <v>26</v>
      </c>
      <c r="O897" t="s">
        <v>27</v>
      </c>
      <c r="P897" s="1">
        <v>45726</v>
      </c>
      <c r="Q897" s="1">
        <v>45786</v>
      </c>
      <c r="R897" s="2">
        <v>0.45833333333333331</v>
      </c>
      <c r="S897" s="2">
        <v>0.63680555555555551</v>
      </c>
      <c r="T897" t="str" cm="1">
        <f t="array" ref="T897">_xlfn.IFS(H897&gt;=90,"A",H897&gt;=75,"B",H897&gt;=60,"C",H897&lt;60,"D")</f>
        <v>D</v>
      </c>
      <c r="U897" t="str">
        <f t="shared" si="52"/>
        <v>11:00 AM</v>
      </c>
      <c r="V897" t="str">
        <f t="shared" si="53"/>
        <v>On Time</v>
      </c>
      <c r="W897" t="str">
        <f t="shared" si="54"/>
        <v>4 Hours 17 Minutes</v>
      </c>
      <c r="X897" t="str">
        <f t="shared" si="55"/>
        <v>Long Time Login</v>
      </c>
      <c r="AA897" s="35" t="s">
        <v>1185</v>
      </c>
      <c r="AB897" s="35" t="s">
        <v>518</v>
      </c>
      <c r="AC897" s="35">
        <v>50</v>
      </c>
      <c r="AD897" s="35">
        <v>68</v>
      </c>
      <c r="AE897" s="35" t="s">
        <v>25</v>
      </c>
      <c r="AF897" s="35">
        <v>4000</v>
      </c>
      <c r="AH897" s="35" t="s">
        <v>27</v>
      </c>
    </row>
    <row r="898" spans="1:34">
      <c r="A898" t="s">
        <v>1186</v>
      </c>
      <c r="B898" t="s">
        <v>83</v>
      </c>
      <c r="C898">
        <v>18</v>
      </c>
      <c r="D898" t="s">
        <v>21</v>
      </c>
      <c r="E898" t="s">
        <v>36</v>
      </c>
      <c r="F898" t="s">
        <v>53</v>
      </c>
      <c r="G898" t="s">
        <v>54</v>
      </c>
      <c r="H898">
        <v>99</v>
      </c>
      <c r="I898">
        <v>97</v>
      </c>
      <c r="J898" t="s">
        <v>59</v>
      </c>
      <c r="K898">
        <v>10000</v>
      </c>
      <c r="L898">
        <v>6030</v>
      </c>
      <c r="M898">
        <v>4000</v>
      </c>
      <c r="N898" t="s">
        <v>26</v>
      </c>
      <c r="O898" t="s">
        <v>27</v>
      </c>
      <c r="P898" s="1">
        <v>45976</v>
      </c>
      <c r="Q898" s="1">
        <v>46066</v>
      </c>
      <c r="R898" s="2">
        <v>0.35138888888888886</v>
      </c>
      <c r="S898" s="2">
        <v>0.50416666666666665</v>
      </c>
      <c r="T898" t="str" cm="1">
        <f t="array" ref="T898">_xlfn.IFS(H898&gt;=90,"A",H898&gt;=75,"B",H898&gt;=60,"C",H898&lt;60,"D")</f>
        <v>A</v>
      </c>
      <c r="U898" t="str">
        <f t="shared" ref="U898:U961" si="56">TEXT(R898,"hh:mm AM/PM")</f>
        <v>08:26 AM</v>
      </c>
      <c r="V898" t="str">
        <f t="shared" ref="V898:V961" si="57">IF(_xlfn.DAYS(Q898,P898)&lt;=90,"On Time","Delayed")</f>
        <v>On Time</v>
      </c>
      <c r="W898" t="str">
        <f t="shared" ref="W898:W961" si="58">HOUR(S898-R898)&amp;" Hours "&amp;MINUTE(S898-R898)&amp;" Minutes"</f>
        <v>3 Hours 40 Minutes</v>
      </c>
      <c r="X898" t="str">
        <f t="shared" ref="X898:X961" si="59">IF(R898&gt;TIME(10,0,0),"Long Time Login","Short Time Login")</f>
        <v>Short Time Login</v>
      </c>
      <c r="AA898" s="34" t="s">
        <v>1186</v>
      </c>
      <c r="AB898" s="34" t="s">
        <v>83</v>
      </c>
      <c r="AC898" s="34">
        <v>99</v>
      </c>
      <c r="AD898" s="34">
        <v>97</v>
      </c>
      <c r="AE898" s="34" t="s">
        <v>59</v>
      </c>
      <c r="AF898" s="34">
        <v>4000</v>
      </c>
      <c r="AH898" s="34" t="s">
        <v>27</v>
      </c>
    </row>
    <row r="899" spans="1:34">
      <c r="A899" t="s">
        <v>1187</v>
      </c>
      <c r="B899" t="s">
        <v>234</v>
      </c>
      <c r="C899">
        <v>26</v>
      </c>
      <c r="D899" t="s">
        <v>35</v>
      </c>
      <c r="E899" t="s">
        <v>96</v>
      </c>
      <c r="F899" t="s">
        <v>49</v>
      </c>
      <c r="G899" t="s">
        <v>50</v>
      </c>
      <c r="H899">
        <v>90</v>
      </c>
      <c r="I899">
        <v>63</v>
      </c>
      <c r="J899" t="s">
        <v>59</v>
      </c>
      <c r="K899">
        <v>10000</v>
      </c>
      <c r="L899">
        <v>10030</v>
      </c>
      <c r="M899">
        <v>0</v>
      </c>
      <c r="N899" t="s">
        <v>11</v>
      </c>
      <c r="O899" t="s">
        <v>27</v>
      </c>
      <c r="P899" s="1">
        <v>45756</v>
      </c>
      <c r="Q899" s="1">
        <v>45786</v>
      </c>
      <c r="R899" s="2">
        <v>0.40763888888888888</v>
      </c>
      <c r="S899" s="2">
        <v>0.61458333333333337</v>
      </c>
      <c r="T899" t="str" cm="1">
        <f t="array" ref="T899">_xlfn.IFS(H899&gt;=90,"A",H899&gt;=75,"B",H899&gt;=60,"C",H899&lt;60,"D")</f>
        <v>A</v>
      </c>
      <c r="U899" t="str">
        <f t="shared" si="56"/>
        <v>09:47 AM</v>
      </c>
      <c r="V899" t="str">
        <f t="shared" si="57"/>
        <v>On Time</v>
      </c>
      <c r="W899" t="str">
        <f t="shared" si="58"/>
        <v>4 Hours 58 Minutes</v>
      </c>
      <c r="X899" t="str">
        <f t="shared" si="59"/>
        <v>Short Time Login</v>
      </c>
      <c r="AA899" s="35" t="s">
        <v>1187</v>
      </c>
      <c r="AB899" s="35" t="s">
        <v>234</v>
      </c>
      <c r="AC899" s="35">
        <v>90</v>
      </c>
      <c r="AD899" s="35">
        <v>63</v>
      </c>
      <c r="AE899" s="35" t="s">
        <v>59</v>
      </c>
      <c r="AF899" s="35">
        <v>0</v>
      </c>
      <c r="AH899" s="35" t="s">
        <v>27</v>
      </c>
    </row>
    <row r="900" spans="1:34">
      <c r="A900" t="s">
        <v>1188</v>
      </c>
      <c r="B900" t="s">
        <v>129</v>
      </c>
      <c r="C900">
        <v>23</v>
      </c>
      <c r="D900" t="s">
        <v>21</v>
      </c>
      <c r="E900" t="s">
        <v>22</v>
      </c>
      <c r="F900" t="s">
        <v>53</v>
      </c>
      <c r="G900" t="s">
        <v>54</v>
      </c>
      <c r="H900">
        <v>59</v>
      </c>
      <c r="I900">
        <v>92</v>
      </c>
      <c r="J900" t="s">
        <v>25</v>
      </c>
      <c r="K900">
        <v>10000</v>
      </c>
      <c r="L900">
        <v>11210</v>
      </c>
      <c r="M900">
        <v>0</v>
      </c>
      <c r="N900" t="s">
        <v>11</v>
      </c>
      <c r="O900" t="s">
        <v>27</v>
      </c>
      <c r="P900" s="1">
        <v>45884</v>
      </c>
      <c r="Q900" s="1">
        <v>45974</v>
      </c>
      <c r="R900" s="2">
        <v>0.38333333333333336</v>
      </c>
      <c r="S900" s="2">
        <v>0.5625</v>
      </c>
      <c r="T900" t="str" cm="1">
        <f t="array" ref="T900">_xlfn.IFS(H900&gt;=90,"A",H900&gt;=75,"B",H900&gt;=60,"C",H900&lt;60,"D")</f>
        <v>D</v>
      </c>
      <c r="U900" t="str">
        <f t="shared" si="56"/>
        <v>09:12 AM</v>
      </c>
      <c r="V900" t="str">
        <f t="shared" si="57"/>
        <v>On Time</v>
      </c>
      <c r="W900" t="str">
        <f t="shared" si="58"/>
        <v>4 Hours 18 Minutes</v>
      </c>
      <c r="X900" t="str">
        <f t="shared" si="59"/>
        <v>Short Time Login</v>
      </c>
      <c r="AA900" s="34" t="s">
        <v>1188</v>
      </c>
      <c r="AB900" s="34" t="s">
        <v>129</v>
      </c>
      <c r="AC900" s="34">
        <v>59</v>
      </c>
      <c r="AD900" s="34">
        <v>92</v>
      </c>
      <c r="AE900" s="34" t="s">
        <v>25</v>
      </c>
      <c r="AF900" s="34">
        <v>0</v>
      </c>
      <c r="AH900" s="34" t="s">
        <v>27</v>
      </c>
    </row>
    <row r="901" spans="1:34">
      <c r="A901" t="s">
        <v>1189</v>
      </c>
      <c r="B901" t="s">
        <v>635</v>
      </c>
      <c r="C901">
        <v>28</v>
      </c>
      <c r="D901" t="s">
        <v>35</v>
      </c>
      <c r="E901" t="s">
        <v>73</v>
      </c>
      <c r="F901" t="s">
        <v>53</v>
      </c>
      <c r="G901" t="s">
        <v>54</v>
      </c>
      <c r="H901">
        <v>35</v>
      </c>
      <c r="I901">
        <v>67</v>
      </c>
      <c r="J901" t="s">
        <v>25</v>
      </c>
      <c r="K901">
        <v>18000</v>
      </c>
      <c r="L901">
        <v>17240</v>
      </c>
      <c r="M901">
        <v>4000</v>
      </c>
      <c r="N901" t="s">
        <v>26</v>
      </c>
      <c r="O901" t="s">
        <v>27</v>
      </c>
      <c r="P901" s="1">
        <v>45860</v>
      </c>
      <c r="Q901" s="1">
        <v>45950</v>
      </c>
      <c r="R901" s="2">
        <v>0.37152777777777779</v>
      </c>
      <c r="S901" s="2">
        <v>0.52847222222222223</v>
      </c>
      <c r="T901" t="str" cm="1">
        <f t="array" ref="T901">_xlfn.IFS(H901&gt;=90,"A",H901&gt;=75,"B",H901&gt;=60,"C",H901&lt;60,"D")</f>
        <v>D</v>
      </c>
      <c r="U901" t="str">
        <f t="shared" si="56"/>
        <v>08:55 AM</v>
      </c>
      <c r="V901" t="str">
        <f t="shared" si="57"/>
        <v>On Time</v>
      </c>
      <c r="W901" t="str">
        <f t="shared" si="58"/>
        <v>3 Hours 46 Minutes</v>
      </c>
      <c r="X901" t="str">
        <f t="shared" si="59"/>
        <v>Short Time Login</v>
      </c>
      <c r="AA901" s="35" t="s">
        <v>1189</v>
      </c>
      <c r="AB901" s="35" t="s">
        <v>635</v>
      </c>
      <c r="AC901" s="35">
        <v>35</v>
      </c>
      <c r="AD901" s="35">
        <v>67</v>
      </c>
      <c r="AE901" s="35" t="s">
        <v>25</v>
      </c>
      <c r="AF901" s="35">
        <v>4000</v>
      </c>
      <c r="AH901" s="35" t="s">
        <v>27</v>
      </c>
    </row>
    <row r="902" spans="1:34">
      <c r="A902" t="s">
        <v>1190</v>
      </c>
      <c r="B902" t="s">
        <v>20</v>
      </c>
      <c r="C902">
        <v>28</v>
      </c>
      <c r="D902" t="s">
        <v>21</v>
      </c>
      <c r="E902" t="s">
        <v>36</v>
      </c>
      <c r="F902" t="s">
        <v>88</v>
      </c>
      <c r="G902" t="s">
        <v>89</v>
      </c>
      <c r="H902">
        <v>82</v>
      </c>
      <c r="I902">
        <v>76</v>
      </c>
      <c r="J902" t="s">
        <v>45</v>
      </c>
      <c r="K902">
        <v>10000</v>
      </c>
      <c r="L902">
        <v>9210</v>
      </c>
      <c r="M902">
        <v>2000</v>
      </c>
      <c r="N902" t="s">
        <v>26</v>
      </c>
      <c r="O902" t="s">
        <v>27</v>
      </c>
      <c r="P902" s="1">
        <v>45906</v>
      </c>
      <c r="Q902" s="1">
        <v>46086</v>
      </c>
      <c r="R902" s="2">
        <v>0.34305555555555556</v>
      </c>
      <c r="S902" s="2">
        <v>0.50069444444444444</v>
      </c>
      <c r="T902" t="str" cm="1">
        <f t="array" ref="T902">_xlfn.IFS(H902&gt;=90,"A",H902&gt;=75,"B",H902&gt;=60,"C",H902&lt;60,"D")</f>
        <v>B</v>
      </c>
      <c r="U902" t="str">
        <f t="shared" si="56"/>
        <v>08:14 AM</v>
      </c>
      <c r="V902" t="str">
        <f t="shared" si="57"/>
        <v>Delayed</v>
      </c>
      <c r="W902" t="str">
        <f t="shared" si="58"/>
        <v>3 Hours 47 Minutes</v>
      </c>
      <c r="X902" t="str">
        <f t="shared" si="59"/>
        <v>Short Time Login</v>
      </c>
      <c r="AA902" s="34" t="s">
        <v>1190</v>
      </c>
      <c r="AB902" s="34" t="s">
        <v>20</v>
      </c>
      <c r="AC902" s="34">
        <v>82</v>
      </c>
      <c r="AD902" s="34">
        <v>76</v>
      </c>
      <c r="AE902" s="34" t="s">
        <v>45</v>
      </c>
      <c r="AF902" s="34">
        <v>2000</v>
      </c>
      <c r="AH902" s="34" t="s">
        <v>27</v>
      </c>
    </row>
    <row r="903" spans="1:34">
      <c r="A903" t="s">
        <v>1191</v>
      </c>
      <c r="B903" t="s">
        <v>675</v>
      </c>
      <c r="C903">
        <v>23</v>
      </c>
      <c r="D903" t="s">
        <v>21</v>
      </c>
      <c r="E903" t="s">
        <v>73</v>
      </c>
      <c r="F903" t="s">
        <v>40</v>
      </c>
      <c r="G903" t="s">
        <v>41</v>
      </c>
      <c r="H903">
        <v>58</v>
      </c>
      <c r="I903">
        <v>71</v>
      </c>
      <c r="J903" t="s">
        <v>25</v>
      </c>
      <c r="K903">
        <v>12000</v>
      </c>
      <c r="L903">
        <v>10160</v>
      </c>
      <c r="M903">
        <v>4000</v>
      </c>
      <c r="N903" t="s">
        <v>26</v>
      </c>
      <c r="O903" t="s">
        <v>27</v>
      </c>
      <c r="P903" s="1">
        <v>46003</v>
      </c>
      <c r="Q903" s="1">
        <v>46123</v>
      </c>
      <c r="R903" s="2">
        <v>0.45694444444444443</v>
      </c>
      <c r="S903" s="2">
        <v>0.61319444444444449</v>
      </c>
      <c r="T903" t="str" cm="1">
        <f t="array" ref="T903">_xlfn.IFS(H903&gt;=90,"A",H903&gt;=75,"B",H903&gt;=60,"C",H903&lt;60,"D")</f>
        <v>D</v>
      </c>
      <c r="U903" t="str">
        <f t="shared" si="56"/>
        <v>10:58 AM</v>
      </c>
      <c r="V903" t="str">
        <f t="shared" si="57"/>
        <v>Delayed</v>
      </c>
      <c r="W903" t="str">
        <f t="shared" si="58"/>
        <v>3 Hours 45 Minutes</v>
      </c>
      <c r="X903" t="str">
        <f t="shared" si="59"/>
        <v>Long Time Login</v>
      </c>
      <c r="AA903" s="35" t="s">
        <v>1191</v>
      </c>
      <c r="AB903" s="35" t="s">
        <v>675</v>
      </c>
      <c r="AC903" s="35">
        <v>58</v>
      </c>
      <c r="AD903" s="35">
        <v>71</v>
      </c>
      <c r="AE903" s="35" t="s">
        <v>25</v>
      </c>
      <c r="AF903" s="35">
        <v>4000</v>
      </c>
      <c r="AH903" s="35" t="s">
        <v>27</v>
      </c>
    </row>
    <row r="904" spans="1:34">
      <c r="A904" t="s">
        <v>1192</v>
      </c>
      <c r="B904" t="s">
        <v>938</v>
      </c>
      <c r="C904">
        <v>27</v>
      </c>
      <c r="D904" t="s">
        <v>35</v>
      </c>
      <c r="E904" t="s">
        <v>96</v>
      </c>
      <c r="F904" t="s">
        <v>31</v>
      </c>
      <c r="G904" t="s">
        <v>32</v>
      </c>
      <c r="H904">
        <v>51</v>
      </c>
      <c r="I904">
        <v>62</v>
      </c>
      <c r="J904" t="s">
        <v>25</v>
      </c>
      <c r="K904">
        <v>10000</v>
      </c>
      <c r="L904">
        <v>6030</v>
      </c>
      <c r="M904">
        <v>4000</v>
      </c>
      <c r="N904" t="s">
        <v>26</v>
      </c>
      <c r="O904" t="s">
        <v>27</v>
      </c>
      <c r="P904" s="1">
        <v>45888</v>
      </c>
      <c r="Q904" s="1">
        <v>46068</v>
      </c>
      <c r="R904" s="2">
        <v>0.44305555555555554</v>
      </c>
      <c r="S904" s="2">
        <v>0.59791666666666665</v>
      </c>
      <c r="T904" t="str" cm="1">
        <f t="array" ref="T904">_xlfn.IFS(H904&gt;=90,"A",H904&gt;=75,"B",H904&gt;=60,"C",H904&lt;60,"D")</f>
        <v>D</v>
      </c>
      <c r="U904" t="str">
        <f t="shared" si="56"/>
        <v>10:38 AM</v>
      </c>
      <c r="V904" t="str">
        <f t="shared" si="57"/>
        <v>Delayed</v>
      </c>
      <c r="W904" t="str">
        <f t="shared" si="58"/>
        <v>3 Hours 43 Minutes</v>
      </c>
      <c r="X904" t="str">
        <f t="shared" si="59"/>
        <v>Long Time Login</v>
      </c>
      <c r="AA904" s="34" t="s">
        <v>1192</v>
      </c>
      <c r="AB904" s="34" t="s">
        <v>938</v>
      </c>
      <c r="AC904" s="34">
        <v>51</v>
      </c>
      <c r="AD904" s="34">
        <v>62</v>
      </c>
      <c r="AE904" s="34" t="s">
        <v>25</v>
      </c>
      <c r="AF904" s="34">
        <v>4000</v>
      </c>
      <c r="AH904" s="34" t="s">
        <v>27</v>
      </c>
    </row>
    <row r="905" spans="1:34">
      <c r="A905" t="s">
        <v>1193</v>
      </c>
      <c r="B905" t="s">
        <v>1051</v>
      </c>
      <c r="C905">
        <v>27</v>
      </c>
      <c r="D905" t="s">
        <v>35</v>
      </c>
      <c r="E905" t="s">
        <v>67</v>
      </c>
      <c r="F905" t="s">
        <v>88</v>
      </c>
      <c r="G905" t="s">
        <v>89</v>
      </c>
      <c r="H905">
        <v>75</v>
      </c>
      <c r="I905">
        <v>88</v>
      </c>
      <c r="J905" t="s">
        <v>45</v>
      </c>
      <c r="K905">
        <v>18000</v>
      </c>
      <c r="L905">
        <v>20650</v>
      </c>
      <c r="M905">
        <v>0</v>
      </c>
      <c r="N905" t="s">
        <v>11</v>
      </c>
      <c r="O905" t="s">
        <v>27</v>
      </c>
      <c r="P905" s="1">
        <v>45676</v>
      </c>
      <c r="Q905" s="1">
        <v>45736</v>
      </c>
      <c r="R905" s="2">
        <v>0.39652777777777776</v>
      </c>
      <c r="S905" s="2">
        <v>0.54166666666666663</v>
      </c>
      <c r="T905" t="str" cm="1">
        <f t="array" ref="T905">_xlfn.IFS(H905&gt;=90,"A",H905&gt;=75,"B",H905&gt;=60,"C",H905&lt;60,"D")</f>
        <v>B</v>
      </c>
      <c r="U905" t="str">
        <f t="shared" si="56"/>
        <v>09:31 AM</v>
      </c>
      <c r="V905" t="str">
        <f t="shared" si="57"/>
        <v>On Time</v>
      </c>
      <c r="W905" t="str">
        <f t="shared" si="58"/>
        <v>3 Hours 29 Minutes</v>
      </c>
      <c r="X905" t="str">
        <f t="shared" si="59"/>
        <v>Short Time Login</v>
      </c>
      <c r="AA905" s="35" t="s">
        <v>1193</v>
      </c>
      <c r="AB905" s="35" t="s">
        <v>1051</v>
      </c>
      <c r="AC905" s="35">
        <v>75</v>
      </c>
      <c r="AD905" s="35">
        <v>88</v>
      </c>
      <c r="AE905" s="35" t="s">
        <v>45</v>
      </c>
      <c r="AF905" s="35">
        <v>0</v>
      </c>
      <c r="AH905" s="35" t="s">
        <v>27</v>
      </c>
    </row>
    <row r="906" spans="1:34">
      <c r="A906" t="s">
        <v>1194</v>
      </c>
      <c r="B906" t="s">
        <v>850</v>
      </c>
      <c r="C906">
        <v>25</v>
      </c>
      <c r="D906" t="s">
        <v>21</v>
      </c>
      <c r="E906" t="s">
        <v>22</v>
      </c>
      <c r="F906" t="s">
        <v>31</v>
      </c>
      <c r="G906" t="s">
        <v>32</v>
      </c>
      <c r="H906">
        <v>37</v>
      </c>
      <c r="I906">
        <v>80</v>
      </c>
      <c r="J906" t="s">
        <v>25</v>
      </c>
      <c r="K906">
        <v>10000</v>
      </c>
      <c r="L906">
        <v>8030</v>
      </c>
      <c r="M906">
        <v>2000</v>
      </c>
      <c r="N906" t="s">
        <v>26</v>
      </c>
      <c r="O906" t="s">
        <v>27</v>
      </c>
      <c r="P906" s="1">
        <v>45764</v>
      </c>
      <c r="Q906" s="1">
        <v>45824</v>
      </c>
      <c r="R906" s="2">
        <v>0.43958333333333333</v>
      </c>
      <c r="S906" s="2">
        <v>0.49652777777777779</v>
      </c>
      <c r="T906" t="str" cm="1">
        <f t="array" ref="T906">_xlfn.IFS(H906&gt;=90,"A",H906&gt;=75,"B",H906&gt;=60,"C",H906&lt;60,"D")</f>
        <v>D</v>
      </c>
      <c r="U906" t="str">
        <f t="shared" si="56"/>
        <v>10:33 AM</v>
      </c>
      <c r="V906" t="str">
        <f t="shared" si="57"/>
        <v>On Time</v>
      </c>
      <c r="W906" t="str">
        <f t="shared" si="58"/>
        <v>1 Hours 22 Minutes</v>
      </c>
      <c r="X906" t="str">
        <f t="shared" si="59"/>
        <v>Long Time Login</v>
      </c>
      <c r="AA906" s="34" t="s">
        <v>1194</v>
      </c>
      <c r="AB906" s="34" t="s">
        <v>850</v>
      </c>
      <c r="AC906" s="34">
        <v>37</v>
      </c>
      <c r="AD906" s="34">
        <v>80</v>
      </c>
      <c r="AE906" s="34" t="s">
        <v>25</v>
      </c>
      <c r="AF906" s="34">
        <v>2000</v>
      </c>
      <c r="AH906" s="34" t="s">
        <v>27</v>
      </c>
    </row>
    <row r="907" spans="1:34">
      <c r="A907" t="s">
        <v>1195</v>
      </c>
      <c r="B907" t="s">
        <v>457</v>
      </c>
      <c r="C907">
        <v>18</v>
      </c>
      <c r="D907" t="s">
        <v>35</v>
      </c>
      <c r="E907" t="s">
        <v>39</v>
      </c>
      <c r="F907" t="s">
        <v>57</v>
      </c>
      <c r="G907" t="s">
        <v>58</v>
      </c>
      <c r="H907">
        <v>97</v>
      </c>
      <c r="I907">
        <v>77</v>
      </c>
      <c r="J907" t="s">
        <v>59</v>
      </c>
      <c r="K907">
        <v>12000</v>
      </c>
      <c r="L907">
        <v>10980</v>
      </c>
      <c r="M907">
        <v>2000</v>
      </c>
      <c r="N907" t="s">
        <v>26</v>
      </c>
      <c r="O907" t="s">
        <v>27</v>
      </c>
      <c r="P907" s="1">
        <v>45956</v>
      </c>
      <c r="Q907" s="1">
        <v>45986</v>
      </c>
      <c r="R907" s="2">
        <v>0.40208333333333335</v>
      </c>
      <c r="S907" s="2">
        <v>0.52152777777777781</v>
      </c>
      <c r="T907" t="str" cm="1">
        <f t="array" ref="T907">_xlfn.IFS(H907&gt;=90,"A",H907&gt;=75,"B",H907&gt;=60,"C",H907&lt;60,"D")</f>
        <v>A</v>
      </c>
      <c r="U907" t="str">
        <f t="shared" si="56"/>
        <v>09:39 AM</v>
      </c>
      <c r="V907" t="str">
        <f t="shared" si="57"/>
        <v>On Time</v>
      </c>
      <c r="W907" t="str">
        <f t="shared" si="58"/>
        <v>2 Hours 52 Minutes</v>
      </c>
      <c r="X907" t="str">
        <f t="shared" si="59"/>
        <v>Short Time Login</v>
      </c>
      <c r="AA907" s="35" t="s">
        <v>1195</v>
      </c>
      <c r="AB907" s="35" t="s">
        <v>457</v>
      </c>
      <c r="AC907" s="35">
        <v>97</v>
      </c>
      <c r="AD907" s="35">
        <v>77</v>
      </c>
      <c r="AE907" s="35" t="s">
        <v>59</v>
      </c>
      <c r="AF907" s="35">
        <v>2000</v>
      </c>
      <c r="AH907" s="35" t="s">
        <v>27</v>
      </c>
    </row>
    <row r="908" spans="1:34">
      <c r="A908" t="s">
        <v>1196</v>
      </c>
      <c r="B908" t="s">
        <v>282</v>
      </c>
      <c r="C908">
        <v>20</v>
      </c>
      <c r="D908" t="s">
        <v>35</v>
      </c>
      <c r="E908" t="s">
        <v>113</v>
      </c>
      <c r="F908" t="s">
        <v>23</v>
      </c>
      <c r="G908" t="s">
        <v>24</v>
      </c>
      <c r="H908">
        <v>70</v>
      </c>
      <c r="I908">
        <v>62</v>
      </c>
      <c r="J908" t="s">
        <v>68</v>
      </c>
      <c r="K908">
        <v>20000</v>
      </c>
      <c r="L908">
        <v>19600</v>
      </c>
      <c r="M908">
        <v>4000</v>
      </c>
      <c r="N908" t="s">
        <v>26</v>
      </c>
      <c r="O908" t="s">
        <v>27</v>
      </c>
      <c r="P908" s="1">
        <v>45904</v>
      </c>
      <c r="Q908" s="1">
        <v>45964</v>
      </c>
      <c r="R908" s="2">
        <v>0.42569444444444443</v>
      </c>
      <c r="S908" s="2">
        <v>0.55138888888888893</v>
      </c>
      <c r="T908" t="str" cm="1">
        <f t="array" ref="T908">_xlfn.IFS(H908&gt;=90,"A",H908&gt;=75,"B",H908&gt;=60,"C",H908&lt;60,"D")</f>
        <v>C</v>
      </c>
      <c r="U908" t="str">
        <f t="shared" si="56"/>
        <v>10:13 AM</v>
      </c>
      <c r="V908" t="str">
        <f t="shared" si="57"/>
        <v>On Time</v>
      </c>
      <c r="W908" t="str">
        <f t="shared" si="58"/>
        <v>3 Hours 1 Minutes</v>
      </c>
      <c r="X908" t="str">
        <f t="shared" si="59"/>
        <v>Long Time Login</v>
      </c>
      <c r="AA908" s="34" t="s">
        <v>1196</v>
      </c>
      <c r="AB908" s="34" t="s">
        <v>282</v>
      </c>
      <c r="AC908" s="34">
        <v>70</v>
      </c>
      <c r="AD908" s="34">
        <v>62</v>
      </c>
      <c r="AE908" s="34" t="s">
        <v>68</v>
      </c>
      <c r="AF908" s="34">
        <v>4000</v>
      </c>
      <c r="AH908" s="34" t="s">
        <v>27</v>
      </c>
    </row>
    <row r="909" spans="1:34">
      <c r="A909" t="s">
        <v>1197</v>
      </c>
      <c r="B909" t="s">
        <v>261</v>
      </c>
      <c r="C909">
        <v>26</v>
      </c>
      <c r="D909" t="s">
        <v>35</v>
      </c>
      <c r="E909" t="s">
        <v>22</v>
      </c>
      <c r="F909" t="s">
        <v>49</v>
      </c>
      <c r="G909" t="s">
        <v>50</v>
      </c>
      <c r="H909">
        <v>71</v>
      </c>
      <c r="I909">
        <v>96</v>
      </c>
      <c r="J909" t="s">
        <v>68</v>
      </c>
      <c r="K909">
        <v>20000</v>
      </c>
      <c r="L909">
        <v>23010</v>
      </c>
      <c r="M909">
        <v>0</v>
      </c>
      <c r="N909" t="s">
        <v>11</v>
      </c>
      <c r="O909" t="s">
        <v>27</v>
      </c>
      <c r="P909" s="1">
        <v>45687</v>
      </c>
      <c r="Q909" s="1">
        <v>45777</v>
      </c>
      <c r="R909" s="2">
        <v>0.37291666666666667</v>
      </c>
      <c r="S909" s="2">
        <v>0.46736111111111112</v>
      </c>
      <c r="T909" t="str" cm="1">
        <f t="array" ref="T909">_xlfn.IFS(H909&gt;=90,"A",H909&gt;=75,"B",H909&gt;=60,"C",H909&lt;60,"D")</f>
        <v>C</v>
      </c>
      <c r="U909" t="str">
        <f t="shared" si="56"/>
        <v>08:57 AM</v>
      </c>
      <c r="V909" t="str">
        <f t="shared" si="57"/>
        <v>On Time</v>
      </c>
      <c r="W909" t="str">
        <f t="shared" si="58"/>
        <v>2 Hours 16 Minutes</v>
      </c>
      <c r="X909" t="str">
        <f t="shared" si="59"/>
        <v>Short Time Login</v>
      </c>
      <c r="AA909" s="35" t="s">
        <v>1197</v>
      </c>
      <c r="AB909" s="35" t="s">
        <v>261</v>
      </c>
      <c r="AC909" s="35">
        <v>71</v>
      </c>
      <c r="AD909" s="35">
        <v>96</v>
      </c>
      <c r="AE909" s="35" t="s">
        <v>68</v>
      </c>
      <c r="AF909" s="35">
        <v>0</v>
      </c>
      <c r="AH909" s="35" t="s">
        <v>27</v>
      </c>
    </row>
    <row r="910" spans="1:34">
      <c r="A910" t="s">
        <v>1198</v>
      </c>
      <c r="B910" t="s">
        <v>683</v>
      </c>
      <c r="C910">
        <v>28</v>
      </c>
      <c r="D910" t="s">
        <v>21</v>
      </c>
      <c r="E910" t="s">
        <v>73</v>
      </c>
      <c r="F910" t="s">
        <v>31</v>
      </c>
      <c r="G910" t="s">
        <v>32</v>
      </c>
      <c r="H910">
        <v>59</v>
      </c>
      <c r="I910">
        <v>90</v>
      </c>
      <c r="J910" t="s">
        <v>25</v>
      </c>
      <c r="K910">
        <v>10000</v>
      </c>
      <c r="L910">
        <v>11210</v>
      </c>
      <c r="M910">
        <v>0</v>
      </c>
      <c r="N910" t="s">
        <v>11</v>
      </c>
      <c r="O910" t="s">
        <v>27</v>
      </c>
      <c r="P910" s="1">
        <v>45916</v>
      </c>
      <c r="Q910" s="1">
        <v>46096</v>
      </c>
      <c r="R910" s="2">
        <v>0.45624999999999999</v>
      </c>
      <c r="S910" s="2">
        <v>0.64722222222222225</v>
      </c>
      <c r="T910" t="str" cm="1">
        <f t="array" ref="T910">_xlfn.IFS(H910&gt;=90,"A",H910&gt;=75,"B",H910&gt;=60,"C",H910&lt;60,"D")</f>
        <v>D</v>
      </c>
      <c r="U910" t="str">
        <f t="shared" si="56"/>
        <v>10:57 AM</v>
      </c>
      <c r="V910" t="str">
        <f t="shared" si="57"/>
        <v>Delayed</v>
      </c>
      <c r="W910" t="str">
        <f t="shared" si="58"/>
        <v>4 Hours 35 Minutes</v>
      </c>
      <c r="X910" t="str">
        <f t="shared" si="59"/>
        <v>Long Time Login</v>
      </c>
      <c r="AA910" s="34" t="s">
        <v>1198</v>
      </c>
      <c r="AB910" s="34" t="s">
        <v>683</v>
      </c>
      <c r="AC910" s="34">
        <v>59</v>
      </c>
      <c r="AD910" s="34">
        <v>90</v>
      </c>
      <c r="AE910" s="34" t="s">
        <v>25</v>
      </c>
      <c r="AF910" s="34">
        <v>0</v>
      </c>
      <c r="AH910" s="34" t="s">
        <v>27</v>
      </c>
    </row>
    <row r="911" spans="1:34">
      <c r="A911" t="s">
        <v>1199</v>
      </c>
      <c r="B911" t="s">
        <v>316</v>
      </c>
      <c r="C911">
        <v>23</v>
      </c>
      <c r="D911" t="s">
        <v>35</v>
      </c>
      <c r="E911" t="s">
        <v>39</v>
      </c>
      <c r="F911" t="s">
        <v>57</v>
      </c>
      <c r="G911" t="s">
        <v>58</v>
      </c>
      <c r="H911">
        <v>95</v>
      </c>
      <c r="I911">
        <v>91</v>
      </c>
      <c r="J911" t="s">
        <v>59</v>
      </c>
      <c r="K911">
        <v>20000</v>
      </c>
      <c r="L911">
        <v>19010</v>
      </c>
      <c r="M911">
        <v>4000</v>
      </c>
      <c r="N911" t="s">
        <v>26</v>
      </c>
      <c r="O911" t="s">
        <v>27</v>
      </c>
      <c r="P911" s="1">
        <v>45903</v>
      </c>
      <c r="Q911" s="1">
        <v>45933</v>
      </c>
      <c r="R911" s="2">
        <v>0.4284722222222222</v>
      </c>
      <c r="S911" s="2">
        <v>0.60347222222222219</v>
      </c>
      <c r="T911" t="str" cm="1">
        <f t="array" ref="T911">_xlfn.IFS(H911&gt;=90,"A",H911&gt;=75,"B",H911&gt;=60,"C",H911&lt;60,"D")</f>
        <v>A</v>
      </c>
      <c r="U911" t="str">
        <f t="shared" si="56"/>
        <v>10:17 AM</v>
      </c>
      <c r="V911" t="str">
        <f t="shared" si="57"/>
        <v>On Time</v>
      </c>
      <c r="W911" t="str">
        <f t="shared" si="58"/>
        <v>4 Hours 12 Minutes</v>
      </c>
      <c r="X911" t="str">
        <f t="shared" si="59"/>
        <v>Long Time Login</v>
      </c>
      <c r="AA911" s="35" t="s">
        <v>1199</v>
      </c>
      <c r="AB911" s="35" t="s">
        <v>316</v>
      </c>
      <c r="AC911" s="35">
        <v>95</v>
      </c>
      <c r="AD911" s="35">
        <v>91</v>
      </c>
      <c r="AE911" s="35" t="s">
        <v>59</v>
      </c>
      <c r="AF911" s="35">
        <v>4000</v>
      </c>
      <c r="AH911" s="35" t="s">
        <v>27</v>
      </c>
    </row>
    <row r="912" spans="1:34">
      <c r="A912" t="s">
        <v>1200</v>
      </c>
      <c r="B912" t="s">
        <v>85</v>
      </c>
      <c r="C912">
        <v>21</v>
      </c>
      <c r="D912" t="s">
        <v>35</v>
      </c>
      <c r="E912" t="s">
        <v>96</v>
      </c>
      <c r="F912" t="s">
        <v>63</v>
      </c>
      <c r="G912" t="s">
        <v>64</v>
      </c>
      <c r="H912">
        <v>60</v>
      </c>
      <c r="I912">
        <v>99</v>
      </c>
      <c r="J912" t="s">
        <v>68</v>
      </c>
      <c r="K912">
        <v>15000</v>
      </c>
      <c r="L912">
        <v>13110</v>
      </c>
      <c r="M912">
        <v>4000</v>
      </c>
      <c r="N912" t="s">
        <v>26</v>
      </c>
      <c r="O912" t="s">
        <v>27</v>
      </c>
      <c r="P912" s="1">
        <v>45956</v>
      </c>
      <c r="Q912" s="1">
        <v>45986</v>
      </c>
      <c r="R912" s="2">
        <v>0.43194444444444446</v>
      </c>
      <c r="S912" s="2">
        <v>0.51180555555555551</v>
      </c>
      <c r="T912" t="str" cm="1">
        <f t="array" ref="T912">_xlfn.IFS(H912&gt;=90,"A",H912&gt;=75,"B",H912&gt;=60,"C",H912&lt;60,"D")</f>
        <v>C</v>
      </c>
      <c r="U912" t="str">
        <f t="shared" si="56"/>
        <v>10:22 AM</v>
      </c>
      <c r="V912" t="str">
        <f t="shared" si="57"/>
        <v>On Time</v>
      </c>
      <c r="W912" t="str">
        <f t="shared" si="58"/>
        <v>1 Hours 55 Minutes</v>
      </c>
      <c r="X912" t="str">
        <f t="shared" si="59"/>
        <v>Long Time Login</v>
      </c>
      <c r="AA912" s="34" t="s">
        <v>1200</v>
      </c>
      <c r="AB912" s="34" t="s">
        <v>85</v>
      </c>
      <c r="AC912" s="34">
        <v>60</v>
      </c>
      <c r="AD912" s="34">
        <v>99</v>
      </c>
      <c r="AE912" s="34" t="s">
        <v>68</v>
      </c>
      <c r="AF912" s="34">
        <v>4000</v>
      </c>
      <c r="AH912" s="34" t="s">
        <v>27</v>
      </c>
    </row>
    <row r="913" spans="1:34">
      <c r="A913" t="s">
        <v>1201</v>
      </c>
      <c r="B913" t="s">
        <v>138</v>
      </c>
      <c r="C913">
        <v>23</v>
      </c>
      <c r="D913" t="s">
        <v>21</v>
      </c>
      <c r="E913" t="s">
        <v>96</v>
      </c>
      <c r="F913" t="s">
        <v>57</v>
      </c>
      <c r="G913" t="s">
        <v>58</v>
      </c>
      <c r="H913">
        <v>72</v>
      </c>
      <c r="I913">
        <v>75</v>
      </c>
      <c r="J913" t="s">
        <v>68</v>
      </c>
      <c r="K913">
        <v>15000</v>
      </c>
      <c r="L913">
        <v>13700</v>
      </c>
      <c r="M913">
        <v>4000</v>
      </c>
      <c r="N913" t="s">
        <v>26</v>
      </c>
      <c r="O913" t="s">
        <v>27</v>
      </c>
      <c r="P913" s="1">
        <v>45864</v>
      </c>
      <c r="Q913" s="1">
        <v>45954</v>
      </c>
      <c r="R913" s="2">
        <v>0.37847222222222221</v>
      </c>
      <c r="S913" s="2">
        <v>0.56458333333333333</v>
      </c>
      <c r="T913" t="str" cm="1">
        <f t="array" ref="T913">_xlfn.IFS(H913&gt;=90,"A",H913&gt;=75,"B",H913&gt;=60,"C",H913&lt;60,"D")</f>
        <v>C</v>
      </c>
      <c r="U913" t="str">
        <f t="shared" si="56"/>
        <v>09:05 AM</v>
      </c>
      <c r="V913" t="str">
        <f t="shared" si="57"/>
        <v>On Time</v>
      </c>
      <c r="W913" t="str">
        <f t="shared" si="58"/>
        <v>4 Hours 28 Minutes</v>
      </c>
      <c r="X913" t="str">
        <f t="shared" si="59"/>
        <v>Short Time Login</v>
      </c>
      <c r="AA913" s="35" t="s">
        <v>1201</v>
      </c>
      <c r="AB913" s="35" t="s">
        <v>138</v>
      </c>
      <c r="AC913" s="35">
        <v>72</v>
      </c>
      <c r="AD913" s="35">
        <v>75</v>
      </c>
      <c r="AE913" s="35" t="s">
        <v>68</v>
      </c>
      <c r="AF913" s="35">
        <v>4000</v>
      </c>
      <c r="AH913" s="35" t="s">
        <v>27</v>
      </c>
    </row>
    <row r="914" spans="1:34">
      <c r="A914" t="s">
        <v>1202</v>
      </c>
      <c r="B914" t="s">
        <v>338</v>
      </c>
      <c r="C914">
        <v>28</v>
      </c>
      <c r="D914" t="s">
        <v>35</v>
      </c>
      <c r="E914" t="s">
        <v>113</v>
      </c>
      <c r="F914" t="s">
        <v>31</v>
      </c>
      <c r="G914" t="s">
        <v>32</v>
      </c>
      <c r="H914">
        <v>36</v>
      </c>
      <c r="I914">
        <v>73</v>
      </c>
      <c r="J914" t="s">
        <v>25</v>
      </c>
      <c r="K914">
        <v>12000</v>
      </c>
      <c r="L914">
        <v>14160</v>
      </c>
      <c r="M914">
        <v>0</v>
      </c>
      <c r="N914" t="s">
        <v>11</v>
      </c>
      <c r="O914" t="s">
        <v>27</v>
      </c>
      <c r="P914" s="1">
        <v>45988</v>
      </c>
      <c r="Q914" s="1">
        <v>46078</v>
      </c>
      <c r="R914" s="2">
        <v>0.42708333333333331</v>
      </c>
      <c r="S914" s="2">
        <v>0.6</v>
      </c>
      <c r="T914" t="str" cm="1">
        <f t="array" ref="T914">_xlfn.IFS(H914&gt;=90,"A",H914&gt;=75,"B",H914&gt;=60,"C",H914&lt;60,"D")</f>
        <v>D</v>
      </c>
      <c r="U914" t="str">
        <f t="shared" si="56"/>
        <v>10:15 AM</v>
      </c>
      <c r="V914" t="str">
        <f t="shared" si="57"/>
        <v>On Time</v>
      </c>
      <c r="W914" t="str">
        <f t="shared" si="58"/>
        <v>4 Hours 9 Minutes</v>
      </c>
      <c r="X914" t="str">
        <f t="shared" si="59"/>
        <v>Long Time Login</v>
      </c>
      <c r="AA914" s="34" t="s">
        <v>1202</v>
      </c>
      <c r="AB914" s="34" t="s">
        <v>338</v>
      </c>
      <c r="AC914" s="34">
        <v>36</v>
      </c>
      <c r="AD914" s="34">
        <v>73</v>
      </c>
      <c r="AE914" s="34" t="s">
        <v>25</v>
      </c>
      <c r="AF914" s="34">
        <v>0</v>
      </c>
      <c r="AH914" s="34" t="s">
        <v>27</v>
      </c>
    </row>
    <row r="915" spans="1:34">
      <c r="A915" t="s">
        <v>1203</v>
      </c>
      <c r="B915" t="s">
        <v>343</v>
      </c>
      <c r="C915">
        <v>25</v>
      </c>
      <c r="D915" t="s">
        <v>35</v>
      </c>
      <c r="E915" t="s">
        <v>39</v>
      </c>
      <c r="F915" t="s">
        <v>49</v>
      </c>
      <c r="G915" t="s">
        <v>50</v>
      </c>
      <c r="H915">
        <v>76</v>
      </c>
      <c r="I915">
        <v>90</v>
      </c>
      <c r="J915" t="s">
        <v>45</v>
      </c>
      <c r="K915">
        <v>10000</v>
      </c>
      <c r="L915">
        <v>11210</v>
      </c>
      <c r="M915">
        <v>0</v>
      </c>
      <c r="N915" t="s">
        <v>11</v>
      </c>
      <c r="O915" t="s">
        <v>27</v>
      </c>
      <c r="P915" s="1">
        <v>46017</v>
      </c>
      <c r="Q915" s="1">
        <v>46107</v>
      </c>
      <c r="R915" s="2">
        <v>0.43055555555555558</v>
      </c>
      <c r="S915" s="2">
        <v>0.59513888888888888</v>
      </c>
      <c r="T915" t="str" cm="1">
        <f t="array" ref="T915">_xlfn.IFS(H915&gt;=90,"A",H915&gt;=75,"B",H915&gt;=60,"C",H915&lt;60,"D")</f>
        <v>B</v>
      </c>
      <c r="U915" t="str">
        <f t="shared" si="56"/>
        <v>10:20 AM</v>
      </c>
      <c r="V915" t="str">
        <f t="shared" si="57"/>
        <v>On Time</v>
      </c>
      <c r="W915" t="str">
        <f t="shared" si="58"/>
        <v>3 Hours 57 Minutes</v>
      </c>
      <c r="X915" t="str">
        <f t="shared" si="59"/>
        <v>Long Time Login</v>
      </c>
      <c r="AA915" s="35" t="s">
        <v>1203</v>
      </c>
      <c r="AB915" s="35" t="s">
        <v>343</v>
      </c>
      <c r="AC915" s="35">
        <v>76</v>
      </c>
      <c r="AD915" s="35">
        <v>90</v>
      </c>
      <c r="AE915" s="35" t="s">
        <v>45</v>
      </c>
      <c r="AF915" s="35">
        <v>0</v>
      </c>
      <c r="AH915" s="35" t="s">
        <v>27</v>
      </c>
    </row>
    <row r="916" spans="1:34">
      <c r="A916" t="s">
        <v>1204</v>
      </c>
      <c r="B916" t="s">
        <v>541</v>
      </c>
      <c r="C916">
        <v>18</v>
      </c>
      <c r="D916" t="s">
        <v>35</v>
      </c>
      <c r="E916" t="s">
        <v>73</v>
      </c>
      <c r="F916" t="s">
        <v>57</v>
      </c>
      <c r="G916" t="s">
        <v>58</v>
      </c>
      <c r="H916">
        <v>85</v>
      </c>
      <c r="I916">
        <v>80</v>
      </c>
      <c r="J916" t="s">
        <v>45</v>
      </c>
      <c r="K916">
        <v>20000</v>
      </c>
      <c r="L916">
        <v>19600</v>
      </c>
      <c r="M916">
        <v>4000</v>
      </c>
      <c r="N916" t="s">
        <v>26</v>
      </c>
      <c r="O916" t="s">
        <v>27</v>
      </c>
      <c r="P916" s="1">
        <v>45770</v>
      </c>
      <c r="Q916" s="1">
        <v>45950</v>
      </c>
      <c r="R916" s="2">
        <v>0.38680555555555557</v>
      </c>
      <c r="S916" s="2">
        <v>0.43680555555555556</v>
      </c>
      <c r="T916" t="str" cm="1">
        <f t="array" ref="T916">_xlfn.IFS(H916&gt;=90,"A",H916&gt;=75,"B",H916&gt;=60,"C",H916&lt;60,"D")</f>
        <v>B</v>
      </c>
      <c r="U916" t="str">
        <f t="shared" si="56"/>
        <v>09:17 AM</v>
      </c>
      <c r="V916" t="str">
        <f t="shared" si="57"/>
        <v>Delayed</v>
      </c>
      <c r="W916" t="str">
        <f t="shared" si="58"/>
        <v>1 Hours 12 Minutes</v>
      </c>
      <c r="X916" t="str">
        <f t="shared" si="59"/>
        <v>Short Time Login</v>
      </c>
      <c r="AA916" s="34" t="s">
        <v>1204</v>
      </c>
      <c r="AB916" s="34" t="s">
        <v>541</v>
      </c>
      <c r="AC916" s="34">
        <v>85</v>
      </c>
      <c r="AD916" s="34">
        <v>80</v>
      </c>
      <c r="AE916" s="34" t="s">
        <v>45</v>
      </c>
      <c r="AF916" s="34">
        <v>4000</v>
      </c>
      <c r="AH916" s="34" t="s">
        <v>27</v>
      </c>
    </row>
    <row r="917" spans="1:34">
      <c r="A917" t="s">
        <v>1205</v>
      </c>
      <c r="B917" t="s">
        <v>334</v>
      </c>
      <c r="C917">
        <v>21</v>
      </c>
      <c r="D917" t="s">
        <v>21</v>
      </c>
      <c r="E917" t="s">
        <v>36</v>
      </c>
      <c r="F917" t="s">
        <v>63</v>
      </c>
      <c r="G917" t="s">
        <v>64</v>
      </c>
      <c r="H917">
        <v>97</v>
      </c>
      <c r="I917">
        <v>95</v>
      </c>
      <c r="J917" t="s">
        <v>59</v>
      </c>
      <c r="K917">
        <v>15000</v>
      </c>
      <c r="L917">
        <v>15700</v>
      </c>
      <c r="M917">
        <v>2000</v>
      </c>
      <c r="N917" t="s">
        <v>26</v>
      </c>
      <c r="O917" t="s">
        <v>27</v>
      </c>
      <c r="P917" s="1">
        <v>45767</v>
      </c>
      <c r="Q917" s="1">
        <v>45857</v>
      </c>
      <c r="R917" s="2">
        <v>0.45624999999999999</v>
      </c>
      <c r="S917" s="2">
        <v>0.57152777777777775</v>
      </c>
      <c r="T917" t="str" cm="1">
        <f t="array" ref="T917">_xlfn.IFS(H917&gt;=90,"A",H917&gt;=75,"B",H917&gt;=60,"C",H917&lt;60,"D")</f>
        <v>A</v>
      </c>
      <c r="U917" t="str">
        <f t="shared" si="56"/>
        <v>10:57 AM</v>
      </c>
      <c r="V917" t="str">
        <f t="shared" si="57"/>
        <v>On Time</v>
      </c>
      <c r="W917" t="str">
        <f t="shared" si="58"/>
        <v>2 Hours 46 Minutes</v>
      </c>
      <c r="X917" t="str">
        <f t="shared" si="59"/>
        <v>Long Time Login</v>
      </c>
      <c r="AA917" s="35" t="s">
        <v>1205</v>
      </c>
      <c r="AB917" s="35" t="s">
        <v>334</v>
      </c>
      <c r="AC917" s="35">
        <v>97</v>
      </c>
      <c r="AD917" s="35">
        <v>95</v>
      </c>
      <c r="AE917" s="35" t="s">
        <v>59</v>
      </c>
      <c r="AF917" s="35">
        <v>2000</v>
      </c>
      <c r="AH917" s="35" t="s">
        <v>27</v>
      </c>
    </row>
    <row r="918" spans="1:34">
      <c r="A918" t="s">
        <v>1206</v>
      </c>
      <c r="B918" t="s">
        <v>656</v>
      </c>
      <c r="C918">
        <v>19</v>
      </c>
      <c r="D918" t="s">
        <v>35</v>
      </c>
      <c r="E918" t="s">
        <v>122</v>
      </c>
      <c r="F918" t="s">
        <v>49</v>
      </c>
      <c r="G918" t="s">
        <v>50</v>
      </c>
      <c r="H918">
        <v>73</v>
      </c>
      <c r="I918">
        <v>71</v>
      </c>
      <c r="J918" t="s">
        <v>68</v>
      </c>
      <c r="K918">
        <v>10000</v>
      </c>
      <c r="L918">
        <v>8030</v>
      </c>
      <c r="M918">
        <v>2000</v>
      </c>
      <c r="N918" t="s">
        <v>26</v>
      </c>
      <c r="O918" t="s">
        <v>27</v>
      </c>
      <c r="P918" s="1">
        <v>45886</v>
      </c>
      <c r="Q918" s="1">
        <v>46006</v>
      </c>
      <c r="R918" s="2">
        <v>0.45069444444444445</v>
      </c>
      <c r="S918" s="2">
        <v>0.59930555555555554</v>
      </c>
      <c r="T918" t="str" cm="1">
        <f t="array" ref="T918">_xlfn.IFS(H918&gt;=90,"A",H918&gt;=75,"B",H918&gt;=60,"C",H918&lt;60,"D")</f>
        <v>C</v>
      </c>
      <c r="U918" t="str">
        <f t="shared" si="56"/>
        <v>10:49 AM</v>
      </c>
      <c r="V918" t="str">
        <f t="shared" si="57"/>
        <v>Delayed</v>
      </c>
      <c r="W918" t="str">
        <f t="shared" si="58"/>
        <v>3 Hours 34 Minutes</v>
      </c>
      <c r="X918" t="str">
        <f t="shared" si="59"/>
        <v>Long Time Login</v>
      </c>
      <c r="AA918" s="34" t="s">
        <v>1206</v>
      </c>
      <c r="AB918" s="34" t="s">
        <v>656</v>
      </c>
      <c r="AC918" s="34">
        <v>73</v>
      </c>
      <c r="AD918" s="34">
        <v>71</v>
      </c>
      <c r="AE918" s="34" t="s">
        <v>68</v>
      </c>
      <c r="AF918" s="34">
        <v>2000</v>
      </c>
      <c r="AH918" s="34" t="s">
        <v>27</v>
      </c>
    </row>
    <row r="919" spans="1:34">
      <c r="A919" t="s">
        <v>1207</v>
      </c>
      <c r="B919" t="s">
        <v>986</v>
      </c>
      <c r="C919">
        <v>22</v>
      </c>
      <c r="D919" t="s">
        <v>21</v>
      </c>
      <c r="E919" t="s">
        <v>67</v>
      </c>
      <c r="F919" t="s">
        <v>23</v>
      </c>
      <c r="G919" t="s">
        <v>24</v>
      </c>
      <c r="H919">
        <v>78</v>
      </c>
      <c r="I919">
        <v>84</v>
      </c>
      <c r="J919" t="s">
        <v>45</v>
      </c>
      <c r="K919">
        <v>18000</v>
      </c>
      <c r="L919">
        <v>19470</v>
      </c>
      <c r="M919">
        <v>0</v>
      </c>
      <c r="N919" t="s">
        <v>11</v>
      </c>
      <c r="O919" t="s">
        <v>27</v>
      </c>
      <c r="P919" s="1">
        <v>46002</v>
      </c>
      <c r="Q919" s="1">
        <v>46062</v>
      </c>
      <c r="R919" s="2">
        <v>0.38194444444444442</v>
      </c>
      <c r="S919" s="2">
        <v>0.48819444444444443</v>
      </c>
      <c r="T919" t="str" cm="1">
        <f t="array" ref="T919">_xlfn.IFS(H919&gt;=90,"A",H919&gt;=75,"B",H919&gt;=60,"C",H919&lt;60,"D")</f>
        <v>B</v>
      </c>
      <c r="U919" t="str">
        <f t="shared" si="56"/>
        <v>09:10 AM</v>
      </c>
      <c r="V919" t="str">
        <f t="shared" si="57"/>
        <v>On Time</v>
      </c>
      <c r="W919" t="str">
        <f t="shared" si="58"/>
        <v>2 Hours 33 Minutes</v>
      </c>
      <c r="X919" t="str">
        <f t="shared" si="59"/>
        <v>Short Time Login</v>
      </c>
      <c r="AA919" s="35" t="s">
        <v>1207</v>
      </c>
      <c r="AB919" s="35" t="s">
        <v>986</v>
      </c>
      <c r="AC919" s="35">
        <v>78</v>
      </c>
      <c r="AD919" s="35">
        <v>84</v>
      </c>
      <c r="AE919" s="35" t="s">
        <v>45</v>
      </c>
      <c r="AF919" s="35">
        <v>0</v>
      </c>
      <c r="AH919" s="35" t="s">
        <v>27</v>
      </c>
    </row>
    <row r="920" spans="1:34">
      <c r="A920" t="s">
        <v>1208</v>
      </c>
      <c r="B920" t="s">
        <v>1209</v>
      </c>
      <c r="C920">
        <v>20</v>
      </c>
      <c r="D920" t="s">
        <v>35</v>
      </c>
      <c r="E920" t="s">
        <v>62</v>
      </c>
      <c r="F920" t="s">
        <v>40</v>
      </c>
      <c r="G920" t="s">
        <v>41</v>
      </c>
      <c r="H920">
        <v>54</v>
      </c>
      <c r="I920">
        <v>74</v>
      </c>
      <c r="J920" t="s">
        <v>25</v>
      </c>
      <c r="K920">
        <v>18000</v>
      </c>
      <c r="L920">
        <v>18060</v>
      </c>
      <c r="M920">
        <v>2000</v>
      </c>
      <c r="N920" t="s">
        <v>26</v>
      </c>
      <c r="O920" t="s">
        <v>27</v>
      </c>
      <c r="P920" s="1">
        <v>45816</v>
      </c>
      <c r="Q920" s="1">
        <v>45936</v>
      </c>
      <c r="R920" s="2">
        <v>0.3888888888888889</v>
      </c>
      <c r="S920" s="2">
        <v>0.45277777777777778</v>
      </c>
      <c r="T920" t="str" cm="1">
        <f t="array" ref="T920">_xlfn.IFS(H920&gt;=90,"A",H920&gt;=75,"B",H920&gt;=60,"C",H920&lt;60,"D")</f>
        <v>D</v>
      </c>
      <c r="U920" t="str">
        <f t="shared" si="56"/>
        <v>09:20 AM</v>
      </c>
      <c r="V920" t="str">
        <f t="shared" si="57"/>
        <v>Delayed</v>
      </c>
      <c r="W920" t="str">
        <f t="shared" si="58"/>
        <v>1 Hours 32 Minutes</v>
      </c>
      <c r="X920" t="str">
        <f t="shared" si="59"/>
        <v>Short Time Login</v>
      </c>
      <c r="AA920" s="34" t="s">
        <v>1208</v>
      </c>
      <c r="AB920" s="34" t="s">
        <v>1209</v>
      </c>
      <c r="AC920" s="34">
        <v>54</v>
      </c>
      <c r="AD920" s="34">
        <v>74</v>
      </c>
      <c r="AE920" s="34" t="s">
        <v>25</v>
      </c>
      <c r="AF920" s="34">
        <v>2000</v>
      </c>
      <c r="AH920" s="34" t="s">
        <v>27</v>
      </c>
    </row>
    <row r="921" spans="1:34">
      <c r="A921" t="s">
        <v>1210</v>
      </c>
      <c r="B921" t="s">
        <v>336</v>
      </c>
      <c r="C921">
        <v>27</v>
      </c>
      <c r="D921" t="s">
        <v>35</v>
      </c>
      <c r="E921" t="s">
        <v>36</v>
      </c>
      <c r="F921" t="s">
        <v>53</v>
      </c>
      <c r="G921" t="s">
        <v>54</v>
      </c>
      <c r="H921">
        <v>84</v>
      </c>
      <c r="I921">
        <v>90</v>
      </c>
      <c r="J921" t="s">
        <v>45</v>
      </c>
      <c r="K921">
        <v>15000</v>
      </c>
      <c r="L921">
        <v>17700</v>
      </c>
      <c r="M921">
        <v>0</v>
      </c>
      <c r="N921" t="s">
        <v>11</v>
      </c>
      <c r="O921" t="s">
        <v>27</v>
      </c>
      <c r="P921" s="1">
        <v>45792</v>
      </c>
      <c r="Q921" s="1">
        <v>45912</v>
      </c>
      <c r="R921" s="2">
        <v>0.44930555555555557</v>
      </c>
      <c r="S921" s="2">
        <v>0.55486111111111114</v>
      </c>
      <c r="T921" t="str" cm="1">
        <f t="array" ref="T921">_xlfn.IFS(H921&gt;=90,"A",H921&gt;=75,"B",H921&gt;=60,"C",H921&lt;60,"D")</f>
        <v>B</v>
      </c>
      <c r="U921" t="str">
        <f t="shared" si="56"/>
        <v>10:47 AM</v>
      </c>
      <c r="V921" t="str">
        <f t="shared" si="57"/>
        <v>Delayed</v>
      </c>
      <c r="W921" t="str">
        <f t="shared" si="58"/>
        <v>2 Hours 32 Minutes</v>
      </c>
      <c r="X921" t="str">
        <f t="shared" si="59"/>
        <v>Long Time Login</v>
      </c>
      <c r="AA921" s="35" t="s">
        <v>1210</v>
      </c>
      <c r="AB921" s="35" t="s">
        <v>336</v>
      </c>
      <c r="AC921" s="35">
        <v>84</v>
      </c>
      <c r="AD921" s="35">
        <v>90</v>
      </c>
      <c r="AE921" s="35" t="s">
        <v>45</v>
      </c>
      <c r="AF921" s="35">
        <v>0</v>
      </c>
      <c r="AH921" s="35" t="s">
        <v>27</v>
      </c>
    </row>
    <row r="922" spans="1:34">
      <c r="A922" t="s">
        <v>1211</v>
      </c>
      <c r="B922" t="s">
        <v>358</v>
      </c>
      <c r="C922">
        <v>23</v>
      </c>
      <c r="D922" t="s">
        <v>21</v>
      </c>
      <c r="E922" t="s">
        <v>96</v>
      </c>
      <c r="F922" t="s">
        <v>53</v>
      </c>
      <c r="G922" t="s">
        <v>54</v>
      </c>
      <c r="H922">
        <v>65</v>
      </c>
      <c r="I922">
        <v>85</v>
      </c>
      <c r="J922" t="s">
        <v>68</v>
      </c>
      <c r="K922">
        <v>12000</v>
      </c>
      <c r="L922">
        <v>12980</v>
      </c>
      <c r="M922">
        <v>0</v>
      </c>
      <c r="N922" t="s">
        <v>11</v>
      </c>
      <c r="O922" t="s">
        <v>27</v>
      </c>
      <c r="P922" s="1">
        <v>45668</v>
      </c>
      <c r="Q922" s="1">
        <v>45698</v>
      </c>
      <c r="R922" s="2">
        <v>0.34097222222222223</v>
      </c>
      <c r="S922" s="2">
        <v>0.54166666666666663</v>
      </c>
      <c r="T922" t="str" cm="1">
        <f t="array" ref="T922">_xlfn.IFS(H922&gt;=90,"A",H922&gt;=75,"B",H922&gt;=60,"C",H922&lt;60,"D")</f>
        <v>C</v>
      </c>
      <c r="U922" t="str">
        <f t="shared" si="56"/>
        <v>08:11 AM</v>
      </c>
      <c r="V922" t="str">
        <f t="shared" si="57"/>
        <v>On Time</v>
      </c>
      <c r="W922" t="str">
        <f t="shared" si="58"/>
        <v>4 Hours 49 Minutes</v>
      </c>
      <c r="X922" t="str">
        <f t="shared" si="59"/>
        <v>Short Time Login</v>
      </c>
      <c r="AA922" s="34" t="s">
        <v>1211</v>
      </c>
      <c r="AB922" s="34" t="s">
        <v>358</v>
      </c>
      <c r="AC922" s="34">
        <v>65</v>
      </c>
      <c r="AD922" s="34">
        <v>85</v>
      </c>
      <c r="AE922" s="34" t="s">
        <v>68</v>
      </c>
      <c r="AF922" s="34">
        <v>0</v>
      </c>
      <c r="AH922" s="34" t="s">
        <v>27</v>
      </c>
    </row>
    <row r="923" spans="1:34">
      <c r="A923" t="s">
        <v>1212</v>
      </c>
      <c r="B923" t="s">
        <v>258</v>
      </c>
      <c r="C923">
        <v>27</v>
      </c>
      <c r="D923" t="s">
        <v>21</v>
      </c>
      <c r="E923" t="s">
        <v>113</v>
      </c>
      <c r="F923" t="s">
        <v>40</v>
      </c>
      <c r="G923" t="s">
        <v>41</v>
      </c>
      <c r="H923">
        <v>52</v>
      </c>
      <c r="I923">
        <v>85</v>
      </c>
      <c r="J923" t="s">
        <v>25</v>
      </c>
      <c r="K923">
        <v>12000</v>
      </c>
      <c r="L923">
        <v>12980</v>
      </c>
      <c r="M923">
        <v>0</v>
      </c>
      <c r="N923" t="s">
        <v>11</v>
      </c>
      <c r="O923" t="s">
        <v>27</v>
      </c>
      <c r="P923" s="1">
        <v>45809</v>
      </c>
      <c r="Q923" s="1">
        <v>45839</v>
      </c>
      <c r="R923" s="2">
        <v>0.36736111111111114</v>
      </c>
      <c r="S923" s="2">
        <v>0.48333333333333334</v>
      </c>
      <c r="T923" t="str" cm="1">
        <f t="array" ref="T923">_xlfn.IFS(H923&gt;=90,"A",H923&gt;=75,"B",H923&gt;=60,"C",H923&lt;60,"D")</f>
        <v>D</v>
      </c>
      <c r="U923" t="str">
        <f t="shared" si="56"/>
        <v>08:49 AM</v>
      </c>
      <c r="V923" t="str">
        <f t="shared" si="57"/>
        <v>On Time</v>
      </c>
      <c r="W923" t="str">
        <f t="shared" si="58"/>
        <v>2 Hours 47 Minutes</v>
      </c>
      <c r="X923" t="str">
        <f t="shared" si="59"/>
        <v>Short Time Login</v>
      </c>
      <c r="AA923" s="35" t="s">
        <v>1212</v>
      </c>
      <c r="AB923" s="35" t="s">
        <v>258</v>
      </c>
      <c r="AC923" s="35">
        <v>52</v>
      </c>
      <c r="AD923" s="35">
        <v>85</v>
      </c>
      <c r="AE923" s="35" t="s">
        <v>25</v>
      </c>
      <c r="AF923" s="35">
        <v>0</v>
      </c>
      <c r="AH923" s="35" t="s">
        <v>27</v>
      </c>
    </row>
    <row r="924" spans="1:34">
      <c r="A924" t="s">
        <v>1213</v>
      </c>
      <c r="B924" t="s">
        <v>52</v>
      </c>
      <c r="C924">
        <v>21</v>
      </c>
      <c r="D924" t="s">
        <v>21</v>
      </c>
      <c r="E924" t="s">
        <v>96</v>
      </c>
      <c r="F924" t="s">
        <v>88</v>
      </c>
      <c r="G924" t="s">
        <v>89</v>
      </c>
      <c r="H924">
        <v>81</v>
      </c>
      <c r="I924">
        <v>70</v>
      </c>
      <c r="J924" t="s">
        <v>45</v>
      </c>
      <c r="K924">
        <v>10000</v>
      </c>
      <c r="L924">
        <v>8620</v>
      </c>
      <c r="M924">
        <v>2000</v>
      </c>
      <c r="N924" t="s">
        <v>26</v>
      </c>
      <c r="O924" t="s">
        <v>27</v>
      </c>
      <c r="P924" s="1">
        <v>45765</v>
      </c>
      <c r="Q924" s="1">
        <v>45945</v>
      </c>
      <c r="R924" s="2">
        <v>0.42638888888888887</v>
      </c>
      <c r="S924" s="2">
        <v>0.55277777777777781</v>
      </c>
      <c r="T924" t="str" cm="1">
        <f t="array" ref="T924">_xlfn.IFS(H924&gt;=90,"A",H924&gt;=75,"B",H924&gt;=60,"C",H924&lt;60,"D")</f>
        <v>B</v>
      </c>
      <c r="U924" t="str">
        <f t="shared" si="56"/>
        <v>10:14 AM</v>
      </c>
      <c r="V924" t="str">
        <f t="shared" si="57"/>
        <v>Delayed</v>
      </c>
      <c r="W924" t="str">
        <f t="shared" si="58"/>
        <v>3 Hours 2 Minutes</v>
      </c>
      <c r="X924" t="str">
        <f t="shared" si="59"/>
        <v>Long Time Login</v>
      </c>
      <c r="AA924" s="34" t="s">
        <v>1213</v>
      </c>
      <c r="AB924" s="34" t="s">
        <v>52</v>
      </c>
      <c r="AC924" s="34">
        <v>81</v>
      </c>
      <c r="AD924" s="34">
        <v>70</v>
      </c>
      <c r="AE924" s="34" t="s">
        <v>45</v>
      </c>
      <c r="AF924" s="34">
        <v>2000</v>
      </c>
      <c r="AH924" s="34" t="s">
        <v>27</v>
      </c>
    </row>
    <row r="925" spans="1:34">
      <c r="A925" t="s">
        <v>1214</v>
      </c>
      <c r="B925" t="s">
        <v>1215</v>
      </c>
      <c r="C925">
        <v>24</v>
      </c>
      <c r="D925" t="s">
        <v>35</v>
      </c>
      <c r="E925" t="s">
        <v>39</v>
      </c>
      <c r="F925" t="s">
        <v>63</v>
      </c>
      <c r="G925" t="s">
        <v>64</v>
      </c>
      <c r="H925">
        <v>63</v>
      </c>
      <c r="I925">
        <v>63</v>
      </c>
      <c r="J925" t="s">
        <v>68</v>
      </c>
      <c r="K925">
        <v>20000</v>
      </c>
      <c r="L925">
        <v>21600</v>
      </c>
      <c r="M925">
        <v>2000</v>
      </c>
      <c r="N925" t="s">
        <v>26</v>
      </c>
      <c r="O925" t="s">
        <v>127</v>
      </c>
      <c r="P925" s="1">
        <v>45819</v>
      </c>
      <c r="Q925" s="1">
        <v>45879</v>
      </c>
      <c r="R925" s="2">
        <v>0.40972222222222221</v>
      </c>
      <c r="S925" s="2">
        <v>0.54861111111111116</v>
      </c>
      <c r="T925" t="str" cm="1">
        <f t="array" ref="T925">_xlfn.IFS(H925&gt;=90,"A",H925&gt;=75,"B",H925&gt;=60,"C",H925&lt;60,"D")</f>
        <v>C</v>
      </c>
      <c r="U925" t="str">
        <f t="shared" si="56"/>
        <v>09:50 AM</v>
      </c>
      <c r="V925" t="str">
        <f t="shared" si="57"/>
        <v>On Time</v>
      </c>
      <c r="W925" t="str">
        <f t="shared" si="58"/>
        <v>3 Hours 20 Minutes</v>
      </c>
      <c r="X925" t="str">
        <f t="shared" si="59"/>
        <v>Short Time Login</v>
      </c>
      <c r="AA925" s="35" t="s">
        <v>1214</v>
      </c>
      <c r="AB925" s="35" t="s">
        <v>1215</v>
      </c>
      <c r="AC925" s="35">
        <v>63</v>
      </c>
      <c r="AD925" s="35">
        <v>63</v>
      </c>
      <c r="AE925" s="35" t="s">
        <v>68</v>
      </c>
      <c r="AF925" s="35">
        <v>2000</v>
      </c>
      <c r="AH925" s="35" t="s">
        <v>127</v>
      </c>
    </row>
    <row r="926" spans="1:34">
      <c r="A926" t="s">
        <v>1216</v>
      </c>
      <c r="B926" t="s">
        <v>852</v>
      </c>
      <c r="C926">
        <v>22</v>
      </c>
      <c r="D926" t="s">
        <v>35</v>
      </c>
      <c r="E926" t="s">
        <v>73</v>
      </c>
      <c r="F926" t="s">
        <v>31</v>
      </c>
      <c r="G926" t="s">
        <v>32</v>
      </c>
      <c r="H926">
        <v>58</v>
      </c>
      <c r="I926">
        <v>82</v>
      </c>
      <c r="J926" t="s">
        <v>25</v>
      </c>
      <c r="K926">
        <v>10000</v>
      </c>
      <c r="L926">
        <v>11210</v>
      </c>
      <c r="M926">
        <v>0</v>
      </c>
      <c r="N926" t="s">
        <v>11</v>
      </c>
      <c r="O926" t="s">
        <v>27</v>
      </c>
      <c r="P926" s="1">
        <v>45671</v>
      </c>
      <c r="Q926" s="1">
        <v>45851</v>
      </c>
      <c r="R926" s="2">
        <v>0.38680555555555557</v>
      </c>
      <c r="S926" s="2">
        <v>0.50486111111111109</v>
      </c>
      <c r="T926" t="str" cm="1">
        <f t="array" ref="T926">_xlfn.IFS(H926&gt;=90,"A",H926&gt;=75,"B",H926&gt;=60,"C",H926&lt;60,"D")</f>
        <v>D</v>
      </c>
      <c r="U926" t="str">
        <f t="shared" si="56"/>
        <v>09:17 AM</v>
      </c>
      <c r="V926" t="str">
        <f t="shared" si="57"/>
        <v>Delayed</v>
      </c>
      <c r="W926" t="str">
        <f t="shared" si="58"/>
        <v>2 Hours 50 Minutes</v>
      </c>
      <c r="X926" t="str">
        <f t="shared" si="59"/>
        <v>Short Time Login</v>
      </c>
      <c r="AA926" s="34" t="s">
        <v>1216</v>
      </c>
      <c r="AB926" s="34" t="s">
        <v>852</v>
      </c>
      <c r="AC926" s="34">
        <v>58</v>
      </c>
      <c r="AD926" s="34">
        <v>82</v>
      </c>
      <c r="AE926" s="34" t="s">
        <v>25</v>
      </c>
      <c r="AF926" s="34">
        <v>0</v>
      </c>
      <c r="AH926" s="34" t="s">
        <v>27</v>
      </c>
    </row>
    <row r="927" spans="1:34">
      <c r="A927" t="s">
        <v>1217</v>
      </c>
      <c r="B927" t="s">
        <v>205</v>
      </c>
      <c r="C927">
        <v>28</v>
      </c>
      <c r="D927" t="s">
        <v>21</v>
      </c>
      <c r="E927" t="s">
        <v>36</v>
      </c>
      <c r="F927" t="s">
        <v>40</v>
      </c>
      <c r="G927" t="s">
        <v>41</v>
      </c>
      <c r="H927">
        <v>90</v>
      </c>
      <c r="I927">
        <v>87</v>
      </c>
      <c r="J927" t="s">
        <v>59</v>
      </c>
      <c r="K927">
        <v>10000</v>
      </c>
      <c r="L927">
        <v>10620</v>
      </c>
      <c r="M927">
        <v>0</v>
      </c>
      <c r="N927" t="s">
        <v>11</v>
      </c>
      <c r="O927" t="s">
        <v>27</v>
      </c>
      <c r="P927" s="1">
        <v>45734</v>
      </c>
      <c r="Q927" s="1">
        <v>45824</v>
      </c>
      <c r="R927" s="2">
        <v>0.34861111111111109</v>
      </c>
      <c r="S927" s="2">
        <v>0.45208333333333334</v>
      </c>
      <c r="T927" t="str" cm="1">
        <f t="array" ref="T927">_xlfn.IFS(H927&gt;=90,"A",H927&gt;=75,"B",H927&gt;=60,"C",H927&lt;60,"D")</f>
        <v>A</v>
      </c>
      <c r="U927" t="str">
        <f t="shared" si="56"/>
        <v>08:22 AM</v>
      </c>
      <c r="V927" t="str">
        <f t="shared" si="57"/>
        <v>On Time</v>
      </c>
      <c r="W927" t="str">
        <f t="shared" si="58"/>
        <v>2 Hours 29 Minutes</v>
      </c>
      <c r="X927" t="str">
        <f t="shared" si="59"/>
        <v>Short Time Login</v>
      </c>
      <c r="AA927" s="35" t="s">
        <v>1217</v>
      </c>
      <c r="AB927" s="35" t="s">
        <v>205</v>
      </c>
      <c r="AC927" s="35">
        <v>90</v>
      </c>
      <c r="AD927" s="35">
        <v>87</v>
      </c>
      <c r="AE927" s="35" t="s">
        <v>59</v>
      </c>
      <c r="AF927" s="35">
        <v>0</v>
      </c>
      <c r="AH927" s="35" t="s">
        <v>27</v>
      </c>
    </row>
    <row r="928" spans="1:34">
      <c r="A928" t="s">
        <v>1218</v>
      </c>
      <c r="B928" t="s">
        <v>112</v>
      </c>
      <c r="C928">
        <v>24</v>
      </c>
      <c r="D928" t="s">
        <v>21</v>
      </c>
      <c r="E928" t="s">
        <v>48</v>
      </c>
      <c r="F928" t="s">
        <v>63</v>
      </c>
      <c r="G928" t="s">
        <v>64</v>
      </c>
      <c r="H928">
        <v>86</v>
      </c>
      <c r="I928">
        <v>82</v>
      </c>
      <c r="J928" t="s">
        <v>45</v>
      </c>
      <c r="K928">
        <v>18000</v>
      </c>
      <c r="L928">
        <v>17470</v>
      </c>
      <c r="M928">
        <v>2000</v>
      </c>
      <c r="N928" t="s">
        <v>26</v>
      </c>
      <c r="O928" t="s">
        <v>27</v>
      </c>
      <c r="P928" s="1">
        <v>45943</v>
      </c>
      <c r="Q928" s="1">
        <v>46123</v>
      </c>
      <c r="R928" s="2">
        <v>0.36249999999999999</v>
      </c>
      <c r="S928" s="2">
        <v>0.44791666666666669</v>
      </c>
      <c r="T928" t="str" cm="1">
        <f t="array" ref="T928">_xlfn.IFS(H928&gt;=90,"A",H928&gt;=75,"B",H928&gt;=60,"C",H928&lt;60,"D")</f>
        <v>B</v>
      </c>
      <c r="U928" t="str">
        <f t="shared" si="56"/>
        <v>08:42 AM</v>
      </c>
      <c r="V928" t="str">
        <f t="shared" si="57"/>
        <v>Delayed</v>
      </c>
      <c r="W928" t="str">
        <f t="shared" si="58"/>
        <v>2 Hours 3 Minutes</v>
      </c>
      <c r="X928" t="str">
        <f t="shared" si="59"/>
        <v>Short Time Login</v>
      </c>
      <c r="AA928" s="34" t="s">
        <v>1218</v>
      </c>
      <c r="AB928" s="34" t="s">
        <v>112</v>
      </c>
      <c r="AC928" s="34">
        <v>86</v>
      </c>
      <c r="AD928" s="34">
        <v>82</v>
      </c>
      <c r="AE928" s="34" t="s">
        <v>45</v>
      </c>
      <c r="AF928" s="34">
        <v>2000</v>
      </c>
      <c r="AH928" s="34" t="s">
        <v>27</v>
      </c>
    </row>
    <row r="929" spans="1:34">
      <c r="A929" t="s">
        <v>1219</v>
      </c>
      <c r="B929" t="s">
        <v>276</v>
      </c>
      <c r="C929">
        <v>25</v>
      </c>
      <c r="D929" t="s">
        <v>35</v>
      </c>
      <c r="E929" t="s">
        <v>39</v>
      </c>
      <c r="F929" t="s">
        <v>88</v>
      </c>
      <c r="G929" t="s">
        <v>89</v>
      </c>
      <c r="H929">
        <v>89</v>
      </c>
      <c r="I929">
        <v>99</v>
      </c>
      <c r="J929" t="s">
        <v>45</v>
      </c>
      <c r="K929">
        <v>15000</v>
      </c>
      <c r="L929">
        <v>15110</v>
      </c>
      <c r="M929">
        <v>2000</v>
      </c>
      <c r="N929" t="s">
        <v>26</v>
      </c>
      <c r="O929" t="s">
        <v>27</v>
      </c>
      <c r="P929" s="1">
        <v>45784</v>
      </c>
      <c r="Q929" s="1">
        <v>45964</v>
      </c>
      <c r="R929" s="2">
        <v>0.34652777777777777</v>
      </c>
      <c r="S929" s="2">
        <v>0.3888888888888889</v>
      </c>
      <c r="T929" t="str" cm="1">
        <f t="array" ref="T929">_xlfn.IFS(H929&gt;=90,"A",H929&gt;=75,"B",H929&gt;=60,"C",H929&lt;60,"D")</f>
        <v>B</v>
      </c>
      <c r="U929" t="str">
        <f t="shared" si="56"/>
        <v>08:19 AM</v>
      </c>
      <c r="V929" t="str">
        <f t="shared" si="57"/>
        <v>Delayed</v>
      </c>
      <c r="W929" t="str">
        <f t="shared" si="58"/>
        <v>1 Hours 1 Minutes</v>
      </c>
      <c r="X929" t="str">
        <f t="shared" si="59"/>
        <v>Short Time Login</v>
      </c>
      <c r="AA929" s="35" t="s">
        <v>1219</v>
      </c>
      <c r="AB929" s="35" t="s">
        <v>276</v>
      </c>
      <c r="AC929" s="35">
        <v>89</v>
      </c>
      <c r="AD929" s="35">
        <v>99</v>
      </c>
      <c r="AE929" s="35" t="s">
        <v>45</v>
      </c>
      <c r="AF929" s="35">
        <v>2000</v>
      </c>
      <c r="AH929" s="35" t="s">
        <v>27</v>
      </c>
    </row>
    <row r="930" spans="1:34">
      <c r="A930" t="s">
        <v>1220</v>
      </c>
      <c r="B930" t="s">
        <v>282</v>
      </c>
      <c r="C930">
        <v>26</v>
      </c>
      <c r="D930" t="s">
        <v>21</v>
      </c>
      <c r="E930" t="s">
        <v>122</v>
      </c>
      <c r="F930" t="s">
        <v>57</v>
      </c>
      <c r="G930" t="s">
        <v>58</v>
      </c>
      <c r="H930">
        <v>39</v>
      </c>
      <c r="I930">
        <v>88</v>
      </c>
      <c r="J930" t="s">
        <v>25</v>
      </c>
      <c r="K930">
        <v>10000</v>
      </c>
      <c r="L930">
        <v>8620</v>
      </c>
      <c r="M930">
        <v>2000</v>
      </c>
      <c r="N930" t="s">
        <v>26</v>
      </c>
      <c r="O930" t="s">
        <v>27</v>
      </c>
      <c r="P930" s="1">
        <v>45917</v>
      </c>
      <c r="Q930" s="1">
        <v>45947</v>
      </c>
      <c r="R930" s="2">
        <v>0.44791666666666669</v>
      </c>
      <c r="S930" s="2">
        <v>0.4909722222222222</v>
      </c>
      <c r="T930" t="str" cm="1">
        <f t="array" ref="T930">_xlfn.IFS(H930&gt;=90,"A",H930&gt;=75,"B",H930&gt;=60,"C",H930&lt;60,"D")</f>
        <v>D</v>
      </c>
      <c r="U930" t="str">
        <f t="shared" si="56"/>
        <v>10:45 AM</v>
      </c>
      <c r="V930" t="str">
        <f t="shared" si="57"/>
        <v>On Time</v>
      </c>
      <c r="W930" t="str">
        <f t="shared" si="58"/>
        <v>1 Hours 2 Minutes</v>
      </c>
      <c r="X930" t="str">
        <f t="shared" si="59"/>
        <v>Long Time Login</v>
      </c>
      <c r="AA930" s="34" t="s">
        <v>1220</v>
      </c>
      <c r="AB930" s="34" t="s">
        <v>282</v>
      </c>
      <c r="AC930" s="34">
        <v>39</v>
      </c>
      <c r="AD930" s="34">
        <v>88</v>
      </c>
      <c r="AE930" s="34" t="s">
        <v>25</v>
      </c>
      <c r="AF930" s="34">
        <v>2000</v>
      </c>
      <c r="AH930" s="34" t="s">
        <v>27</v>
      </c>
    </row>
    <row r="931" spans="1:34">
      <c r="A931" t="s">
        <v>1221</v>
      </c>
      <c r="B931" t="s">
        <v>430</v>
      </c>
      <c r="C931">
        <v>19</v>
      </c>
      <c r="D931" t="s">
        <v>21</v>
      </c>
      <c r="E931" t="s">
        <v>73</v>
      </c>
      <c r="F931" t="s">
        <v>31</v>
      </c>
      <c r="G931" t="s">
        <v>32</v>
      </c>
      <c r="H931">
        <v>100</v>
      </c>
      <c r="I931">
        <v>72</v>
      </c>
      <c r="J931" t="s">
        <v>59</v>
      </c>
      <c r="K931">
        <v>20000</v>
      </c>
      <c r="L931">
        <v>23600</v>
      </c>
      <c r="M931">
        <v>0</v>
      </c>
      <c r="N931" t="s">
        <v>11</v>
      </c>
      <c r="O931" t="s">
        <v>27</v>
      </c>
      <c r="P931" s="1">
        <v>45928</v>
      </c>
      <c r="Q931" s="1">
        <v>46048</v>
      </c>
      <c r="R931" s="2">
        <v>0.39652777777777776</v>
      </c>
      <c r="S931" s="2">
        <v>0.54861111111111116</v>
      </c>
      <c r="T931" t="str" cm="1">
        <f t="array" ref="T931">_xlfn.IFS(H931&gt;=90,"A",H931&gt;=75,"B",H931&gt;=60,"C",H931&lt;60,"D")</f>
        <v>A</v>
      </c>
      <c r="U931" t="str">
        <f t="shared" si="56"/>
        <v>09:31 AM</v>
      </c>
      <c r="V931" t="str">
        <f t="shared" si="57"/>
        <v>Delayed</v>
      </c>
      <c r="W931" t="str">
        <f t="shared" si="58"/>
        <v>3 Hours 39 Minutes</v>
      </c>
      <c r="X931" t="str">
        <f t="shared" si="59"/>
        <v>Short Time Login</v>
      </c>
      <c r="AA931" s="35" t="s">
        <v>1221</v>
      </c>
      <c r="AB931" s="35" t="s">
        <v>430</v>
      </c>
      <c r="AC931" s="35">
        <v>100</v>
      </c>
      <c r="AD931" s="35">
        <v>72</v>
      </c>
      <c r="AE931" s="35" t="s">
        <v>59</v>
      </c>
      <c r="AF931" s="35">
        <v>0</v>
      </c>
      <c r="AH931" s="35" t="s">
        <v>27</v>
      </c>
    </row>
    <row r="932" spans="1:34">
      <c r="A932" t="s">
        <v>1222</v>
      </c>
      <c r="B932" t="s">
        <v>302</v>
      </c>
      <c r="C932">
        <v>19</v>
      </c>
      <c r="D932" t="s">
        <v>35</v>
      </c>
      <c r="E932" t="s">
        <v>113</v>
      </c>
      <c r="F932" t="s">
        <v>57</v>
      </c>
      <c r="G932" t="s">
        <v>58</v>
      </c>
      <c r="H932">
        <v>69</v>
      </c>
      <c r="I932">
        <v>87</v>
      </c>
      <c r="J932" t="s">
        <v>68</v>
      </c>
      <c r="K932">
        <v>12000</v>
      </c>
      <c r="L932">
        <v>10160</v>
      </c>
      <c r="M932">
        <v>4000</v>
      </c>
      <c r="N932" t="s">
        <v>26</v>
      </c>
      <c r="O932" t="s">
        <v>27</v>
      </c>
      <c r="P932" s="1">
        <v>46014</v>
      </c>
      <c r="Q932" s="1">
        <v>46134</v>
      </c>
      <c r="R932" s="2">
        <v>0.33611111111111114</v>
      </c>
      <c r="S932" s="2">
        <v>0.38611111111111113</v>
      </c>
      <c r="T932" t="str" cm="1">
        <f t="array" ref="T932">_xlfn.IFS(H932&gt;=90,"A",H932&gt;=75,"B",H932&gt;=60,"C",H932&lt;60,"D")</f>
        <v>C</v>
      </c>
      <c r="U932" t="str">
        <f t="shared" si="56"/>
        <v>08:04 AM</v>
      </c>
      <c r="V932" t="str">
        <f t="shared" si="57"/>
        <v>Delayed</v>
      </c>
      <c r="W932" t="str">
        <f t="shared" si="58"/>
        <v>1 Hours 12 Minutes</v>
      </c>
      <c r="X932" t="str">
        <f t="shared" si="59"/>
        <v>Short Time Login</v>
      </c>
      <c r="AA932" s="34" t="s">
        <v>1222</v>
      </c>
      <c r="AB932" s="34" t="s">
        <v>302</v>
      </c>
      <c r="AC932" s="34">
        <v>69</v>
      </c>
      <c r="AD932" s="34">
        <v>87</v>
      </c>
      <c r="AE932" s="34" t="s">
        <v>68</v>
      </c>
      <c r="AF932" s="34">
        <v>4000</v>
      </c>
      <c r="AH932" s="34" t="s">
        <v>27</v>
      </c>
    </row>
    <row r="933" spans="1:34">
      <c r="A933" t="s">
        <v>1223</v>
      </c>
      <c r="B933" t="s">
        <v>386</v>
      </c>
      <c r="C933">
        <v>25</v>
      </c>
      <c r="D933" t="s">
        <v>21</v>
      </c>
      <c r="E933" t="s">
        <v>122</v>
      </c>
      <c r="F933" t="s">
        <v>53</v>
      </c>
      <c r="G933" t="s">
        <v>54</v>
      </c>
      <c r="H933">
        <v>93</v>
      </c>
      <c r="I933">
        <v>97</v>
      </c>
      <c r="J933" t="s">
        <v>59</v>
      </c>
      <c r="K933">
        <v>10000</v>
      </c>
      <c r="L933">
        <v>10030</v>
      </c>
      <c r="M933">
        <v>0</v>
      </c>
      <c r="N933" t="s">
        <v>11</v>
      </c>
      <c r="O933" t="s">
        <v>27</v>
      </c>
      <c r="P933" s="1">
        <v>45817</v>
      </c>
      <c r="Q933" s="1">
        <v>45997</v>
      </c>
      <c r="R933" s="2">
        <v>0.40069444444444446</v>
      </c>
      <c r="S933" s="2">
        <v>0.5756944444444444</v>
      </c>
      <c r="T933" t="str" cm="1">
        <f t="array" ref="T933">_xlfn.IFS(H933&gt;=90,"A",H933&gt;=75,"B",H933&gt;=60,"C",H933&lt;60,"D")</f>
        <v>A</v>
      </c>
      <c r="U933" t="str">
        <f t="shared" si="56"/>
        <v>09:37 AM</v>
      </c>
      <c r="V933" t="str">
        <f t="shared" si="57"/>
        <v>Delayed</v>
      </c>
      <c r="W933" t="str">
        <f t="shared" si="58"/>
        <v>4 Hours 12 Minutes</v>
      </c>
      <c r="X933" t="str">
        <f t="shared" si="59"/>
        <v>Short Time Login</v>
      </c>
      <c r="AA933" s="35" t="s">
        <v>1223</v>
      </c>
      <c r="AB933" s="35" t="s">
        <v>386</v>
      </c>
      <c r="AC933" s="35">
        <v>93</v>
      </c>
      <c r="AD933" s="35">
        <v>97</v>
      </c>
      <c r="AE933" s="35" t="s">
        <v>59</v>
      </c>
      <c r="AF933" s="35">
        <v>0</v>
      </c>
      <c r="AH933" s="35" t="s">
        <v>27</v>
      </c>
    </row>
    <row r="934" spans="1:34">
      <c r="A934" t="s">
        <v>1224</v>
      </c>
      <c r="B934" t="s">
        <v>969</v>
      </c>
      <c r="C934">
        <v>20</v>
      </c>
      <c r="D934" t="s">
        <v>35</v>
      </c>
      <c r="E934" t="s">
        <v>122</v>
      </c>
      <c r="F934" t="s">
        <v>49</v>
      </c>
      <c r="G934" t="s">
        <v>50</v>
      </c>
      <c r="H934">
        <v>63</v>
      </c>
      <c r="I934">
        <v>97</v>
      </c>
      <c r="J934" t="s">
        <v>68</v>
      </c>
      <c r="K934">
        <v>10000</v>
      </c>
      <c r="L934">
        <v>8620</v>
      </c>
      <c r="M934">
        <v>2000</v>
      </c>
      <c r="N934" t="s">
        <v>26</v>
      </c>
      <c r="O934" t="s">
        <v>27</v>
      </c>
      <c r="P934" s="1">
        <v>45979</v>
      </c>
      <c r="Q934" s="1">
        <v>46009</v>
      </c>
      <c r="R934" s="2">
        <v>0.34652777777777777</v>
      </c>
      <c r="S934" s="2">
        <v>0.41111111111111109</v>
      </c>
      <c r="T934" t="str" cm="1">
        <f t="array" ref="T934">_xlfn.IFS(H934&gt;=90,"A",H934&gt;=75,"B",H934&gt;=60,"C",H934&lt;60,"D")</f>
        <v>C</v>
      </c>
      <c r="U934" t="str">
        <f t="shared" si="56"/>
        <v>08:19 AM</v>
      </c>
      <c r="V934" t="str">
        <f t="shared" si="57"/>
        <v>On Time</v>
      </c>
      <c r="W934" t="str">
        <f t="shared" si="58"/>
        <v>1 Hours 33 Minutes</v>
      </c>
      <c r="X934" t="str">
        <f t="shared" si="59"/>
        <v>Short Time Login</v>
      </c>
      <c r="AA934" s="34" t="s">
        <v>1224</v>
      </c>
      <c r="AB934" s="34" t="s">
        <v>969</v>
      </c>
      <c r="AC934" s="34">
        <v>63</v>
      </c>
      <c r="AD934" s="34">
        <v>97</v>
      </c>
      <c r="AE934" s="34" t="s">
        <v>68</v>
      </c>
      <c r="AF934" s="34">
        <v>2000</v>
      </c>
      <c r="AH934" s="34" t="s">
        <v>27</v>
      </c>
    </row>
    <row r="935" spans="1:34">
      <c r="A935" t="s">
        <v>1225</v>
      </c>
      <c r="B935" t="s">
        <v>124</v>
      </c>
      <c r="C935">
        <v>25</v>
      </c>
      <c r="D935" t="s">
        <v>35</v>
      </c>
      <c r="E935" t="s">
        <v>73</v>
      </c>
      <c r="F935" t="s">
        <v>88</v>
      </c>
      <c r="G935" t="s">
        <v>89</v>
      </c>
      <c r="H935">
        <v>43</v>
      </c>
      <c r="I935">
        <v>93</v>
      </c>
      <c r="J935" t="s">
        <v>25</v>
      </c>
      <c r="K935">
        <v>18000</v>
      </c>
      <c r="L935">
        <v>18650</v>
      </c>
      <c r="M935">
        <v>2000</v>
      </c>
      <c r="N935" t="s">
        <v>26</v>
      </c>
      <c r="O935" t="s">
        <v>27</v>
      </c>
      <c r="P935" s="1">
        <v>45958</v>
      </c>
      <c r="Q935" s="1">
        <v>45988</v>
      </c>
      <c r="R935" s="2">
        <v>0.38680555555555557</v>
      </c>
      <c r="S935" s="2">
        <v>0.56319444444444444</v>
      </c>
      <c r="T935" t="str" cm="1">
        <f t="array" ref="T935">_xlfn.IFS(H935&gt;=90,"A",H935&gt;=75,"B",H935&gt;=60,"C",H935&lt;60,"D")</f>
        <v>D</v>
      </c>
      <c r="U935" t="str">
        <f t="shared" si="56"/>
        <v>09:17 AM</v>
      </c>
      <c r="V935" t="str">
        <f t="shared" si="57"/>
        <v>On Time</v>
      </c>
      <c r="W935" t="str">
        <f t="shared" si="58"/>
        <v>4 Hours 14 Minutes</v>
      </c>
      <c r="X935" t="str">
        <f t="shared" si="59"/>
        <v>Short Time Login</v>
      </c>
      <c r="AA935" s="35" t="s">
        <v>1225</v>
      </c>
      <c r="AB935" s="35" t="s">
        <v>124</v>
      </c>
      <c r="AC935" s="35">
        <v>43</v>
      </c>
      <c r="AD935" s="35">
        <v>93</v>
      </c>
      <c r="AE935" s="35" t="s">
        <v>25</v>
      </c>
      <c r="AF935" s="35">
        <v>2000</v>
      </c>
      <c r="AH935" s="35" t="s">
        <v>27</v>
      </c>
    </row>
    <row r="936" spans="1:34">
      <c r="A936" t="s">
        <v>1226</v>
      </c>
      <c r="B936" t="s">
        <v>87</v>
      </c>
      <c r="C936">
        <v>23</v>
      </c>
      <c r="D936" t="s">
        <v>35</v>
      </c>
      <c r="E936" t="s">
        <v>67</v>
      </c>
      <c r="F936" t="s">
        <v>53</v>
      </c>
      <c r="G936" t="s">
        <v>54</v>
      </c>
      <c r="H936">
        <v>79</v>
      </c>
      <c r="I936">
        <v>77</v>
      </c>
      <c r="J936" t="s">
        <v>45</v>
      </c>
      <c r="K936">
        <v>15000</v>
      </c>
      <c r="L936">
        <v>15930</v>
      </c>
      <c r="M936">
        <v>0</v>
      </c>
      <c r="N936" t="s">
        <v>11</v>
      </c>
      <c r="O936" t="s">
        <v>27</v>
      </c>
      <c r="P936" s="1">
        <v>45733</v>
      </c>
      <c r="Q936" s="1">
        <v>45823</v>
      </c>
      <c r="R936" s="2">
        <v>0.40972222222222221</v>
      </c>
      <c r="S936" s="2">
        <v>0.49027777777777776</v>
      </c>
      <c r="T936" t="str" cm="1">
        <f t="array" ref="T936">_xlfn.IFS(H936&gt;=90,"A",H936&gt;=75,"B",H936&gt;=60,"C",H936&lt;60,"D")</f>
        <v>B</v>
      </c>
      <c r="U936" t="str">
        <f t="shared" si="56"/>
        <v>09:50 AM</v>
      </c>
      <c r="V936" t="str">
        <f t="shared" si="57"/>
        <v>On Time</v>
      </c>
      <c r="W936" t="str">
        <f t="shared" si="58"/>
        <v>1 Hours 56 Minutes</v>
      </c>
      <c r="X936" t="str">
        <f t="shared" si="59"/>
        <v>Short Time Login</v>
      </c>
      <c r="AA936" s="34" t="s">
        <v>1226</v>
      </c>
      <c r="AB936" s="34" t="s">
        <v>87</v>
      </c>
      <c r="AC936" s="34">
        <v>79</v>
      </c>
      <c r="AD936" s="34">
        <v>77</v>
      </c>
      <c r="AE936" s="34" t="s">
        <v>45</v>
      </c>
      <c r="AF936" s="34">
        <v>0</v>
      </c>
      <c r="AH936" s="34" t="s">
        <v>27</v>
      </c>
    </row>
    <row r="937" spans="1:34">
      <c r="A937" t="s">
        <v>1227</v>
      </c>
      <c r="B937" t="s">
        <v>1180</v>
      </c>
      <c r="C937">
        <v>25</v>
      </c>
      <c r="D937" t="s">
        <v>21</v>
      </c>
      <c r="E937" t="s">
        <v>39</v>
      </c>
      <c r="F937" t="s">
        <v>49</v>
      </c>
      <c r="G937" t="s">
        <v>50</v>
      </c>
      <c r="H937">
        <v>86</v>
      </c>
      <c r="I937">
        <v>89</v>
      </c>
      <c r="J937" t="s">
        <v>45</v>
      </c>
      <c r="K937">
        <v>15000</v>
      </c>
      <c r="L937">
        <v>13110</v>
      </c>
      <c r="M937">
        <v>4000</v>
      </c>
      <c r="N937" t="s">
        <v>26</v>
      </c>
      <c r="O937" t="s">
        <v>27</v>
      </c>
      <c r="P937" s="1">
        <v>45720</v>
      </c>
      <c r="Q937" s="1">
        <v>45810</v>
      </c>
      <c r="R937" s="2">
        <v>0.41180555555555554</v>
      </c>
      <c r="S937" s="2">
        <v>0.60486111111111107</v>
      </c>
      <c r="T937" t="str" cm="1">
        <f t="array" ref="T937">_xlfn.IFS(H937&gt;=90,"A",H937&gt;=75,"B",H937&gt;=60,"C",H937&lt;60,"D")</f>
        <v>B</v>
      </c>
      <c r="U937" t="str">
        <f t="shared" si="56"/>
        <v>09:53 AM</v>
      </c>
      <c r="V937" t="str">
        <f t="shared" si="57"/>
        <v>On Time</v>
      </c>
      <c r="W937" t="str">
        <f t="shared" si="58"/>
        <v>4 Hours 38 Minutes</v>
      </c>
      <c r="X937" t="str">
        <f t="shared" si="59"/>
        <v>Short Time Login</v>
      </c>
      <c r="AA937" s="35" t="s">
        <v>1227</v>
      </c>
      <c r="AB937" s="35" t="s">
        <v>1180</v>
      </c>
      <c r="AC937" s="35">
        <v>86</v>
      </c>
      <c r="AD937" s="35">
        <v>89</v>
      </c>
      <c r="AE937" s="35" t="s">
        <v>45</v>
      </c>
      <c r="AF937" s="35">
        <v>4000</v>
      </c>
      <c r="AH937" s="35" t="s">
        <v>27</v>
      </c>
    </row>
    <row r="938" spans="1:34">
      <c r="A938" t="s">
        <v>1228</v>
      </c>
      <c r="B938" t="s">
        <v>571</v>
      </c>
      <c r="C938">
        <v>24</v>
      </c>
      <c r="D938" t="s">
        <v>35</v>
      </c>
      <c r="E938" t="s">
        <v>96</v>
      </c>
      <c r="F938" t="s">
        <v>53</v>
      </c>
      <c r="G938" t="s">
        <v>54</v>
      </c>
      <c r="H938">
        <v>92</v>
      </c>
      <c r="I938">
        <v>72</v>
      </c>
      <c r="J938" t="s">
        <v>59</v>
      </c>
      <c r="K938">
        <v>10000</v>
      </c>
      <c r="L938">
        <v>7210</v>
      </c>
      <c r="M938">
        <v>4000</v>
      </c>
      <c r="N938" t="s">
        <v>26</v>
      </c>
      <c r="O938" t="s">
        <v>27</v>
      </c>
      <c r="P938" s="1">
        <v>45827</v>
      </c>
      <c r="Q938" s="1">
        <v>46007</v>
      </c>
      <c r="R938" s="2">
        <v>0.34652777777777777</v>
      </c>
      <c r="S938" s="2">
        <v>0.54374999999999996</v>
      </c>
      <c r="T938" t="str" cm="1">
        <f t="array" ref="T938">_xlfn.IFS(H938&gt;=90,"A",H938&gt;=75,"B",H938&gt;=60,"C",H938&lt;60,"D")</f>
        <v>A</v>
      </c>
      <c r="U938" t="str">
        <f t="shared" si="56"/>
        <v>08:19 AM</v>
      </c>
      <c r="V938" t="str">
        <f t="shared" si="57"/>
        <v>Delayed</v>
      </c>
      <c r="W938" t="str">
        <f t="shared" si="58"/>
        <v>4 Hours 44 Minutes</v>
      </c>
      <c r="X938" t="str">
        <f t="shared" si="59"/>
        <v>Short Time Login</v>
      </c>
      <c r="AA938" s="34" t="s">
        <v>1228</v>
      </c>
      <c r="AB938" s="34" t="s">
        <v>571</v>
      </c>
      <c r="AC938" s="34">
        <v>92</v>
      </c>
      <c r="AD938" s="34">
        <v>72</v>
      </c>
      <c r="AE938" s="34" t="s">
        <v>59</v>
      </c>
      <c r="AF938" s="34">
        <v>4000</v>
      </c>
      <c r="AH938" s="34" t="s">
        <v>27</v>
      </c>
    </row>
    <row r="939" spans="1:34">
      <c r="A939" t="s">
        <v>1229</v>
      </c>
      <c r="B939" t="s">
        <v>329</v>
      </c>
      <c r="C939">
        <v>18</v>
      </c>
      <c r="D939" t="s">
        <v>21</v>
      </c>
      <c r="E939" t="s">
        <v>48</v>
      </c>
      <c r="F939" t="s">
        <v>49</v>
      </c>
      <c r="G939" t="s">
        <v>50</v>
      </c>
      <c r="H939">
        <v>84</v>
      </c>
      <c r="I939">
        <v>98</v>
      </c>
      <c r="J939" t="s">
        <v>45</v>
      </c>
      <c r="K939">
        <v>15000</v>
      </c>
      <c r="L939">
        <v>13110</v>
      </c>
      <c r="M939">
        <v>4000</v>
      </c>
      <c r="N939" t="s">
        <v>26</v>
      </c>
      <c r="O939" t="s">
        <v>27</v>
      </c>
      <c r="P939" s="1">
        <v>45742</v>
      </c>
      <c r="Q939" s="1">
        <v>45922</v>
      </c>
      <c r="R939" s="2">
        <v>0.43263888888888891</v>
      </c>
      <c r="S939" s="2">
        <v>0.48402777777777778</v>
      </c>
      <c r="T939" t="str" cm="1">
        <f t="array" ref="T939">_xlfn.IFS(H939&gt;=90,"A",H939&gt;=75,"B",H939&gt;=60,"C",H939&lt;60,"D")</f>
        <v>B</v>
      </c>
      <c r="U939" t="str">
        <f t="shared" si="56"/>
        <v>10:23 AM</v>
      </c>
      <c r="V939" t="str">
        <f t="shared" si="57"/>
        <v>Delayed</v>
      </c>
      <c r="W939" t="str">
        <f t="shared" si="58"/>
        <v>1 Hours 14 Minutes</v>
      </c>
      <c r="X939" t="str">
        <f t="shared" si="59"/>
        <v>Long Time Login</v>
      </c>
      <c r="AA939" s="35" t="s">
        <v>1229</v>
      </c>
      <c r="AB939" s="35" t="s">
        <v>329</v>
      </c>
      <c r="AC939" s="35">
        <v>84</v>
      </c>
      <c r="AD939" s="35">
        <v>98</v>
      </c>
      <c r="AE939" s="35" t="s">
        <v>45</v>
      </c>
      <c r="AF939" s="35">
        <v>4000</v>
      </c>
      <c r="AH939" s="35" t="s">
        <v>27</v>
      </c>
    </row>
    <row r="940" spans="1:34">
      <c r="A940" t="s">
        <v>1230</v>
      </c>
      <c r="B940" t="s">
        <v>138</v>
      </c>
      <c r="C940">
        <v>25</v>
      </c>
      <c r="D940" t="s">
        <v>35</v>
      </c>
      <c r="E940" t="s">
        <v>30</v>
      </c>
      <c r="F940" t="s">
        <v>53</v>
      </c>
      <c r="G940" t="s">
        <v>54</v>
      </c>
      <c r="H940">
        <v>88</v>
      </c>
      <c r="I940">
        <v>76</v>
      </c>
      <c r="J940" t="s">
        <v>45</v>
      </c>
      <c r="K940">
        <v>12000</v>
      </c>
      <c r="L940">
        <v>8390</v>
      </c>
      <c r="M940">
        <v>4000</v>
      </c>
      <c r="N940" t="s">
        <v>26</v>
      </c>
      <c r="O940" t="s">
        <v>27</v>
      </c>
      <c r="P940" s="1">
        <v>45701</v>
      </c>
      <c r="Q940" s="1">
        <v>45731</v>
      </c>
      <c r="R940" s="2">
        <v>0.3576388888888889</v>
      </c>
      <c r="S940" s="2">
        <v>0.55555555555555558</v>
      </c>
      <c r="T940" t="str" cm="1">
        <f t="array" ref="T940">_xlfn.IFS(H940&gt;=90,"A",H940&gt;=75,"B",H940&gt;=60,"C",H940&lt;60,"D")</f>
        <v>B</v>
      </c>
      <c r="U940" t="str">
        <f t="shared" si="56"/>
        <v>08:35 AM</v>
      </c>
      <c r="V940" t="str">
        <f t="shared" si="57"/>
        <v>On Time</v>
      </c>
      <c r="W940" t="str">
        <f t="shared" si="58"/>
        <v>4 Hours 45 Minutes</v>
      </c>
      <c r="X940" t="str">
        <f t="shared" si="59"/>
        <v>Short Time Login</v>
      </c>
      <c r="AA940" s="34" t="s">
        <v>1230</v>
      </c>
      <c r="AB940" s="34" t="s">
        <v>138</v>
      </c>
      <c r="AC940" s="34">
        <v>88</v>
      </c>
      <c r="AD940" s="34">
        <v>76</v>
      </c>
      <c r="AE940" s="34" t="s">
        <v>45</v>
      </c>
      <c r="AF940" s="34">
        <v>4000</v>
      </c>
      <c r="AH940" s="34" t="s">
        <v>27</v>
      </c>
    </row>
    <row r="941" spans="1:34">
      <c r="A941" t="s">
        <v>1231</v>
      </c>
      <c r="B941" t="s">
        <v>642</v>
      </c>
      <c r="C941">
        <v>24</v>
      </c>
      <c r="D941" t="s">
        <v>35</v>
      </c>
      <c r="E941" t="s">
        <v>113</v>
      </c>
      <c r="F941" t="s">
        <v>57</v>
      </c>
      <c r="G941" t="s">
        <v>58</v>
      </c>
      <c r="H941">
        <v>71</v>
      </c>
      <c r="I941">
        <v>85</v>
      </c>
      <c r="J941" t="s">
        <v>68</v>
      </c>
      <c r="K941">
        <v>18000</v>
      </c>
      <c r="L941">
        <v>16650</v>
      </c>
      <c r="M941">
        <v>4000</v>
      </c>
      <c r="N941" t="s">
        <v>26</v>
      </c>
      <c r="O941" t="s">
        <v>27</v>
      </c>
      <c r="P941" s="1">
        <v>45988</v>
      </c>
      <c r="Q941" s="1">
        <v>46108</v>
      </c>
      <c r="R941" s="2">
        <v>0.44166666666666665</v>
      </c>
      <c r="S941" s="2">
        <v>0.53333333333333333</v>
      </c>
      <c r="T941" t="str" cm="1">
        <f t="array" ref="T941">_xlfn.IFS(H941&gt;=90,"A",H941&gt;=75,"B",H941&gt;=60,"C",H941&lt;60,"D")</f>
        <v>C</v>
      </c>
      <c r="U941" t="str">
        <f t="shared" si="56"/>
        <v>10:36 AM</v>
      </c>
      <c r="V941" t="str">
        <f t="shared" si="57"/>
        <v>Delayed</v>
      </c>
      <c r="W941" t="str">
        <f t="shared" si="58"/>
        <v>2 Hours 12 Minutes</v>
      </c>
      <c r="X941" t="str">
        <f t="shared" si="59"/>
        <v>Long Time Login</v>
      </c>
      <c r="AA941" s="35" t="s">
        <v>1231</v>
      </c>
      <c r="AB941" s="35" t="s">
        <v>642</v>
      </c>
      <c r="AC941" s="35">
        <v>71</v>
      </c>
      <c r="AD941" s="35">
        <v>85</v>
      </c>
      <c r="AE941" s="35" t="s">
        <v>68</v>
      </c>
      <c r="AF941" s="35">
        <v>4000</v>
      </c>
      <c r="AH941" s="35" t="s">
        <v>27</v>
      </c>
    </row>
    <row r="942" spans="1:34">
      <c r="A942" t="s">
        <v>1232</v>
      </c>
      <c r="B942" t="s">
        <v>117</v>
      </c>
      <c r="C942">
        <v>19</v>
      </c>
      <c r="D942" t="s">
        <v>35</v>
      </c>
      <c r="E942" t="s">
        <v>44</v>
      </c>
      <c r="F942" t="s">
        <v>57</v>
      </c>
      <c r="G942" t="s">
        <v>58</v>
      </c>
      <c r="H942">
        <v>69</v>
      </c>
      <c r="I942">
        <v>68</v>
      </c>
      <c r="J942" t="s">
        <v>68</v>
      </c>
      <c r="K942">
        <v>12000</v>
      </c>
      <c r="L942">
        <v>14160</v>
      </c>
      <c r="M942">
        <v>0</v>
      </c>
      <c r="N942" t="s">
        <v>11</v>
      </c>
      <c r="O942" t="s">
        <v>27</v>
      </c>
      <c r="P942" s="1">
        <v>45911</v>
      </c>
      <c r="Q942" s="1">
        <v>46091</v>
      </c>
      <c r="R942" s="2">
        <v>0.45277777777777778</v>
      </c>
      <c r="S942" s="2">
        <v>0.62569444444444444</v>
      </c>
      <c r="T942" t="str" cm="1">
        <f t="array" ref="T942">_xlfn.IFS(H942&gt;=90,"A",H942&gt;=75,"B",H942&gt;=60,"C",H942&lt;60,"D")</f>
        <v>C</v>
      </c>
      <c r="U942" t="str">
        <f t="shared" si="56"/>
        <v>10:52 AM</v>
      </c>
      <c r="V942" t="str">
        <f t="shared" si="57"/>
        <v>Delayed</v>
      </c>
      <c r="W942" t="str">
        <f t="shared" si="58"/>
        <v>4 Hours 9 Minutes</v>
      </c>
      <c r="X942" t="str">
        <f t="shared" si="59"/>
        <v>Long Time Login</v>
      </c>
      <c r="AA942" s="34" t="s">
        <v>1232</v>
      </c>
      <c r="AB942" s="34" t="s">
        <v>117</v>
      </c>
      <c r="AC942" s="34">
        <v>69</v>
      </c>
      <c r="AD942" s="34">
        <v>68</v>
      </c>
      <c r="AE942" s="34" t="s">
        <v>68</v>
      </c>
      <c r="AF942" s="34">
        <v>0</v>
      </c>
      <c r="AH942" s="34" t="s">
        <v>27</v>
      </c>
    </row>
    <row r="943" spans="1:34">
      <c r="A943" t="s">
        <v>1233</v>
      </c>
      <c r="B943" t="s">
        <v>266</v>
      </c>
      <c r="C943">
        <v>25</v>
      </c>
      <c r="D943" t="s">
        <v>21</v>
      </c>
      <c r="E943" t="s">
        <v>22</v>
      </c>
      <c r="F943" t="s">
        <v>23</v>
      </c>
      <c r="G943" t="s">
        <v>24</v>
      </c>
      <c r="H943">
        <v>43</v>
      </c>
      <c r="I943">
        <v>70</v>
      </c>
      <c r="J943" t="s">
        <v>25</v>
      </c>
      <c r="K943">
        <v>20000</v>
      </c>
      <c r="L943">
        <v>22420</v>
      </c>
      <c r="M943">
        <v>0</v>
      </c>
      <c r="N943" t="s">
        <v>11</v>
      </c>
      <c r="O943" t="s">
        <v>27</v>
      </c>
      <c r="P943" s="1">
        <v>45895</v>
      </c>
      <c r="Q943" s="1">
        <v>45955</v>
      </c>
      <c r="R943" s="2">
        <v>0.36875000000000002</v>
      </c>
      <c r="S943" s="2">
        <v>0.55486111111111114</v>
      </c>
      <c r="T943" t="str" cm="1">
        <f t="array" ref="T943">_xlfn.IFS(H943&gt;=90,"A",H943&gt;=75,"B",H943&gt;=60,"C",H943&lt;60,"D")</f>
        <v>D</v>
      </c>
      <c r="U943" t="str">
        <f t="shared" si="56"/>
        <v>08:51 AM</v>
      </c>
      <c r="V943" t="str">
        <f t="shared" si="57"/>
        <v>On Time</v>
      </c>
      <c r="W943" t="str">
        <f t="shared" si="58"/>
        <v>4 Hours 28 Minutes</v>
      </c>
      <c r="X943" t="str">
        <f t="shared" si="59"/>
        <v>Short Time Login</v>
      </c>
      <c r="AA943" s="35" t="s">
        <v>1233</v>
      </c>
      <c r="AB943" s="35" t="s">
        <v>266</v>
      </c>
      <c r="AC943" s="35">
        <v>43</v>
      </c>
      <c r="AD943" s="35">
        <v>70</v>
      </c>
      <c r="AE943" s="35" t="s">
        <v>25</v>
      </c>
      <c r="AF943" s="35">
        <v>0</v>
      </c>
      <c r="AH943" s="35" t="s">
        <v>27</v>
      </c>
    </row>
    <row r="944" spans="1:34">
      <c r="A944" t="s">
        <v>1234</v>
      </c>
      <c r="B944" t="s">
        <v>207</v>
      </c>
      <c r="C944">
        <v>18</v>
      </c>
      <c r="D944" t="s">
        <v>21</v>
      </c>
      <c r="E944" t="s">
        <v>48</v>
      </c>
      <c r="F944" t="s">
        <v>57</v>
      </c>
      <c r="G944" t="s">
        <v>58</v>
      </c>
      <c r="H944">
        <v>70</v>
      </c>
      <c r="I944">
        <v>81</v>
      </c>
      <c r="J944" t="s">
        <v>68</v>
      </c>
      <c r="K944">
        <v>20000</v>
      </c>
      <c r="L944">
        <v>20420</v>
      </c>
      <c r="M944">
        <v>2000</v>
      </c>
      <c r="N944" t="s">
        <v>26</v>
      </c>
      <c r="O944" t="s">
        <v>27</v>
      </c>
      <c r="P944" s="1">
        <v>45969</v>
      </c>
      <c r="Q944" s="1">
        <v>46149</v>
      </c>
      <c r="R944" s="2">
        <v>0.39166666666666666</v>
      </c>
      <c r="S944" s="2">
        <v>0.56111111111111112</v>
      </c>
      <c r="T944" t="str" cm="1">
        <f t="array" ref="T944">_xlfn.IFS(H944&gt;=90,"A",H944&gt;=75,"B",H944&gt;=60,"C",H944&lt;60,"D")</f>
        <v>C</v>
      </c>
      <c r="U944" t="str">
        <f t="shared" si="56"/>
        <v>09:24 AM</v>
      </c>
      <c r="V944" t="str">
        <f t="shared" si="57"/>
        <v>Delayed</v>
      </c>
      <c r="W944" t="str">
        <f t="shared" si="58"/>
        <v>4 Hours 4 Minutes</v>
      </c>
      <c r="X944" t="str">
        <f t="shared" si="59"/>
        <v>Short Time Login</v>
      </c>
      <c r="AA944" s="34" t="s">
        <v>1234</v>
      </c>
      <c r="AB944" s="34" t="s">
        <v>207</v>
      </c>
      <c r="AC944" s="34">
        <v>70</v>
      </c>
      <c r="AD944" s="34">
        <v>81</v>
      </c>
      <c r="AE944" s="34" t="s">
        <v>68</v>
      </c>
      <c r="AF944" s="34">
        <v>2000</v>
      </c>
      <c r="AH944" s="34" t="s">
        <v>27</v>
      </c>
    </row>
    <row r="945" spans="1:34">
      <c r="A945" t="s">
        <v>1235</v>
      </c>
      <c r="B945" t="s">
        <v>300</v>
      </c>
      <c r="C945">
        <v>23</v>
      </c>
      <c r="D945" t="s">
        <v>35</v>
      </c>
      <c r="E945" t="s">
        <v>36</v>
      </c>
      <c r="F945" t="s">
        <v>63</v>
      </c>
      <c r="G945" t="s">
        <v>64</v>
      </c>
      <c r="H945">
        <v>55</v>
      </c>
      <c r="I945">
        <v>93</v>
      </c>
      <c r="J945" t="s">
        <v>25</v>
      </c>
      <c r="K945">
        <v>20000</v>
      </c>
      <c r="L945">
        <v>21600</v>
      </c>
      <c r="M945">
        <v>2000</v>
      </c>
      <c r="N945" t="s">
        <v>26</v>
      </c>
      <c r="O945" t="s">
        <v>27</v>
      </c>
      <c r="P945" s="1">
        <v>45859</v>
      </c>
      <c r="Q945" s="1">
        <v>46039</v>
      </c>
      <c r="R945" s="2">
        <v>0.44166666666666665</v>
      </c>
      <c r="S945" s="2">
        <v>0.51666666666666672</v>
      </c>
      <c r="T945" t="str" cm="1">
        <f t="array" ref="T945">_xlfn.IFS(H945&gt;=90,"A",H945&gt;=75,"B",H945&gt;=60,"C",H945&lt;60,"D")</f>
        <v>D</v>
      </c>
      <c r="U945" t="str">
        <f t="shared" si="56"/>
        <v>10:36 AM</v>
      </c>
      <c r="V945" t="str">
        <f t="shared" si="57"/>
        <v>Delayed</v>
      </c>
      <c r="W945" t="str">
        <f t="shared" si="58"/>
        <v>1 Hours 48 Minutes</v>
      </c>
      <c r="X945" t="str">
        <f t="shared" si="59"/>
        <v>Long Time Login</v>
      </c>
      <c r="AA945" s="35" t="s">
        <v>1235</v>
      </c>
      <c r="AB945" s="35" t="s">
        <v>300</v>
      </c>
      <c r="AC945" s="35">
        <v>55</v>
      </c>
      <c r="AD945" s="35">
        <v>93</v>
      </c>
      <c r="AE945" s="35" t="s">
        <v>25</v>
      </c>
      <c r="AF945" s="35">
        <v>2000</v>
      </c>
      <c r="AH945" s="35" t="s">
        <v>27</v>
      </c>
    </row>
    <row r="946" spans="1:34">
      <c r="A946" t="s">
        <v>1236</v>
      </c>
      <c r="B946" t="s">
        <v>338</v>
      </c>
      <c r="C946">
        <v>18</v>
      </c>
      <c r="D946" t="s">
        <v>35</v>
      </c>
      <c r="E946" t="s">
        <v>113</v>
      </c>
      <c r="F946" t="s">
        <v>23</v>
      </c>
      <c r="G946" t="s">
        <v>24</v>
      </c>
      <c r="H946">
        <v>90</v>
      </c>
      <c r="I946">
        <v>64</v>
      </c>
      <c r="J946" t="s">
        <v>59</v>
      </c>
      <c r="K946">
        <v>12000</v>
      </c>
      <c r="L946">
        <v>12160</v>
      </c>
      <c r="M946">
        <v>2000</v>
      </c>
      <c r="N946" t="s">
        <v>26</v>
      </c>
      <c r="O946" t="s">
        <v>27</v>
      </c>
      <c r="P946" s="1">
        <v>45911</v>
      </c>
      <c r="Q946" s="1">
        <v>46091</v>
      </c>
      <c r="R946" s="2">
        <v>0.38541666666666669</v>
      </c>
      <c r="S946" s="2">
        <v>0.55486111111111114</v>
      </c>
      <c r="T946" t="str" cm="1">
        <f t="array" ref="T946">_xlfn.IFS(H946&gt;=90,"A",H946&gt;=75,"B",H946&gt;=60,"C",H946&lt;60,"D")</f>
        <v>A</v>
      </c>
      <c r="U946" t="str">
        <f t="shared" si="56"/>
        <v>09:15 AM</v>
      </c>
      <c r="V946" t="str">
        <f t="shared" si="57"/>
        <v>Delayed</v>
      </c>
      <c r="W946" t="str">
        <f t="shared" si="58"/>
        <v>4 Hours 4 Minutes</v>
      </c>
      <c r="X946" t="str">
        <f t="shared" si="59"/>
        <v>Short Time Login</v>
      </c>
      <c r="AA946" s="34" t="s">
        <v>1236</v>
      </c>
      <c r="AB946" s="34" t="s">
        <v>338</v>
      </c>
      <c r="AC946" s="34">
        <v>90</v>
      </c>
      <c r="AD946" s="34">
        <v>64</v>
      </c>
      <c r="AE946" s="34" t="s">
        <v>59</v>
      </c>
      <c r="AF946" s="34">
        <v>2000</v>
      </c>
      <c r="AH946" s="34" t="s">
        <v>27</v>
      </c>
    </row>
    <row r="947" spans="1:34">
      <c r="A947" t="s">
        <v>1237</v>
      </c>
      <c r="B947" t="s">
        <v>293</v>
      </c>
      <c r="C947">
        <v>24</v>
      </c>
      <c r="D947" t="s">
        <v>35</v>
      </c>
      <c r="E947" t="s">
        <v>30</v>
      </c>
      <c r="F947" t="s">
        <v>49</v>
      </c>
      <c r="G947" t="s">
        <v>50</v>
      </c>
      <c r="H947">
        <v>66</v>
      </c>
      <c r="I947">
        <v>88</v>
      </c>
      <c r="J947" t="s">
        <v>68</v>
      </c>
      <c r="K947">
        <v>10000</v>
      </c>
      <c r="L947">
        <v>8620</v>
      </c>
      <c r="M947">
        <v>2000</v>
      </c>
      <c r="N947" t="s">
        <v>26</v>
      </c>
      <c r="O947" t="s">
        <v>27</v>
      </c>
      <c r="P947" s="1">
        <v>46000</v>
      </c>
      <c r="Q947" s="1">
        <v>46030</v>
      </c>
      <c r="R947" s="2">
        <v>0.38541666666666669</v>
      </c>
      <c r="S947" s="2">
        <v>0.49722222222222223</v>
      </c>
      <c r="T947" t="str" cm="1">
        <f t="array" ref="T947">_xlfn.IFS(H947&gt;=90,"A",H947&gt;=75,"B",H947&gt;=60,"C",H947&lt;60,"D")</f>
        <v>C</v>
      </c>
      <c r="U947" t="str">
        <f t="shared" si="56"/>
        <v>09:15 AM</v>
      </c>
      <c r="V947" t="str">
        <f t="shared" si="57"/>
        <v>On Time</v>
      </c>
      <c r="W947" t="str">
        <f t="shared" si="58"/>
        <v>2 Hours 41 Minutes</v>
      </c>
      <c r="X947" t="str">
        <f t="shared" si="59"/>
        <v>Short Time Login</v>
      </c>
      <c r="AA947" s="35" t="s">
        <v>1237</v>
      </c>
      <c r="AB947" s="35" t="s">
        <v>293</v>
      </c>
      <c r="AC947" s="35">
        <v>66</v>
      </c>
      <c r="AD947" s="35">
        <v>88</v>
      </c>
      <c r="AE947" s="35" t="s">
        <v>68</v>
      </c>
      <c r="AF947" s="35">
        <v>2000</v>
      </c>
      <c r="AH947" s="35" t="s">
        <v>27</v>
      </c>
    </row>
    <row r="948" spans="1:34">
      <c r="A948" t="s">
        <v>1238</v>
      </c>
      <c r="B948" t="s">
        <v>358</v>
      </c>
      <c r="C948">
        <v>26</v>
      </c>
      <c r="D948" t="s">
        <v>35</v>
      </c>
      <c r="E948" t="s">
        <v>22</v>
      </c>
      <c r="F948" t="s">
        <v>49</v>
      </c>
      <c r="G948" t="s">
        <v>50</v>
      </c>
      <c r="H948">
        <v>56</v>
      </c>
      <c r="I948">
        <v>78</v>
      </c>
      <c r="J948" t="s">
        <v>25</v>
      </c>
      <c r="K948">
        <v>15000</v>
      </c>
      <c r="L948">
        <v>17110</v>
      </c>
      <c r="M948">
        <v>0</v>
      </c>
      <c r="N948" t="s">
        <v>11</v>
      </c>
      <c r="O948" t="s">
        <v>27</v>
      </c>
      <c r="P948" s="1">
        <v>45945</v>
      </c>
      <c r="Q948" s="1">
        <v>46125</v>
      </c>
      <c r="R948" s="2">
        <v>0.44513888888888886</v>
      </c>
      <c r="S948" s="2">
        <v>0.63124999999999998</v>
      </c>
      <c r="T948" t="str" cm="1">
        <f t="array" ref="T948">_xlfn.IFS(H948&gt;=90,"A",H948&gt;=75,"B",H948&gt;=60,"C",H948&lt;60,"D")</f>
        <v>D</v>
      </c>
      <c r="U948" t="str">
        <f t="shared" si="56"/>
        <v>10:41 AM</v>
      </c>
      <c r="V948" t="str">
        <f t="shared" si="57"/>
        <v>Delayed</v>
      </c>
      <c r="W948" t="str">
        <f t="shared" si="58"/>
        <v>4 Hours 28 Minutes</v>
      </c>
      <c r="X948" t="str">
        <f t="shared" si="59"/>
        <v>Long Time Login</v>
      </c>
      <c r="AA948" s="34" t="s">
        <v>1238</v>
      </c>
      <c r="AB948" s="34" t="s">
        <v>358</v>
      </c>
      <c r="AC948" s="34">
        <v>56</v>
      </c>
      <c r="AD948" s="34">
        <v>78</v>
      </c>
      <c r="AE948" s="34" t="s">
        <v>25</v>
      </c>
      <c r="AF948" s="34">
        <v>0</v>
      </c>
      <c r="AH948" s="34" t="s">
        <v>27</v>
      </c>
    </row>
    <row r="949" spans="1:34">
      <c r="A949" t="s">
        <v>1239</v>
      </c>
      <c r="B949" t="s">
        <v>571</v>
      </c>
      <c r="C949">
        <v>23</v>
      </c>
      <c r="D949" t="s">
        <v>21</v>
      </c>
      <c r="E949" t="s">
        <v>39</v>
      </c>
      <c r="F949" t="s">
        <v>88</v>
      </c>
      <c r="G949" t="s">
        <v>89</v>
      </c>
      <c r="H949">
        <v>40</v>
      </c>
      <c r="I949">
        <v>68</v>
      </c>
      <c r="J949" t="s">
        <v>25</v>
      </c>
      <c r="K949">
        <v>10000</v>
      </c>
      <c r="L949">
        <v>6620</v>
      </c>
      <c r="M949">
        <v>4000</v>
      </c>
      <c r="N949" t="s">
        <v>26</v>
      </c>
      <c r="O949" t="s">
        <v>27</v>
      </c>
      <c r="P949" s="1">
        <v>45817</v>
      </c>
      <c r="Q949" s="1">
        <v>45907</v>
      </c>
      <c r="R949" s="2">
        <v>0.36180555555555555</v>
      </c>
      <c r="S949" s="2">
        <v>0.54236111111111107</v>
      </c>
      <c r="T949" t="str" cm="1">
        <f t="array" ref="T949">_xlfn.IFS(H949&gt;=90,"A",H949&gt;=75,"B",H949&gt;=60,"C",H949&lt;60,"D")</f>
        <v>D</v>
      </c>
      <c r="U949" t="str">
        <f t="shared" si="56"/>
        <v>08:41 AM</v>
      </c>
      <c r="V949" t="str">
        <f t="shared" si="57"/>
        <v>On Time</v>
      </c>
      <c r="W949" t="str">
        <f t="shared" si="58"/>
        <v>4 Hours 20 Minutes</v>
      </c>
      <c r="X949" t="str">
        <f t="shared" si="59"/>
        <v>Short Time Login</v>
      </c>
      <c r="AA949" s="35" t="s">
        <v>1239</v>
      </c>
      <c r="AB949" s="35" t="s">
        <v>571</v>
      </c>
      <c r="AC949" s="35">
        <v>40</v>
      </c>
      <c r="AD949" s="35">
        <v>68</v>
      </c>
      <c r="AE949" s="35" t="s">
        <v>25</v>
      </c>
      <c r="AF949" s="35">
        <v>4000</v>
      </c>
      <c r="AH949" s="35" t="s">
        <v>27</v>
      </c>
    </row>
    <row r="950" spans="1:34">
      <c r="A950" t="s">
        <v>1240</v>
      </c>
      <c r="B950" t="s">
        <v>639</v>
      </c>
      <c r="C950">
        <v>27</v>
      </c>
      <c r="D950" t="s">
        <v>35</v>
      </c>
      <c r="E950" t="s">
        <v>96</v>
      </c>
      <c r="F950" t="s">
        <v>57</v>
      </c>
      <c r="G950" t="s">
        <v>58</v>
      </c>
      <c r="H950">
        <v>57</v>
      </c>
      <c r="I950">
        <v>95</v>
      </c>
      <c r="J950" t="s">
        <v>25</v>
      </c>
      <c r="K950">
        <v>12000</v>
      </c>
      <c r="L950">
        <v>8390</v>
      </c>
      <c r="M950">
        <v>4000</v>
      </c>
      <c r="N950" t="s">
        <v>26</v>
      </c>
      <c r="O950" t="s">
        <v>27</v>
      </c>
      <c r="P950" s="1">
        <v>45937</v>
      </c>
      <c r="Q950" s="1">
        <v>45997</v>
      </c>
      <c r="R950" s="2">
        <v>0.34513888888888888</v>
      </c>
      <c r="S950" s="2">
        <v>0.3923611111111111</v>
      </c>
      <c r="T950" t="str" cm="1">
        <f t="array" ref="T950">_xlfn.IFS(H950&gt;=90,"A",H950&gt;=75,"B",H950&gt;=60,"C",H950&lt;60,"D")</f>
        <v>D</v>
      </c>
      <c r="U950" t="str">
        <f t="shared" si="56"/>
        <v>08:17 AM</v>
      </c>
      <c r="V950" t="str">
        <f t="shared" si="57"/>
        <v>On Time</v>
      </c>
      <c r="W950" t="str">
        <f t="shared" si="58"/>
        <v>1 Hours 8 Minutes</v>
      </c>
      <c r="X950" t="str">
        <f t="shared" si="59"/>
        <v>Short Time Login</v>
      </c>
      <c r="AA950" s="34" t="s">
        <v>1240</v>
      </c>
      <c r="AB950" s="34" t="s">
        <v>639</v>
      </c>
      <c r="AC950" s="34">
        <v>57</v>
      </c>
      <c r="AD950" s="34">
        <v>95</v>
      </c>
      <c r="AE950" s="34" t="s">
        <v>25</v>
      </c>
      <c r="AF950" s="34">
        <v>4000</v>
      </c>
      <c r="AH950" s="34" t="s">
        <v>27</v>
      </c>
    </row>
    <row r="951" spans="1:34">
      <c r="A951" t="s">
        <v>1241</v>
      </c>
      <c r="B951" t="s">
        <v>681</v>
      </c>
      <c r="C951">
        <v>23</v>
      </c>
      <c r="D951" t="s">
        <v>21</v>
      </c>
      <c r="E951" t="s">
        <v>122</v>
      </c>
      <c r="F951" t="s">
        <v>23</v>
      </c>
      <c r="G951" t="s">
        <v>24</v>
      </c>
      <c r="H951">
        <v>89</v>
      </c>
      <c r="I951">
        <v>68</v>
      </c>
      <c r="J951" t="s">
        <v>45</v>
      </c>
      <c r="K951">
        <v>12000</v>
      </c>
      <c r="L951">
        <v>10390</v>
      </c>
      <c r="M951">
        <v>2000</v>
      </c>
      <c r="N951" t="s">
        <v>26</v>
      </c>
      <c r="O951" t="s">
        <v>127</v>
      </c>
      <c r="P951" s="1">
        <v>45804</v>
      </c>
      <c r="Q951" s="1">
        <v>45984</v>
      </c>
      <c r="R951" s="2">
        <v>0.38055555555555554</v>
      </c>
      <c r="S951" s="2">
        <v>0.56111111111111112</v>
      </c>
      <c r="T951" t="str" cm="1">
        <f t="array" ref="T951">_xlfn.IFS(H951&gt;=90,"A",H951&gt;=75,"B",H951&gt;=60,"C",H951&lt;60,"D")</f>
        <v>B</v>
      </c>
      <c r="U951" t="str">
        <f t="shared" si="56"/>
        <v>09:08 AM</v>
      </c>
      <c r="V951" t="str">
        <f t="shared" si="57"/>
        <v>Delayed</v>
      </c>
      <c r="W951" t="str">
        <f t="shared" si="58"/>
        <v>4 Hours 20 Minutes</v>
      </c>
      <c r="X951" t="str">
        <f t="shared" si="59"/>
        <v>Short Time Login</v>
      </c>
      <c r="AA951" s="35" t="s">
        <v>1241</v>
      </c>
      <c r="AB951" s="35" t="s">
        <v>681</v>
      </c>
      <c r="AC951" s="35">
        <v>89</v>
      </c>
      <c r="AD951" s="35">
        <v>68</v>
      </c>
      <c r="AE951" s="35" t="s">
        <v>45</v>
      </c>
      <c r="AF951" s="35">
        <v>2000</v>
      </c>
      <c r="AH951" s="35" t="s">
        <v>127</v>
      </c>
    </row>
    <row r="952" spans="1:34">
      <c r="A952" t="s">
        <v>1242</v>
      </c>
      <c r="B952" t="s">
        <v>414</v>
      </c>
      <c r="C952">
        <v>20</v>
      </c>
      <c r="D952" t="s">
        <v>21</v>
      </c>
      <c r="E952" t="s">
        <v>62</v>
      </c>
      <c r="F952" t="s">
        <v>63</v>
      </c>
      <c r="G952" t="s">
        <v>64</v>
      </c>
      <c r="H952">
        <v>69</v>
      </c>
      <c r="I952">
        <v>99</v>
      </c>
      <c r="J952" t="s">
        <v>68</v>
      </c>
      <c r="K952">
        <v>18000</v>
      </c>
      <c r="L952">
        <v>19470</v>
      </c>
      <c r="M952">
        <v>0</v>
      </c>
      <c r="N952" t="s">
        <v>11</v>
      </c>
      <c r="O952" t="s">
        <v>27</v>
      </c>
      <c r="P952" s="1">
        <v>45685</v>
      </c>
      <c r="Q952" s="1">
        <v>45775</v>
      </c>
      <c r="R952" s="2">
        <v>0.42291666666666666</v>
      </c>
      <c r="S952" s="2">
        <v>0.49861111111111112</v>
      </c>
      <c r="T952" t="str" cm="1">
        <f t="array" ref="T952">_xlfn.IFS(H952&gt;=90,"A",H952&gt;=75,"B",H952&gt;=60,"C",H952&lt;60,"D")</f>
        <v>C</v>
      </c>
      <c r="U952" t="str">
        <f t="shared" si="56"/>
        <v>10:09 AM</v>
      </c>
      <c r="V952" t="str">
        <f t="shared" si="57"/>
        <v>On Time</v>
      </c>
      <c r="W952" t="str">
        <f t="shared" si="58"/>
        <v>1 Hours 49 Minutes</v>
      </c>
      <c r="X952" t="str">
        <f t="shared" si="59"/>
        <v>Long Time Login</v>
      </c>
      <c r="AA952" s="34" t="s">
        <v>1242</v>
      </c>
      <c r="AB952" s="34" t="s">
        <v>414</v>
      </c>
      <c r="AC952" s="34">
        <v>69</v>
      </c>
      <c r="AD952" s="34">
        <v>99</v>
      </c>
      <c r="AE952" s="34" t="s">
        <v>68</v>
      </c>
      <c r="AF952" s="34">
        <v>0</v>
      </c>
      <c r="AH952" s="34" t="s">
        <v>27</v>
      </c>
    </row>
    <row r="953" spans="1:34">
      <c r="A953" t="s">
        <v>1243</v>
      </c>
      <c r="B953" t="s">
        <v>408</v>
      </c>
      <c r="C953">
        <v>22</v>
      </c>
      <c r="D953" t="s">
        <v>21</v>
      </c>
      <c r="E953" t="s">
        <v>113</v>
      </c>
      <c r="F953" t="s">
        <v>88</v>
      </c>
      <c r="G953" t="s">
        <v>89</v>
      </c>
      <c r="H953">
        <v>81</v>
      </c>
      <c r="I953">
        <v>97</v>
      </c>
      <c r="J953" t="s">
        <v>45</v>
      </c>
      <c r="K953">
        <v>15000</v>
      </c>
      <c r="L953">
        <v>13110</v>
      </c>
      <c r="M953">
        <v>4000</v>
      </c>
      <c r="N953" t="s">
        <v>26</v>
      </c>
      <c r="O953" t="s">
        <v>27</v>
      </c>
      <c r="P953" s="1">
        <v>45817</v>
      </c>
      <c r="Q953" s="1">
        <v>45877</v>
      </c>
      <c r="R953" s="2">
        <v>0.4201388888888889</v>
      </c>
      <c r="S953" s="2">
        <v>0.51111111111111107</v>
      </c>
      <c r="T953" t="str" cm="1">
        <f t="array" ref="T953">_xlfn.IFS(H953&gt;=90,"A",H953&gt;=75,"B",H953&gt;=60,"C",H953&lt;60,"D")</f>
        <v>B</v>
      </c>
      <c r="U953" t="str">
        <f t="shared" si="56"/>
        <v>10:05 AM</v>
      </c>
      <c r="V953" t="str">
        <f t="shared" si="57"/>
        <v>On Time</v>
      </c>
      <c r="W953" t="str">
        <f t="shared" si="58"/>
        <v>2 Hours 11 Minutes</v>
      </c>
      <c r="X953" t="str">
        <f t="shared" si="59"/>
        <v>Long Time Login</v>
      </c>
      <c r="AA953" s="35" t="s">
        <v>1243</v>
      </c>
      <c r="AB953" s="35" t="s">
        <v>408</v>
      </c>
      <c r="AC953" s="35">
        <v>81</v>
      </c>
      <c r="AD953" s="35">
        <v>97</v>
      </c>
      <c r="AE953" s="35" t="s">
        <v>45</v>
      </c>
      <c r="AF953" s="35">
        <v>4000</v>
      </c>
      <c r="AH953" s="35" t="s">
        <v>27</v>
      </c>
    </row>
    <row r="954" spans="1:34">
      <c r="A954" t="s">
        <v>1244</v>
      </c>
      <c r="B954" t="s">
        <v>266</v>
      </c>
      <c r="C954">
        <v>20</v>
      </c>
      <c r="D954" t="s">
        <v>21</v>
      </c>
      <c r="E954" t="s">
        <v>62</v>
      </c>
      <c r="F954" t="s">
        <v>49</v>
      </c>
      <c r="G954" t="s">
        <v>50</v>
      </c>
      <c r="H954">
        <v>89</v>
      </c>
      <c r="I954">
        <v>72</v>
      </c>
      <c r="J954" t="s">
        <v>45</v>
      </c>
      <c r="K954">
        <v>15000</v>
      </c>
      <c r="L954">
        <v>12520</v>
      </c>
      <c r="M954">
        <v>4000</v>
      </c>
      <c r="N954" t="s">
        <v>26</v>
      </c>
      <c r="O954" t="s">
        <v>27</v>
      </c>
      <c r="P954" s="1">
        <v>45678</v>
      </c>
      <c r="Q954" s="1">
        <v>45708</v>
      </c>
      <c r="R954" s="2">
        <v>0.41805555555555557</v>
      </c>
      <c r="S954" s="2">
        <v>0.60069444444444442</v>
      </c>
      <c r="T954" t="str" cm="1">
        <f t="array" ref="T954">_xlfn.IFS(H954&gt;=90,"A",H954&gt;=75,"B",H954&gt;=60,"C",H954&lt;60,"D")</f>
        <v>B</v>
      </c>
      <c r="U954" t="str">
        <f t="shared" si="56"/>
        <v>10:02 AM</v>
      </c>
      <c r="V954" t="str">
        <f t="shared" si="57"/>
        <v>On Time</v>
      </c>
      <c r="W954" t="str">
        <f t="shared" si="58"/>
        <v>4 Hours 23 Minutes</v>
      </c>
      <c r="X954" t="str">
        <f t="shared" si="59"/>
        <v>Long Time Login</v>
      </c>
      <c r="AA954" s="34" t="s">
        <v>1244</v>
      </c>
      <c r="AB954" s="34" t="s">
        <v>266</v>
      </c>
      <c r="AC954" s="34">
        <v>89</v>
      </c>
      <c r="AD954" s="34">
        <v>72</v>
      </c>
      <c r="AE954" s="34" t="s">
        <v>45</v>
      </c>
      <c r="AF954" s="34">
        <v>4000</v>
      </c>
      <c r="AH954" s="34" t="s">
        <v>27</v>
      </c>
    </row>
    <row r="955" spans="1:34">
      <c r="A955" t="s">
        <v>1245</v>
      </c>
      <c r="B955" t="s">
        <v>232</v>
      </c>
      <c r="C955">
        <v>23</v>
      </c>
      <c r="D955" t="s">
        <v>35</v>
      </c>
      <c r="E955" t="s">
        <v>73</v>
      </c>
      <c r="F955" t="s">
        <v>63</v>
      </c>
      <c r="G955" t="s">
        <v>64</v>
      </c>
      <c r="H955">
        <v>97</v>
      </c>
      <c r="I955">
        <v>70</v>
      </c>
      <c r="J955" t="s">
        <v>59</v>
      </c>
      <c r="K955">
        <v>15000</v>
      </c>
      <c r="L955">
        <v>17110</v>
      </c>
      <c r="M955">
        <v>0</v>
      </c>
      <c r="N955" t="s">
        <v>11</v>
      </c>
      <c r="O955" t="s">
        <v>27</v>
      </c>
      <c r="P955" s="1">
        <v>45997</v>
      </c>
      <c r="Q955" s="1">
        <v>46027</v>
      </c>
      <c r="R955" s="2">
        <v>0.34097222222222223</v>
      </c>
      <c r="S955" s="2">
        <v>0.40763888888888888</v>
      </c>
      <c r="T955" t="str" cm="1">
        <f t="array" ref="T955">_xlfn.IFS(H955&gt;=90,"A",H955&gt;=75,"B",H955&gt;=60,"C",H955&lt;60,"D")</f>
        <v>A</v>
      </c>
      <c r="U955" t="str">
        <f t="shared" si="56"/>
        <v>08:11 AM</v>
      </c>
      <c r="V955" t="str">
        <f t="shared" si="57"/>
        <v>On Time</v>
      </c>
      <c r="W955" t="str">
        <f t="shared" si="58"/>
        <v>1 Hours 36 Minutes</v>
      </c>
      <c r="X955" t="str">
        <f t="shared" si="59"/>
        <v>Short Time Login</v>
      </c>
      <c r="AA955" s="35" t="s">
        <v>1245</v>
      </c>
      <c r="AB955" s="35" t="s">
        <v>232</v>
      </c>
      <c r="AC955" s="35">
        <v>97</v>
      </c>
      <c r="AD955" s="35">
        <v>70</v>
      </c>
      <c r="AE955" s="35" t="s">
        <v>59</v>
      </c>
      <c r="AF955" s="35">
        <v>0</v>
      </c>
      <c r="AH955" s="35" t="s">
        <v>27</v>
      </c>
    </row>
    <row r="956" spans="1:34">
      <c r="A956" t="s">
        <v>1246</v>
      </c>
      <c r="B956" t="s">
        <v>656</v>
      </c>
      <c r="C956">
        <v>20</v>
      </c>
      <c r="D956" t="s">
        <v>21</v>
      </c>
      <c r="E956" t="s">
        <v>44</v>
      </c>
      <c r="F956" t="s">
        <v>23</v>
      </c>
      <c r="G956" t="s">
        <v>24</v>
      </c>
      <c r="H956">
        <v>39</v>
      </c>
      <c r="I956">
        <v>67</v>
      </c>
      <c r="J956" t="s">
        <v>25</v>
      </c>
      <c r="K956">
        <v>15000</v>
      </c>
      <c r="L956">
        <v>15930</v>
      </c>
      <c r="M956">
        <v>0</v>
      </c>
      <c r="N956" t="s">
        <v>11</v>
      </c>
      <c r="O956" t="s">
        <v>127</v>
      </c>
      <c r="P956" s="1">
        <v>45681</v>
      </c>
      <c r="Q956" s="1">
        <v>45861</v>
      </c>
      <c r="R956" s="2">
        <v>0.45347222222222222</v>
      </c>
      <c r="S956" s="2">
        <v>0.58125000000000004</v>
      </c>
      <c r="T956" t="str" cm="1">
        <f t="array" ref="T956">_xlfn.IFS(H956&gt;=90,"A",H956&gt;=75,"B",H956&gt;=60,"C",H956&lt;60,"D")</f>
        <v>D</v>
      </c>
      <c r="U956" t="str">
        <f t="shared" si="56"/>
        <v>10:53 AM</v>
      </c>
      <c r="V956" t="str">
        <f t="shared" si="57"/>
        <v>Delayed</v>
      </c>
      <c r="W956" t="str">
        <f t="shared" si="58"/>
        <v>3 Hours 4 Minutes</v>
      </c>
      <c r="X956" t="str">
        <f t="shared" si="59"/>
        <v>Long Time Login</v>
      </c>
      <c r="AA956" s="34" t="s">
        <v>1246</v>
      </c>
      <c r="AB956" s="34" t="s">
        <v>656</v>
      </c>
      <c r="AC956" s="34">
        <v>39</v>
      </c>
      <c r="AD956" s="34">
        <v>67</v>
      </c>
      <c r="AE956" s="34" t="s">
        <v>25</v>
      </c>
      <c r="AF956" s="34">
        <v>0</v>
      </c>
      <c r="AH956" s="34" t="s">
        <v>127</v>
      </c>
    </row>
    <row r="957" spans="1:34">
      <c r="A957" t="s">
        <v>1247</v>
      </c>
      <c r="B957" t="s">
        <v>119</v>
      </c>
      <c r="C957">
        <v>22</v>
      </c>
      <c r="D957" t="s">
        <v>21</v>
      </c>
      <c r="E957" t="s">
        <v>48</v>
      </c>
      <c r="F957" t="s">
        <v>40</v>
      </c>
      <c r="G957" t="s">
        <v>41</v>
      </c>
      <c r="H957">
        <v>82</v>
      </c>
      <c r="I957">
        <v>69</v>
      </c>
      <c r="J957" t="s">
        <v>45</v>
      </c>
      <c r="K957">
        <v>12000</v>
      </c>
      <c r="L957">
        <v>12390</v>
      </c>
      <c r="M957">
        <v>0</v>
      </c>
      <c r="N957" t="s">
        <v>11</v>
      </c>
      <c r="O957" t="s">
        <v>27</v>
      </c>
      <c r="P957" s="1">
        <v>45664</v>
      </c>
      <c r="Q957" s="1">
        <v>45784</v>
      </c>
      <c r="R957" s="2">
        <v>0.41736111111111113</v>
      </c>
      <c r="S957" s="2">
        <v>0.5444444444444444</v>
      </c>
      <c r="T957" t="str" cm="1">
        <f t="array" ref="T957">_xlfn.IFS(H957&gt;=90,"A",H957&gt;=75,"B",H957&gt;=60,"C",H957&lt;60,"D")</f>
        <v>B</v>
      </c>
      <c r="U957" t="str">
        <f t="shared" si="56"/>
        <v>10:01 AM</v>
      </c>
      <c r="V957" t="str">
        <f t="shared" si="57"/>
        <v>Delayed</v>
      </c>
      <c r="W957" t="str">
        <f t="shared" si="58"/>
        <v>3 Hours 3 Minutes</v>
      </c>
      <c r="X957" t="str">
        <f t="shared" si="59"/>
        <v>Long Time Login</v>
      </c>
      <c r="AA957" s="35" t="s">
        <v>1247</v>
      </c>
      <c r="AB957" s="35" t="s">
        <v>119</v>
      </c>
      <c r="AC957" s="35">
        <v>82</v>
      </c>
      <c r="AD957" s="35">
        <v>69</v>
      </c>
      <c r="AE957" s="35" t="s">
        <v>45</v>
      </c>
      <c r="AF957" s="35">
        <v>0</v>
      </c>
      <c r="AH957" s="35" t="s">
        <v>27</v>
      </c>
    </row>
    <row r="958" spans="1:34">
      <c r="A958" t="s">
        <v>1248</v>
      </c>
      <c r="B958" t="s">
        <v>364</v>
      </c>
      <c r="C958">
        <v>21</v>
      </c>
      <c r="D958" t="s">
        <v>21</v>
      </c>
      <c r="E958" t="s">
        <v>113</v>
      </c>
      <c r="F958" t="s">
        <v>53</v>
      </c>
      <c r="G958" t="s">
        <v>54</v>
      </c>
      <c r="H958">
        <v>95</v>
      </c>
      <c r="I958">
        <v>82</v>
      </c>
      <c r="J958" t="s">
        <v>59</v>
      </c>
      <c r="K958">
        <v>12000</v>
      </c>
      <c r="L958">
        <v>12390</v>
      </c>
      <c r="M958">
        <v>0</v>
      </c>
      <c r="N958" t="s">
        <v>11</v>
      </c>
      <c r="O958" t="s">
        <v>27</v>
      </c>
      <c r="P958" s="1">
        <v>45988</v>
      </c>
      <c r="Q958" s="1">
        <v>46018</v>
      </c>
      <c r="R958" s="2">
        <v>0.33680555555555558</v>
      </c>
      <c r="S958" s="2">
        <v>0.51666666666666672</v>
      </c>
      <c r="T958" t="str" cm="1">
        <f t="array" ref="T958">_xlfn.IFS(H958&gt;=90,"A",H958&gt;=75,"B",H958&gt;=60,"C",H958&lt;60,"D")</f>
        <v>A</v>
      </c>
      <c r="U958" t="str">
        <f t="shared" si="56"/>
        <v>08:05 AM</v>
      </c>
      <c r="V958" t="str">
        <f t="shared" si="57"/>
        <v>On Time</v>
      </c>
      <c r="W958" t="str">
        <f t="shared" si="58"/>
        <v>4 Hours 19 Minutes</v>
      </c>
      <c r="X958" t="str">
        <f t="shared" si="59"/>
        <v>Short Time Login</v>
      </c>
      <c r="AA958" s="34" t="s">
        <v>1248</v>
      </c>
      <c r="AB958" s="34" t="s">
        <v>364</v>
      </c>
      <c r="AC958" s="34">
        <v>95</v>
      </c>
      <c r="AD958" s="34">
        <v>82</v>
      </c>
      <c r="AE958" s="34" t="s">
        <v>59</v>
      </c>
      <c r="AF958" s="34">
        <v>0</v>
      </c>
      <c r="AH958" s="34" t="s">
        <v>27</v>
      </c>
    </row>
    <row r="959" spans="1:34">
      <c r="A959" t="s">
        <v>1249</v>
      </c>
      <c r="B959" t="s">
        <v>169</v>
      </c>
      <c r="C959">
        <v>18</v>
      </c>
      <c r="D959" t="s">
        <v>21</v>
      </c>
      <c r="E959" t="s">
        <v>62</v>
      </c>
      <c r="F959" t="s">
        <v>63</v>
      </c>
      <c r="G959" t="s">
        <v>64</v>
      </c>
      <c r="H959">
        <v>83</v>
      </c>
      <c r="I959">
        <v>78</v>
      </c>
      <c r="J959" t="s">
        <v>45</v>
      </c>
      <c r="K959">
        <v>15000</v>
      </c>
      <c r="L959">
        <v>17700</v>
      </c>
      <c r="M959">
        <v>0</v>
      </c>
      <c r="N959" t="s">
        <v>11</v>
      </c>
      <c r="O959" t="s">
        <v>27</v>
      </c>
      <c r="P959" s="1">
        <v>45859</v>
      </c>
      <c r="Q959" s="1">
        <v>46039</v>
      </c>
      <c r="R959" s="2">
        <v>0.40902777777777777</v>
      </c>
      <c r="S959" s="2">
        <v>0.53611111111111109</v>
      </c>
      <c r="T959" t="str" cm="1">
        <f t="array" ref="T959">_xlfn.IFS(H959&gt;=90,"A",H959&gt;=75,"B",H959&gt;=60,"C",H959&lt;60,"D")</f>
        <v>B</v>
      </c>
      <c r="U959" t="str">
        <f t="shared" si="56"/>
        <v>09:49 AM</v>
      </c>
      <c r="V959" t="str">
        <f t="shared" si="57"/>
        <v>Delayed</v>
      </c>
      <c r="W959" t="str">
        <f t="shared" si="58"/>
        <v>3 Hours 3 Minutes</v>
      </c>
      <c r="X959" t="str">
        <f t="shared" si="59"/>
        <v>Short Time Login</v>
      </c>
      <c r="AA959" s="35" t="s">
        <v>1249</v>
      </c>
      <c r="AB959" s="35" t="s">
        <v>169</v>
      </c>
      <c r="AC959" s="35">
        <v>83</v>
      </c>
      <c r="AD959" s="35">
        <v>78</v>
      </c>
      <c r="AE959" s="35" t="s">
        <v>45</v>
      </c>
      <c r="AF959" s="35">
        <v>0</v>
      </c>
      <c r="AH959" s="35" t="s">
        <v>27</v>
      </c>
    </row>
    <row r="960" spans="1:34">
      <c r="A960" t="s">
        <v>1250</v>
      </c>
      <c r="B960" t="s">
        <v>295</v>
      </c>
      <c r="C960">
        <v>27</v>
      </c>
      <c r="D960" t="s">
        <v>35</v>
      </c>
      <c r="E960" t="s">
        <v>62</v>
      </c>
      <c r="F960" t="s">
        <v>49</v>
      </c>
      <c r="G960" t="s">
        <v>50</v>
      </c>
      <c r="H960">
        <v>84</v>
      </c>
      <c r="I960">
        <v>87</v>
      </c>
      <c r="J960" t="s">
        <v>45</v>
      </c>
      <c r="K960">
        <v>18000</v>
      </c>
      <c r="L960">
        <v>19470</v>
      </c>
      <c r="M960">
        <v>0</v>
      </c>
      <c r="N960" t="s">
        <v>11</v>
      </c>
      <c r="O960" t="s">
        <v>27</v>
      </c>
      <c r="P960" s="1">
        <v>45894</v>
      </c>
      <c r="Q960" s="1">
        <v>45954</v>
      </c>
      <c r="R960" s="2">
        <v>0.4152777777777778</v>
      </c>
      <c r="S960" s="2">
        <v>0.54027777777777775</v>
      </c>
      <c r="T960" t="str" cm="1">
        <f t="array" ref="T960">_xlfn.IFS(H960&gt;=90,"A",H960&gt;=75,"B",H960&gt;=60,"C",H960&lt;60,"D")</f>
        <v>B</v>
      </c>
      <c r="U960" t="str">
        <f t="shared" si="56"/>
        <v>09:58 AM</v>
      </c>
      <c r="V960" t="str">
        <f t="shared" si="57"/>
        <v>On Time</v>
      </c>
      <c r="W960" t="str">
        <f t="shared" si="58"/>
        <v>3 Hours 0 Minutes</v>
      </c>
      <c r="X960" t="str">
        <f t="shared" si="59"/>
        <v>Short Time Login</v>
      </c>
      <c r="AA960" s="34" t="s">
        <v>1250</v>
      </c>
      <c r="AB960" s="34" t="s">
        <v>295</v>
      </c>
      <c r="AC960" s="34">
        <v>84</v>
      </c>
      <c r="AD960" s="34">
        <v>87</v>
      </c>
      <c r="AE960" s="34" t="s">
        <v>45</v>
      </c>
      <c r="AF960" s="34">
        <v>0</v>
      </c>
      <c r="AH960" s="34" t="s">
        <v>27</v>
      </c>
    </row>
    <row r="961" spans="1:34">
      <c r="A961" t="s">
        <v>1251</v>
      </c>
      <c r="B961" t="s">
        <v>334</v>
      </c>
      <c r="C961">
        <v>27</v>
      </c>
      <c r="D961" t="s">
        <v>21</v>
      </c>
      <c r="E961" t="s">
        <v>62</v>
      </c>
      <c r="F961" t="s">
        <v>53</v>
      </c>
      <c r="G961" t="s">
        <v>54</v>
      </c>
      <c r="H961">
        <v>44</v>
      </c>
      <c r="I961">
        <v>67</v>
      </c>
      <c r="J961" t="s">
        <v>25</v>
      </c>
      <c r="K961">
        <v>15000</v>
      </c>
      <c r="L961">
        <v>17110</v>
      </c>
      <c r="M961">
        <v>0</v>
      </c>
      <c r="N961" t="s">
        <v>11</v>
      </c>
      <c r="O961" t="s">
        <v>27</v>
      </c>
      <c r="P961" s="1">
        <v>45878</v>
      </c>
      <c r="Q961" s="1">
        <v>46058</v>
      </c>
      <c r="R961" s="2">
        <v>0.44097222222222221</v>
      </c>
      <c r="S961" s="2">
        <v>0.62777777777777777</v>
      </c>
      <c r="T961" t="str" cm="1">
        <f t="array" ref="T961">_xlfn.IFS(H961&gt;=90,"A",H961&gt;=75,"B",H961&gt;=60,"C",H961&lt;60,"D")</f>
        <v>D</v>
      </c>
      <c r="U961" t="str">
        <f t="shared" si="56"/>
        <v>10:35 AM</v>
      </c>
      <c r="V961" t="str">
        <f t="shared" si="57"/>
        <v>Delayed</v>
      </c>
      <c r="W961" t="str">
        <f t="shared" si="58"/>
        <v>4 Hours 29 Minutes</v>
      </c>
      <c r="X961" t="str">
        <f t="shared" si="59"/>
        <v>Long Time Login</v>
      </c>
      <c r="AA961" s="35" t="s">
        <v>1251</v>
      </c>
      <c r="AB961" s="35" t="s">
        <v>334</v>
      </c>
      <c r="AC961" s="35">
        <v>44</v>
      </c>
      <c r="AD961" s="35">
        <v>67</v>
      </c>
      <c r="AE961" s="35" t="s">
        <v>25</v>
      </c>
      <c r="AF961" s="35">
        <v>0</v>
      </c>
      <c r="AH961" s="35" t="s">
        <v>27</v>
      </c>
    </row>
    <row r="962" spans="1:34">
      <c r="A962" t="s">
        <v>1252</v>
      </c>
      <c r="B962" t="s">
        <v>160</v>
      </c>
      <c r="C962">
        <v>18</v>
      </c>
      <c r="D962" t="s">
        <v>21</v>
      </c>
      <c r="E962" t="s">
        <v>22</v>
      </c>
      <c r="F962" t="s">
        <v>31</v>
      </c>
      <c r="G962" t="s">
        <v>32</v>
      </c>
      <c r="H962">
        <v>43</v>
      </c>
      <c r="I962">
        <v>82</v>
      </c>
      <c r="J962" t="s">
        <v>25</v>
      </c>
      <c r="K962">
        <v>15000</v>
      </c>
      <c r="L962">
        <v>17700</v>
      </c>
      <c r="M962">
        <v>0</v>
      </c>
      <c r="N962" t="s">
        <v>11</v>
      </c>
      <c r="O962" t="s">
        <v>27</v>
      </c>
      <c r="P962" s="1">
        <v>45662</v>
      </c>
      <c r="Q962" s="1">
        <v>45692</v>
      </c>
      <c r="R962" s="2">
        <v>0.45</v>
      </c>
      <c r="S962" s="2">
        <v>0.49166666666666664</v>
      </c>
      <c r="T962" t="str" cm="1">
        <f t="array" ref="T962">_xlfn.IFS(H962&gt;=90,"A",H962&gt;=75,"B",H962&gt;=60,"C",H962&lt;60,"D")</f>
        <v>D</v>
      </c>
      <c r="U962" t="str">
        <f t="shared" ref="U962:U1001" si="60">TEXT(R962,"hh:mm AM/PM")</f>
        <v>10:48 AM</v>
      </c>
      <c r="V962" t="str">
        <f t="shared" ref="V962:V1001" si="61">IF(_xlfn.DAYS(Q962,P962)&lt;=90,"On Time","Delayed")</f>
        <v>On Time</v>
      </c>
      <c r="W962" t="str">
        <f t="shared" ref="W962:W1001" si="62">HOUR(S962-R962)&amp;" Hours "&amp;MINUTE(S962-R962)&amp;" Minutes"</f>
        <v>1 Hours 0 Minutes</v>
      </c>
      <c r="X962" t="str">
        <f t="shared" ref="X962:X1001" si="63">IF(R962&gt;TIME(10,0,0),"Long Time Login","Short Time Login")</f>
        <v>Long Time Login</v>
      </c>
      <c r="AA962" s="34" t="s">
        <v>1252</v>
      </c>
      <c r="AB962" s="34" t="s">
        <v>160</v>
      </c>
      <c r="AC962" s="34">
        <v>43</v>
      </c>
      <c r="AD962" s="34">
        <v>82</v>
      </c>
      <c r="AE962" s="34" t="s">
        <v>25</v>
      </c>
      <c r="AF962" s="34">
        <v>0</v>
      </c>
      <c r="AH962" s="34" t="s">
        <v>27</v>
      </c>
    </row>
    <row r="963" spans="1:34">
      <c r="A963" t="s">
        <v>1253</v>
      </c>
      <c r="B963" t="s">
        <v>667</v>
      </c>
      <c r="C963">
        <v>28</v>
      </c>
      <c r="D963" t="s">
        <v>35</v>
      </c>
      <c r="E963" t="s">
        <v>36</v>
      </c>
      <c r="F963" t="s">
        <v>63</v>
      </c>
      <c r="G963" t="s">
        <v>64</v>
      </c>
      <c r="H963">
        <v>50</v>
      </c>
      <c r="I963">
        <v>61</v>
      </c>
      <c r="J963" t="s">
        <v>25</v>
      </c>
      <c r="K963">
        <v>20000</v>
      </c>
      <c r="L963">
        <v>21830</v>
      </c>
      <c r="M963">
        <v>0</v>
      </c>
      <c r="N963" t="s">
        <v>11</v>
      </c>
      <c r="O963" t="s">
        <v>27</v>
      </c>
      <c r="P963" s="1">
        <v>45718</v>
      </c>
      <c r="Q963" s="1">
        <v>45898</v>
      </c>
      <c r="R963" s="2">
        <v>0.44305555555555554</v>
      </c>
      <c r="S963" s="2">
        <v>0.52916666666666667</v>
      </c>
      <c r="T963" t="str" cm="1">
        <f t="array" ref="T963">_xlfn.IFS(H963&gt;=90,"A",H963&gt;=75,"B",H963&gt;=60,"C",H963&lt;60,"D")</f>
        <v>D</v>
      </c>
      <c r="U963" t="str">
        <f t="shared" si="60"/>
        <v>10:38 AM</v>
      </c>
      <c r="V963" t="str">
        <f t="shared" si="61"/>
        <v>Delayed</v>
      </c>
      <c r="W963" t="str">
        <f t="shared" si="62"/>
        <v>2 Hours 4 Minutes</v>
      </c>
      <c r="X963" t="str">
        <f t="shared" si="63"/>
        <v>Long Time Login</v>
      </c>
      <c r="AA963" s="35" t="s">
        <v>1253</v>
      </c>
      <c r="AB963" s="35" t="s">
        <v>667</v>
      </c>
      <c r="AC963" s="35">
        <v>50</v>
      </c>
      <c r="AD963" s="35">
        <v>61</v>
      </c>
      <c r="AE963" s="35" t="s">
        <v>25</v>
      </c>
      <c r="AF963" s="35">
        <v>0</v>
      </c>
      <c r="AH963" s="35" t="s">
        <v>27</v>
      </c>
    </row>
    <row r="964" spans="1:34">
      <c r="A964" t="s">
        <v>1254</v>
      </c>
      <c r="B964" t="s">
        <v>664</v>
      </c>
      <c r="C964">
        <v>27</v>
      </c>
      <c r="D964" t="s">
        <v>35</v>
      </c>
      <c r="E964" t="s">
        <v>73</v>
      </c>
      <c r="F964" t="s">
        <v>53</v>
      </c>
      <c r="G964" t="s">
        <v>54</v>
      </c>
      <c r="H964">
        <v>41</v>
      </c>
      <c r="I964">
        <v>63</v>
      </c>
      <c r="J964" t="s">
        <v>25</v>
      </c>
      <c r="K964">
        <v>12000</v>
      </c>
      <c r="L964">
        <v>10980</v>
      </c>
      <c r="M964">
        <v>2000</v>
      </c>
      <c r="N964" t="s">
        <v>26</v>
      </c>
      <c r="O964" t="s">
        <v>27</v>
      </c>
      <c r="P964" s="1">
        <v>45834</v>
      </c>
      <c r="Q964" s="1">
        <v>45924</v>
      </c>
      <c r="R964" s="2">
        <v>0.34027777777777779</v>
      </c>
      <c r="S964" s="2">
        <v>0.39305555555555555</v>
      </c>
      <c r="T964" t="str" cm="1">
        <f t="array" ref="T964">_xlfn.IFS(H964&gt;=90,"A",H964&gt;=75,"B",H964&gt;=60,"C",H964&lt;60,"D")</f>
        <v>D</v>
      </c>
      <c r="U964" t="str">
        <f t="shared" si="60"/>
        <v>08:10 AM</v>
      </c>
      <c r="V964" t="str">
        <f t="shared" si="61"/>
        <v>On Time</v>
      </c>
      <c r="W964" t="str">
        <f t="shared" si="62"/>
        <v>1 Hours 16 Minutes</v>
      </c>
      <c r="X964" t="str">
        <f t="shared" si="63"/>
        <v>Short Time Login</v>
      </c>
      <c r="AA964" s="34" t="s">
        <v>1254</v>
      </c>
      <c r="AB964" s="34" t="s">
        <v>664</v>
      </c>
      <c r="AC964" s="34">
        <v>41</v>
      </c>
      <c r="AD964" s="34">
        <v>63</v>
      </c>
      <c r="AE964" s="34" t="s">
        <v>25</v>
      </c>
      <c r="AF964" s="34">
        <v>2000</v>
      </c>
      <c r="AH964" s="34" t="s">
        <v>27</v>
      </c>
    </row>
    <row r="965" spans="1:34">
      <c r="A965" t="s">
        <v>1255</v>
      </c>
      <c r="B965" t="s">
        <v>181</v>
      </c>
      <c r="C965">
        <v>28</v>
      </c>
      <c r="D965" t="s">
        <v>21</v>
      </c>
      <c r="E965" t="s">
        <v>22</v>
      </c>
      <c r="F965" t="s">
        <v>31</v>
      </c>
      <c r="G965" t="s">
        <v>32</v>
      </c>
      <c r="H965">
        <v>66</v>
      </c>
      <c r="I965">
        <v>98</v>
      </c>
      <c r="J965" t="s">
        <v>68</v>
      </c>
      <c r="K965">
        <v>12000</v>
      </c>
      <c r="L965">
        <v>10160</v>
      </c>
      <c r="M965">
        <v>4000</v>
      </c>
      <c r="N965" t="s">
        <v>26</v>
      </c>
      <c r="O965" t="s">
        <v>27</v>
      </c>
      <c r="P965" s="1">
        <v>45905</v>
      </c>
      <c r="Q965" s="1">
        <v>46085</v>
      </c>
      <c r="R965" s="2">
        <v>0.37777777777777777</v>
      </c>
      <c r="S965" s="2">
        <v>0.52013888888888893</v>
      </c>
      <c r="T965" t="str" cm="1">
        <f t="array" ref="T965">_xlfn.IFS(H965&gt;=90,"A",H965&gt;=75,"B",H965&gt;=60,"C",H965&lt;60,"D")</f>
        <v>C</v>
      </c>
      <c r="U965" t="str">
        <f t="shared" si="60"/>
        <v>09:04 AM</v>
      </c>
      <c r="V965" t="str">
        <f t="shared" si="61"/>
        <v>Delayed</v>
      </c>
      <c r="W965" t="str">
        <f t="shared" si="62"/>
        <v>3 Hours 25 Minutes</v>
      </c>
      <c r="X965" t="str">
        <f t="shared" si="63"/>
        <v>Short Time Login</v>
      </c>
      <c r="AA965" s="35" t="s">
        <v>1255</v>
      </c>
      <c r="AB965" s="35" t="s">
        <v>181</v>
      </c>
      <c r="AC965" s="35">
        <v>66</v>
      </c>
      <c r="AD965" s="35">
        <v>98</v>
      </c>
      <c r="AE965" s="35" t="s">
        <v>68</v>
      </c>
      <c r="AF965" s="35">
        <v>4000</v>
      </c>
      <c r="AH965" s="35" t="s">
        <v>27</v>
      </c>
    </row>
    <row r="966" spans="1:34">
      <c r="A966" t="s">
        <v>1256</v>
      </c>
      <c r="B966" t="s">
        <v>907</v>
      </c>
      <c r="C966">
        <v>25</v>
      </c>
      <c r="D966" t="s">
        <v>35</v>
      </c>
      <c r="E966" t="s">
        <v>67</v>
      </c>
      <c r="F966" t="s">
        <v>31</v>
      </c>
      <c r="G966" t="s">
        <v>32</v>
      </c>
      <c r="H966">
        <v>60</v>
      </c>
      <c r="I966">
        <v>60</v>
      </c>
      <c r="J966" t="s">
        <v>68</v>
      </c>
      <c r="K966">
        <v>20000</v>
      </c>
      <c r="L966">
        <v>22420</v>
      </c>
      <c r="M966">
        <v>0</v>
      </c>
      <c r="N966" t="s">
        <v>11</v>
      </c>
      <c r="O966" t="s">
        <v>127</v>
      </c>
      <c r="P966" s="1">
        <v>45724</v>
      </c>
      <c r="Q966" s="1">
        <v>45844</v>
      </c>
      <c r="R966" s="2">
        <v>0.38194444444444442</v>
      </c>
      <c r="S966" s="2">
        <v>0.57361111111111107</v>
      </c>
      <c r="T966" t="str" cm="1">
        <f t="array" ref="T966">_xlfn.IFS(H966&gt;=90,"A",H966&gt;=75,"B",H966&gt;=60,"C",H966&lt;60,"D")</f>
        <v>C</v>
      </c>
      <c r="U966" t="str">
        <f t="shared" si="60"/>
        <v>09:10 AM</v>
      </c>
      <c r="V966" t="str">
        <f t="shared" si="61"/>
        <v>Delayed</v>
      </c>
      <c r="W966" t="str">
        <f t="shared" si="62"/>
        <v>4 Hours 36 Minutes</v>
      </c>
      <c r="X966" t="str">
        <f t="shared" si="63"/>
        <v>Short Time Login</v>
      </c>
      <c r="AA966" s="34" t="s">
        <v>1256</v>
      </c>
      <c r="AB966" s="34" t="s">
        <v>907</v>
      </c>
      <c r="AC966" s="34">
        <v>60</v>
      </c>
      <c r="AD966" s="34">
        <v>60</v>
      </c>
      <c r="AE966" s="34" t="s">
        <v>68</v>
      </c>
      <c r="AF966" s="34">
        <v>0</v>
      </c>
      <c r="AH966" s="34" t="s">
        <v>127</v>
      </c>
    </row>
    <row r="967" spans="1:34">
      <c r="A967" t="s">
        <v>1257</v>
      </c>
      <c r="B967" t="s">
        <v>449</v>
      </c>
      <c r="C967">
        <v>18</v>
      </c>
      <c r="D967" t="s">
        <v>35</v>
      </c>
      <c r="E967" t="s">
        <v>96</v>
      </c>
      <c r="F967" t="s">
        <v>53</v>
      </c>
      <c r="G967" t="s">
        <v>54</v>
      </c>
      <c r="H967">
        <v>64</v>
      </c>
      <c r="I967">
        <v>61</v>
      </c>
      <c r="J967" t="s">
        <v>68</v>
      </c>
      <c r="K967">
        <v>20000</v>
      </c>
      <c r="L967">
        <v>21010</v>
      </c>
      <c r="M967">
        <v>2000</v>
      </c>
      <c r="N967" t="s">
        <v>26</v>
      </c>
      <c r="O967" t="s">
        <v>27</v>
      </c>
      <c r="P967" s="1">
        <v>45727</v>
      </c>
      <c r="Q967" s="1">
        <v>45787</v>
      </c>
      <c r="R967" s="2">
        <v>0.42222222222222222</v>
      </c>
      <c r="S967" s="2">
        <v>0.4909722222222222</v>
      </c>
      <c r="T967" t="str" cm="1">
        <f t="array" ref="T967">_xlfn.IFS(H967&gt;=90,"A",H967&gt;=75,"B",H967&gt;=60,"C",H967&lt;60,"D")</f>
        <v>C</v>
      </c>
      <c r="U967" t="str">
        <f t="shared" si="60"/>
        <v>10:08 AM</v>
      </c>
      <c r="V967" t="str">
        <f t="shared" si="61"/>
        <v>On Time</v>
      </c>
      <c r="W967" t="str">
        <f t="shared" si="62"/>
        <v>1 Hours 39 Minutes</v>
      </c>
      <c r="X967" t="str">
        <f t="shared" si="63"/>
        <v>Long Time Login</v>
      </c>
      <c r="AA967" s="35" t="s">
        <v>1257</v>
      </c>
      <c r="AB967" s="35" t="s">
        <v>449</v>
      </c>
      <c r="AC967" s="35">
        <v>64</v>
      </c>
      <c r="AD967" s="35">
        <v>61</v>
      </c>
      <c r="AE967" s="35" t="s">
        <v>68</v>
      </c>
      <c r="AF967" s="35">
        <v>2000</v>
      </c>
      <c r="AH967" s="35" t="s">
        <v>27</v>
      </c>
    </row>
    <row r="968" spans="1:34">
      <c r="A968" t="s">
        <v>1258</v>
      </c>
      <c r="B968" t="s">
        <v>266</v>
      </c>
      <c r="C968">
        <v>28</v>
      </c>
      <c r="D968" t="s">
        <v>35</v>
      </c>
      <c r="E968" t="s">
        <v>67</v>
      </c>
      <c r="F968" t="s">
        <v>31</v>
      </c>
      <c r="G968" t="s">
        <v>32</v>
      </c>
      <c r="H968">
        <v>57</v>
      </c>
      <c r="I968">
        <v>65</v>
      </c>
      <c r="J968" t="s">
        <v>25</v>
      </c>
      <c r="K968">
        <v>12000</v>
      </c>
      <c r="L968">
        <v>10160</v>
      </c>
      <c r="M968">
        <v>4000</v>
      </c>
      <c r="N968" t="s">
        <v>26</v>
      </c>
      <c r="O968" t="s">
        <v>27</v>
      </c>
      <c r="P968" s="1">
        <v>45717</v>
      </c>
      <c r="Q968" s="1">
        <v>45807</v>
      </c>
      <c r="R968" s="2">
        <v>0.45624999999999999</v>
      </c>
      <c r="S968" s="2">
        <v>0.66180555555555554</v>
      </c>
      <c r="T968" t="str" cm="1">
        <f t="array" ref="T968">_xlfn.IFS(H968&gt;=90,"A",H968&gt;=75,"B",H968&gt;=60,"C",H968&lt;60,"D")</f>
        <v>D</v>
      </c>
      <c r="U968" t="str">
        <f t="shared" si="60"/>
        <v>10:57 AM</v>
      </c>
      <c r="V968" t="str">
        <f t="shared" si="61"/>
        <v>On Time</v>
      </c>
      <c r="W968" t="str">
        <f t="shared" si="62"/>
        <v>4 Hours 56 Minutes</v>
      </c>
      <c r="X968" t="str">
        <f t="shared" si="63"/>
        <v>Long Time Login</v>
      </c>
      <c r="AA968" s="34" t="s">
        <v>1258</v>
      </c>
      <c r="AB968" s="34" t="s">
        <v>266</v>
      </c>
      <c r="AC968" s="34">
        <v>57</v>
      </c>
      <c r="AD968" s="34">
        <v>65</v>
      </c>
      <c r="AE968" s="34" t="s">
        <v>25</v>
      </c>
      <c r="AF968" s="34">
        <v>4000</v>
      </c>
      <c r="AH968" s="34" t="s">
        <v>27</v>
      </c>
    </row>
    <row r="969" spans="1:34">
      <c r="A969" t="s">
        <v>1259</v>
      </c>
      <c r="B969" t="s">
        <v>300</v>
      </c>
      <c r="C969">
        <v>18</v>
      </c>
      <c r="D969" t="s">
        <v>21</v>
      </c>
      <c r="E969" t="s">
        <v>22</v>
      </c>
      <c r="F969" t="s">
        <v>49</v>
      </c>
      <c r="G969" t="s">
        <v>50</v>
      </c>
      <c r="H969">
        <v>59</v>
      </c>
      <c r="I969">
        <v>87</v>
      </c>
      <c r="J969" t="s">
        <v>25</v>
      </c>
      <c r="K969">
        <v>15000</v>
      </c>
      <c r="L969">
        <v>13700</v>
      </c>
      <c r="M969">
        <v>4000</v>
      </c>
      <c r="N969" t="s">
        <v>26</v>
      </c>
      <c r="O969" t="s">
        <v>27</v>
      </c>
      <c r="P969" s="1">
        <v>46021</v>
      </c>
      <c r="Q969" s="1">
        <v>46051</v>
      </c>
      <c r="R969" s="2">
        <v>0.4236111111111111</v>
      </c>
      <c r="S969" s="2">
        <v>0.58680555555555558</v>
      </c>
      <c r="T969" t="str" cm="1">
        <f t="array" ref="T969">_xlfn.IFS(H969&gt;=90,"A",H969&gt;=75,"B",H969&gt;=60,"C",H969&lt;60,"D")</f>
        <v>D</v>
      </c>
      <c r="U969" t="str">
        <f t="shared" si="60"/>
        <v>10:10 AM</v>
      </c>
      <c r="V969" t="str">
        <f t="shared" si="61"/>
        <v>On Time</v>
      </c>
      <c r="W969" t="str">
        <f t="shared" si="62"/>
        <v>3 Hours 55 Minutes</v>
      </c>
      <c r="X969" t="str">
        <f t="shared" si="63"/>
        <v>Long Time Login</v>
      </c>
      <c r="AA969" s="35" t="s">
        <v>1259</v>
      </c>
      <c r="AB969" s="35" t="s">
        <v>300</v>
      </c>
      <c r="AC969" s="35">
        <v>59</v>
      </c>
      <c r="AD969" s="35">
        <v>87</v>
      </c>
      <c r="AE969" s="35" t="s">
        <v>25</v>
      </c>
      <c r="AF969" s="35">
        <v>4000</v>
      </c>
      <c r="AH969" s="35" t="s">
        <v>27</v>
      </c>
    </row>
    <row r="970" spans="1:34">
      <c r="A970" t="s">
        <v>1260</v>
      </c>
      <c r="B970" t="s">
        <v>250</v>
      </c>
      <c r="C970">
        <v>24</v>
      </c>
      <c r="D970" t="s">
        <v>21</v>
      </c>
      <c r="E970" t="s">
        <v>36</v>
      </c>
      <c r="F970" t="s">
        <v>40</v>
      </c>
      <c r="G970" t="s">
        <v>41</v>
      </c>
      <c r="H970">
        <v>85</v>
      </c>
      <c r="I970">
        <v>90</v>
      </c>
      <c r="J970" t="s">
        <v>45</v>
      </c>
      <c r="K970">
        <v>18000</v>
      </c>
      <c r="L970">
        <v>15470</v>
      </c>
      <c r="M970">
        <v>4000</v>
      </c>
      <c r="N970" t="s">
        <v>26</v>
      </c>
      <c r="O970" t="s">
        <v>27</v>
      </c>
      <c r="P970" s="1">
        <v>45965</v>
      </c>
      <c r="Q970" s="1">
        <v>46025</v>
      </c>
      <c r="R970" s="2">
        <v>0.41875000000000001</v>
      </c>
      <c r="S970" s="2">
        <v>0.61250000000000004</v>
      </c>
      <c r="T970" t="str" cm="1">
        <f t="array" ref="T970">_xlfn.IFS(H970&gt;=90,"A",H970&gt;=75,"B",H970&gt;=60,"C",H970&lt;60,"D")</f>
        <v>B</v>
      </c>
      <c r="U970" t="str">
        <f t="shared" si="60"/>
        <v>10:03 AM</v>
      </c>
      <c r="V970" t="str">
        <f t="shared" si="61"/>
        <v>On Time</v>
      </c>
      <c r="W970" t="str">
        <f t="shared" si="62"/>
        <v>4 Hours 39 Minutes</v>
      </c>
      <c r="X970" t="str">
        <f t="shared" si="63"/>
        <v>Long Time Login</v>
      </c>
      <c r="AA970" s="34" t="s">
        <v>1260</v>
      </c>
      <c r="AB970" s="34" t="s">
        <v>250</v>
      </c>
      <c r="AC970" s="34">
        <v>85</v>
      </c>
      <c r="AD970" s="34">
        <v>90</v>
      </c>
      <c r="AE970" s="34" t="s">
        <v>45</v>
      </c>
      <c r="AF970" s="34">
        <v>4000</v>
      </c>
      <c r="AH970" s="34" t="s">
        <v>27</v>
      </c>
    </row>
    <row r="971" spans="1:34">
      <c r="A971" t="s">
        <v>1261</v>
      </c>
      <c r="B971" t="s">
        <v>749</v>
      </c>
      <c r="C971">
        <v>21</v>
      </c>
      <c r="D971" t="s">
        <v>21</v>
      </c>
      <c r="E971" t="s">
        <v>62</v>
      </c>
      <c r="F971" t="s">
        <v>49</v>
      </c>
      <c r="G971" t="s">
        <v>50</v>
      </c>
      <c r="H971">
        <v>68</v>
      </c>
      <c r="I971">
        <v>81</v>
      </c>
      <c r="J971" t="s">
        <v>68</v>
      </c>
      <c r="K971">
        <v>12000</v>
      </c>
      <c r="L971">
        <v>10390</v>
      </c>
      <c r="M971">
        <v>2000</v>
      </c>
      <c r="N971" t="s">
        <v>26</v>
      </c>
      <c r="O971" t="s">
        <v>27</v>
      </c>
      <c r="P971" s="1">
        <v>46007</v>
      </c>
      <c r="Q971" s="1">
        <v>46067</v>
      </c>
      <c r="R971" s="2">
        <v>0.35902777777777778</v>
      </c>
      <c r="S971" s="2">
        <v>0.43055555555555558</v>
      </c>
      <c r="T971" t="str" cm="1">
        <f t="array" ref="T971">_xlfn.IFS(H971&gt;=90,"A",H971&gt;=75,"B",H971&gt;=60,"C",H971&lt;60,"D")</f>
        <v>C</v>
      </c>
      <c r="U971" t="str">
        <f t="shared" si="60"/>
        <v>08:37 AM</v>
      </c>
      <c r="V971" t="str">
        <f t="shared" si="61"/>
        <v>On Time</v>
      </c>
      <c r="W971" t="str">
        <f t="shared" si="62"/>
        <v>1 Hours 43 Minutes</v>
      </c>
      <c r="X971" t="str">
        <f t="shared" si="63"/>
        <v>Short Time Login</v>
      </c>
      <c r="AA971" s="35" t="s">
        <v>1261</v>
      </c>
      <c r="AB971" s="35" t="s">
        <v>749</v>
      </c>
      <c r="AC971" s="35">
        <v>68</v>
      </c>
      <c r="AD971" s="35">
        <v>81</v>
      </c>
      <c r="AE971" s="35" t="s">
        <v>68</v>
      </c>
      <c r="AF971" s="35">
        <v>2000</v>
      </c>
      <c r="AH971" s="35" t="s">
        <v>27</v>
      </c>
    </row>
    <row r="972" spans="1:34">
      <c r="A972" t="s">
        <v>1262</v>
      </c>
      <c r="B972" t="s">
        <v>476</v>
      </c>
      <c r="C972">
        <v>22</v>
      </c>
      <c r="D972" t="s">
        <v>21</v>
      </c>
      <c r="E972" t="s">
        <v>113</v>
      </c>
      <c r="F972" t="s">
        <v>31</v>
      </c>
      <c r="G972" t="s">
        <v>32</v>
      </c>
      <c r="H972">
        <v>76</v>
      </c>
      <c r="I972">
        <v>81</v>
      </c>
      <c r="J972" t="s">
        <v>45</v>
      </c>
      <c r="K972">
        <v>18000</v>
      </c>
      <c r="L972">
        <v>21240</v>
      </c>
      <c r="M972">
        <v>0</v>
      </c>
      <c r="N972" t="s">
        <v>11</v>
      </c>
      <c r="O972" t="s">
        <v>27</v>
      </c>
      <c r="P972" s="1">
        <v>45745</v>
      </c>
      <c r="Q972" s="1">
        <v>45865</v>
      </c>
      <c r="R972" s="2">
        <v>0.36458333333333331</v>
      </c>
      <c r="S972" s="2">
        <v>0.45555555555555555</v>
      </c>
      <c r="T972" t="str" cm="1">
        <f t="array" ref="T972">_xlfn.IFS(H972&gt;=90,"A",H972&gt;=75,"B",H972&gt;=60,"C",H972&lt;60,"D")</f>
        <v>B</v>
      </c>
      <c r="U972" t="str">
        <f t="shared" si="60"/>
        <v>08:45 AM</v>
      </c>
      <c r="V972" t="str">
        <f t="shared" si="61"/>
        <v>Delayed</v>
      </c>
      <c r="W972" t="str">
        <f t="shared" si="62"/>
        <v>2 Hours 11 Minutes</v>
      </c>
      <c r="X972" t="str">
        <f t="shared" si="63"/>
        <v>Short Time Login</v>
      </c>
      <c r="AA972" s="34" t="s">
        <v>1262</v>
      </c>
      <c r="AB972" s="34" t="s">
        <v>476</v>
      </c>
      <c r="AC972" s="34">
        <v>76</v>
      </c>
      <c r="AD972" s="34">
        <v>81</v>
      </c>
      <c r="AE972" s="34" t="s">
        <v>45</v>
      </c>
      <c r="AF972" s="34">
        <v>0</v>
      </c>
      <c r="AH972" s="34" t="s">
        <v>27</v>
      </c>
    </row>
    <row r="973" spans="1:34">
      <c r="A973" t="s">
        <v>1263</v>
      </c>
      <c r="B973" t="s">
        <v>181</v>
      </c>
      <c r="C973">
        <v>18</v>
      </c>
      <c r="D973" t="s">
        <v>21</v>
      </c>
      <c r="E973" t="s">
        <v>122</v>
      </c>
      <c r="F973" t="s">
        <v>31</v>
      </c>
      <c r="G973" t="s">
        <v>32</v>
      </c>
      <c r="H973">
        <v>37</v>
      </c>
      <c r="I973">
        <v>87</v>
      </c>
      <c r="J973" t="s">
        <v>25</v>
      </c>
      <c r="K973">
        <v>15000</v>
      </c>
      <c r="L973">
        <v>13110</v>
      </c>
      <c r="M973">
        <v>4000</v>
      </c>
      <c r="N973" t="s">
        <v>26</v>
      </c>
      <c r="O973" t="s">
        <v>27</v>
      </c>
      <c r="P973" s="1">
        <v>45868</v>
      </c>
      <c r="Q973" s="1">
        <v>45898</v>
      </c>
      <c r="R973" s="2">
        <v>0.39861111111111114</v>
      </c>
      <c r="S973" s="2">
        <v>0.57222222222222219</v>
      </c>
      <c r="T973" t="str" cm="1">
        <f t="array" ref="T973">_xlfn.IFS(H973&gt;=90,"A",H973&gt;=75,"B",H973&gt;=60,"C",H973&lt;60,"D")</f>
        <v>D</v>
      </c>
      <c r="U973" t="str">
        <f t="shared" si="60"/>
        <v>09:34 AM</v>
      </c>
      <c r="V973" t="str">
        <f t="shared" si="61"/>
        <v>On Time</v>
      </c>
      <c r="W973" t="str">
        <f t="shared" si="62"/>
        <v>4 Hours 10 Minutes</v>
      </c>
      <c r="X973" t="str">
        <f t="shared" si="63"/>
        <v>Short Time Login</v>
      </c>
      <c r="AA973" s="35" t="s">
        <v>1263</v>
      </c>
      <c r="AB973" s="35" t="s">
        <v>181</v>
      </c>
      <c r="AC973" s="35">
        <v>37</v>
      </c>
      <c r="AD973" s="35">
        <v>87</v>
      </c>
      <c r="AE973" s="35" t="s">
        <v>25</v>
      </c>
      <c r="AF973" s="35">
        <v>4000</v>
      </c>
      <c r="AH973" s="35" t="s">
        <v>27</v>
      </c>
    </row>
    <row r="974" spans="1:34">
      <c r="A974" t="s">
        <v>1264</v>
      </c>
      <c r="B974" t="s">
        <v>47</v>
      </c>
      <c r="C974">
        <v>27</v>
      </c>
      <c r="D974" t="s">
        <v>21</v>
      </c>
      <c r="E974" t="s">
        <v>122</v>
      </c>
      <c r="F974" t="s">
        <v>63</v>
      </c>
      <c r="G974" t="s">
        <v>64</v>
      </c>
      <c r="H974">
        <v>95</v>
      </c>
      <c r="I974">
        <v>72</v>
      </c>
      <c r="J974" t="s">
        <v>59</v>
      </c>
      <c r="K974">
        <v>12000</v>
      </c>
      <c r="L974">
        <v>8390</v>
      </c>
      <c r="M974">
        <v>4000</v>
      </c>
      <c r="N974" t="s">
        <v>26</v>
      </c>
      <c r="O974" t="s">
        <v>27</v>
      </c>
      <c r="P974" s="1">
        <v>45880</v>
      </c>
      <c r="Q974" s="1">
        <v>46000</v>
      </c>
      <c r="R974" s="2">
        <v>0.36666666666666664</v>
      </c>
      <c r="S974" s="2">
        <v>0.43819444444444444</v>
      </c>
      <c r="T974" t="str" cm="1">
        <f t="array" ref="T974">_xlfn.IFS(H974&gt;=90,"A",H974&gt;=75,"B",H974&gt;=60,"C",H974&lt;60,"D")</f>
        <v>A</v>
      </c>
      <c r="U974" t="str">
        <f t="shared" si="60"/>
        <v>08:48 AM</v>
      </c>
      <c r="V974" t="str">
        <f t="shared" si="61"/>
        <v>Delayed</v>
      </c>
      <c r="W974" t="str">
        <f t="shared" si="62"/>
        <v>1 Hours 43 Minutes</v>
      </c>
      <c r="X974" t="str">
        <f t="shared" si="63"/>
        <v>Short Time Login</v>
      </c>
      <c r="AA974" s="34" t="s">
        <v>1264</v>
      </c>
      <c r="AB974" s="34" t="s">
        <v>47</v>
      </c>
      <c r="AC974" s="34">
        <v>95</v>
      </c>
      <c r="AD974" s="34">
        <v>72</v>
      </c>
      <c r="AE974" s="34" t="s">
        <v>59</v>
      </c>
      <c r="AF974" s="34">
        <v>4000</v>
      </c>
      <c r="AH974" s="34" t="s">
        <v>27</v>
      </c>
    </row>
    <row r="975" spans="1:34">
      <c r="A975" t="s">
        <v>1265</v>
      </c>
      <c r="B975" t="s">
        <v>234</v>
      </c>
      <c r="C975">
        <v>19</v>
      </c>
      <c r="D975" t="s">
        <v>35</v>
      </c>
      <c r="E975" t="s">
        <v>36</v>
      </c>
      <c r="F975" t="s">
        <v>31</v>
      </c>
      <c r="G975" t="s">
        <v>32</v>
      </c>
      <c r="H975">
        <v>38</v>
      </c>
      <c r="I975">
        <v>92</v>
      </c>
      <c r="J975" t="s">
        <v>25</v>
      </c>
      <c r="K975">
        <v>20000</v>
      </c>
      <c r="L975">
        <v>19600</v>
      </c>
      <c r="M975">
        <v>4000</v>
      </c>
      <c r="N975" t="s">
        <v>26</v>
      </c>
      <c r="O975" t="s">
        <v>27</v>
      </c>
      <c r="P975" s="1">
        <v>45856</v>
      </c>
      <c r="Q975" s="1">
        <v>45946</v>
      </c>
      <c r="R975" s="2">
        <v>0.37430555555555556</v>
      </c>
      <c r="S975" s="2">
        <v>0.44027777777777777</v>
      </c>
      <c r="T975" t="str" cm="1">
        <f t="array" ref="T975">_xlfn.IFS(H975&gt;=90,"A",H975&gt;=75,"B",H975&gt;=60,"C",H975&lt;60,"D")</f>
        <v>D</v>
      </c>
      <c r="U975" t="str">
        <f t="shared" si="60"/>
        <v>08:59 AM</v>
      </c>
      <c r="V975" t="str">
        <f t="shared" si="61"/>
        <v>On Time</v>
      </c>
      <c r="W975" t="str">
        <f t="shared" si="62"/>
        <v>1 Hours 35 Minutes</v>
      </c>
      <c r="X975" t="str">
        <f t="shared" si="63"/>
        <v>Short Time Login</v>
      </c>
      <c r="AA975" s="35" t="s">
        <v>1265</v>
      </c>
      <c r="AB975" s="35" t="s">
        <v>234</v>
      </c>
      <c r="AC975" s="35">
        <v>38</v>
      </c>
      <c r="AD975" s="35">
        <v>92</v>
      </c>
      <c r="AE975" s="35" t="s">
        <v>25</v>
      </c>
      <c r="AF975" s="35">
        <v>4000</v>
      </c>
      <c r="AH975" s="35" t="s">
        <v>27</v>
      </c>
    </row>
    <row r="976" spans="1:34">
      <c r="A976" t="s">
        <v>1266</v>
      </c>
      <c r="B976" t="s">
        <v>969</v>
      </c>
      <c r="C976">
        <v>19</v>
      </c>
      <c r="D976" t="s">
        <v>35</v>
      </c>
      <c r="E976" t="s">
        <v>62</v>
      </c>
      <c r="F976" t="s">
        <v>23</v>
      </c>
      <c r="G976" t="s">
        <v>24</v>
      </c>
      <c r="H976">
        <v>80</v>
      </c>
      <c r="I976">
        <v>62</v>
      </c>
      <c r="J976" t="s">
        <v>45</v>
      </c>
      <c r="K976">
        <v>15000</v>
      </c>
      <c r="L976">
        <v>11930</v>
      </c>
      <c r="M976">
        <v>4000</v>
      </c>
      <c r="N976" t="s">
        <v>26</v>
      </c>
      <c r="O976" t="s">
        <v>27</v>
      </c>
      <c r="P976" s="1">
        <v>45868</v>
      </c>
      <c r="Q976" s="1">
        <v>46048</v>
      </c>
      <c r="R976" s="2">
        <v>0.42569444444444443</v>
      </c>
      <c r="S976" s="2">
        <v>0.48402777777777778</v>
      </c>
      <c r="T976" t="str" cm="1">
        <f t="array" ref="T976">_xlfn.IFS(H976&gt;=90,"A",H976&gt;=75,"B",H976&gt;=60,"C",H976&lt;60,"D")</f>
        <v>B</v>
      </c>
      <c r="U976" t="str">
        <f t="shared" si="60"/>
        <v>10:13 AM</v>
      </c>
      <c r="V976" t="str">
        <f t="shared" si="61"/>
        <v>Delayed</v>
      </c>
      <c r="W976" t="str">
        <f t="shared" si="62"/>
        <v>1 Hours 24 Minutes</v>
      </c>
      <c r="X976" t="str">
        <f t="shared" si="63"/>
        <v>Long Time Login</v>
      </c>
      <c r="AA976" s="34" t="s">
        <v>1266</v>
      </c>
      <c r="AB976" s="34" t="s">
        <v>969</v>
      </c>
      <c r="AC976" s="34">
        <v>80</v>
      </c>
      <c r="AD976" s="34">
        <v>62</v>
      </c>
      <c r="AE976" s="34" t="s">
        <v>45</v>
      </c>
      <c r="AF976" s="34">
        <v>4000</v>
      </c>
      <c r="AH976" s="34" t="s">
        <v>27</v>
      </c>
    </row>
    <row r="977" spans="1:34">
      <c r="A977" t="s">
        <v>1267</v>
      </c>
      <c r="B977" t="s">
        <v>351</v>
      </c>
      <c r="C977">
        <v>26</v>
      </c>
      <c r="D977" t="s">
        <v>35</v>
      </c>
      <c r="E977" t="s">
        <v>73</v>
      </c>
      <c r="F977" t="s">
        <v>63</v>
      </c>
      <c r="G977" t="s">
        <v>64</v>
      </c>
      <c r="H977">
        <v>100</v>
      </c>
      <c r="I977">
        <v>65</v>
      </c>
      <c r="J977" t="s">
        <v>59</v>
      </c>
      <c r="K977">
        <v>15000</v>
      </c>
      <c r="L977">
        <v>13700</v>
      </c>
      <c r="M977">
        <v>4000</v>
      </c>
      <c r="N977" t="s">
        <v>26</v>
      </c>
      <c r="O977" t="s">
        <v>27</v>
      </c>
      <c r="P977" s="1">
        <v>45713</v>
      </c>
      <c r="Q977" s="1">
        <v>45893</v>
      </c>
      <c r="R977" s="2">
        <v>0.33958333333333335</v>
      </c>
      <c r="S977" s="2">
        <v>0.45</v>
      </c>
      <c r="T977" t="str" cm="1">
        <f t="array" ref="T977">_xlfn.IFS(H977&gt;=90,"A",H977&gt;=75,"B",H977&gt;=60,"C",H977&lt;60,"D")</f>
        <v>A</v>
      </c>
      <c r="U977" t="str">
        <f t="shared" si="60"/>
        <v>08:09 AM</v>
      </c>
      <c r="V977" t="str">
        <f t="shared" si="61"/>
        <v>Delayed</v>
      </c>
      <c r="W977" t="str">
        <f t="shared" si="62"/>
        <v>2 Hours 39 Minutes</v>
      </c>
      <c r="X977" t="str">
        <f t="shared" si="63"/>
        <v>Short Time Login</v>
      </c>
      <c r="AA977" s="35" t="s">
        <v>1267</v>
      </c>
      <c r="AB977" s="35" t="s">
        <v>351</v>
      </c>
      <c r="AC977" s="35">
        <v>100</v>
      </c>
      <c r="AD977" s="35">
        <v>65</v>
      </c>
      <c r="AE977" s="35" t="s">
        <v>59</v>
      </c>
      <c r="AF977" s="35">
        <v>4000</v>
      </c>
      <c r="AH977" s="35" t="s">
        <v>27</v>
      </c>
    </row>
    <row r="978" spans="1:34">
      <c r="A978" t="s">
        <v>1268</v>
      </c>
      <c r="B978" t="s">
        <v>185</v>
      </c>
      <c r="C978">
        <v>27</v>
      </c>
      <c r="D978" t="s">
        <v>35</v>
      </c>
      <c r="E978" t="s">
        <v>113</v>
      </c>
      <c r="F978" t="s">
        <v>57</v>
      </c>
      <c r="G978" t="s">
        <v>58</v>
      </c>
      <c r="H978">
        <v>65</v>
      </c>
      <c r="I978">
        <v>64</v>
      </c>
      <c r="J978" t="s">
        <v>68</v>
      </c>
      <c r="K978">
        <v>10000</v>
      </c>
      <c r="L978">
        <v>7800</v>
      </c>
      <c r="M978">
        <v>4000</v>
      </c>
      <c r="N978" t="s">
        <v>26</v>
      </c>
      <c r="O978" t="s">
        <v>27</v>
      </c>
      <c r="P978" s="1">
        <v>45843</v>
      </c>
      <c r="Q978" s="1">
        <v>45873</v>
      </c>
      <c r="R978" s="2">
        <v>0.34930555555555554</v>
      </c>
      <c r="S978" s="2">
        <v>0.50694444444444442</v>
      </c>
      <c r="T978" t="str" cm="1">
        <f t="array" ref="T978">_xlfn.IFS(H978&gt;=90,"A",H978&gt;=75,"B",H978&gt;=60,"C",H978&lt;60,"D")</f>
        <v>C</v>
      </c>
      <c r="U978" t="str">
        <f t="shared" si="60"/>
        <v>08:23 AM</v>
      </c>
      <c r="V978" t="str">
        <f t="shared" si="61"/>
        <v>On Time</v>
      </c>
      <c r="W978" t="str">
        <f t="shared" si="62"/>
        <v>3 Hours 47 Minutes</v>
      </c>
      <c r="X978" t="str">
        <f t="shared" si="63"/>
        <v>Short Time Login</v>
      </c>
      <c r="AA978" s="34" t="s">
        <v>1268</v>
      </c>
      <c r="AB978" s="34" t="s">
        <v>185</v>
      </c>
      <c r="AC978" s="34">
        <v>65</v>
      </c>
      <c r="AD978" s="34">
        <v>64</v>
      </c>
      <c r="AE978" s="34" t="s">
        <v>68</v>
      </c>
      <c r="AF978" s="34">
        <v>4000</v>
      </c>
      <c r="AH978" s="34" t="s">
        <v>27</v>
      </c>
    </row>
    <row r="979" spans="1:34">
      <c r="A979" t="s">
        <v>1269</v>
      </c>
      <c r="B979" t="s">
        <v>119</v>
      </c>
      <c r="C979">
        <v>23</v>
      </c>
      <c r="D979" t="s">
        <v>35</v>
      </c>
      <c r="E979" t="s">
        <v>48</v>
      </c>
      <c r="F979" t="s">
        <v>31</v>
      </c>
      <c r="G979" t="s">
        <v>32</v>
      </c>
      <c r="H979">
        <v>95</v>
      </c>
      <c r="I979">
        <v>77</v>
      </c>
      <c r="J979" t="s">
        <v>59</v>
      </c>
      <c r="K979">
        <v>12000</v>
      </c>
      <c r="L979">
        <v>10160</v>
      </c>
      <c r="M979">
        <v>4000</v>
      </c>
      <c r="N979" t="s">
        <v>26</v>
      </c>
      <c r="O979" t="s">
        <v>27</v>
      </c>
      <c r="P979" s="1">
        <v>45893</v>
      </c>
      <c r="Q979" s="1">
        <v>46073</v>
      </c>
      <c r="R979" s="2">
        <v>0.42777777777777776</v>
      </c>
      <c r="S979" s="2">
        <v>0.47013888888888888</v>
      </c>
      <c r="T979" t="str" cm="1">
        <f t="array" ref="T979">_xlfn.IFS(H979&gt;=90,"A",H979&gt;=75,"B",H979&gt;=60,"C",H979&lt;60,"D")</f>
        <v>A</v>
      </c>
      <c r="U979" t="str">
        <f t="shared" si="60"/>
        <v>10:16 AM</v>
      </c>
      <c r="V979" t="str">
        <f t="shared" si="61"/>
        <v>Delayed</v>
      </c>
      <c r="W979" t="str">
        <f t="shared" si="62"/>
        <v>1 Hours 1 Minutes</v>
      </c>
      <c r="X979" t="str">
        <f t="shared" si="63"/>
        <v>Long Time Login</v>
      </c>
      <c r="AA979" s="35" t="s">
        <v>1269</v>
      </c>
      <c r="AB979" s="35" t="s">
        <v>119</v>
      </c>
      <c r="AC979" s="35">
        <v>95</v>
      </c>
      <c r="AD979" s="35">
        <v>77</v>
      </c>
      <c r="AE979" s="35" t="s">
        <v>59</v>
      </c>
      <c r="AF979" s="35">
        <v>4000</v>
      </c>
      <c r="AH979" s="35" t="s">
        <v>27</v>
      </c>
    </row>
    <row r="980" spans="1:34">
      <c r="A980" t="s">
        <v>1270</v>
      </c>
      <c r="B980" t="s">
        <v>681</v>
      </c>
      <c r="C980">
        <v>23</v>
      </c>
      <c r="D980" t="s">
        <v>35</v>
      </c>
      <c r="E980" t="s">
        <v>96</v>
      </c>
      <c r="F980" t="s">
        <v>40</v>
      </c>
      <c r="G980" t="s">
        <v>41</v>
      </c>
      <c r="H980">
        <v>69</v>
      </c>
      <c r="I980">
        <v>60</v>
      </c>
      <c r="J980" t="s">
        <v>68</v>
      </c>
      <c r="K980">
        <v>18000</v>
      </c>
      <c r="L980">
        <v>19470</v>
      </c>
      <c r="M980">
        <v>0</v>
      </c>
      <c r="N980" t="s">
        <v>11</v>
      </c>
      <c r="O980" t="s">
        <v>127</v>
      </c>
      <c r="P980" s="1">
        <v>45733</v>
      </c>
      <c r="Q980" s="1">
        <v>45913</v>
      </c>
      <c r="R980" s="2">
        <v>0.36041666666666666</v>
      </c>
      <c r="S980" s="2">
        <v>0.53472222222222221</v>
      </c>
      <c r="T980" t="str" cm="1">
        <f t="array" ref="T980">_xlfn.IFS(H980&gt;=90,"A",H980&gt;=75,"B",H980&gt;=60,"C",H980&lt;60,"D")</f>
        <v>C</v>
      </c>
      <c r="U980" t="str">
        <f t="shared" si="60"/>
        <v>08:39 AM</v>
      </c>
      <c r="V980" t="str">
        <f t="shared" si="61"/>
        <v>Delayed</v>
      </c>
      <c r="W980" t="str">
        <f t="shared" si="62"/>
        <v>4 Hours 11 Minutes</v>
      </c>
      <c r="X980" t="str">
        <f t="shared" si="63"/>
        <v>Short Time Login</v>
      </c>
      <c r="AA980" s="34" t="s">
        <v>1270</v>
      </c>
      <c r="AB980" s="34" t="s">
        <v>681</v>
      </c>
      <c r="AC980" s="34">
        <v>69</v>
      </c>
      <c r="AD980" s="34">
        <v>60</v>
      </c>
      <c r="AE980" s="34" t="s">
        <v>68</v>
      </c>
      <c r="AF980" s="34">
        <v>0</v>
      </c>
      <c r="AH980" s="34" t="s">
        <v>127</v>
      </c>
    </row>
    <row r="981" spans="1:34">
      <c r="A981" t="s">
        <v>1271</v>
      </c>
      <c r="B981" t="s">
        <v>329</v>
      </c>
      <c r="C981">
        <v>18</v>
      </c>
      <c r="D981" t="s">
        <v>21</v>
      </c>
      <c r="E981" t="s">
        <v>122</v>
      </c>
      <c r="F981" t="s">
        <v>88</v>
      </c>
      <c r="G981" t="s">
        <v>89</v>
      </c>
      <c r="H981">
        <v>56</v>
      </c>
      <c r="I981">
        <v>75</v>
      </c>
      <c r="J981" t="s">
        <v>25</v>
      </c>
      <c r="K981">
        <v>20000</v>
      </c>
      <c r="L981">
        <v>17830</v>
      </c>
      <c r="M981">
        <v>4000</v>
      </c>
      <c r="N981" t="s">
        <v>26</v>
      </c>
      <c r="O981" t="s">
        <v>27</v>
      </c>
      <c r="P981" s="1">
        <v>45713</v>
      </c>
      <c r="Q981" s="1">
        <v>45773</v>
      </c>
      <c r="R981" s="2">
        <v>0.45069444444444445</v>
      </c>
      <c r="S981" s="2">
        <v>0.57708333333333328</v>
      </c>
      <c r="T981" t="str" cm="1">
        <f t="array" ref="T981">_xlfn.IFS(H981&gt;=90,"A",H981&gt;=75,"B",H981&gt;=60,"C",H981&lt;60,"D")</f>
        <v>D</v>
      </c>
      <c r="U981" t="str">
        <f t="shared" si="60"/>
        <v>10:49 AM</v>
      </c>
      <c r="V981" t="str">
        <f t="shared" si="61"/>
        <v>On Time</v>
      </c>
      <c r="W981" t="str">
        <f t="shared" si="62"/>
        <v>3 Hours 2 Minutes</v>
      </c>
      <c r="X981" t="str">
        <f t="shared" si="63"/>
        <v>Long Time Login</v>
      </c>
      <c r="AA981" s="35" t="s">
        <v>1271</v>
      </c>
      <c r="AB981" s="35" t="s">
        <v>329</v>
      </c>
      <c r="AC981" s="35">
        <v>56</v>
      </c>
      <c r="AD981" s="35">
        <v>75</v>
      </c>
      <c r="AE981" s="35" t="s">
        <v>25</v>
      </c>
      <c r="AF981" s="35">
        <v>4000</v>
      </c>
      <c r="AH981" s="35" t="s">
        <v>27</v>
      </c>
    </row>
    <row r="982" spans="1:34">
      <c r="A982" t="s">
        <v>1272</v>
      </c>
      <c r="B982" t="s">
        <v>1273</v>
      </c>
      <c r="C982">
        <v>25</v>
      </c>
      <c r="D982" t="s">
        <v>35</v>
      </c>
      <c r="E982" t="s">
        <v>113</v>
      </c>
      <c r="F982" t="s">
        <v>88</v>
      </c>
      <c r="G982" t="s">
        <v>89</v>
      </c>
      <c r="H982">
        <v>66</v>
      </c>
      <c r="I982">
        <v>95</v>
      </c>
      <c r="J982" t="s">
        <v>68</v>
      </c>
      <c r="K982">
        <v>18000</v>
      </c>
      <c r="L982">
        <v>17240</v>
      </c>
      <c r="M982">
        <v>4000</v>
      </c>
      <c r="N982" t="s">
        <v>26</v>
      </c>
      <c r="O982" t="s">
        <v>27</v>
      </c>
      <c r="P982" s="1">
        <v>45834</v>
      </c>
      <c r="Q982" s="1">
        <v>46014</v>
      </c>
      <c r="R982" s="2">
        <v>0.34444444444444444</v>
      </c>
      <c r="S982" s="2">
        <v>0.39861111111111114</v>
      </c>
      <c r="T982" t="str" cm="1">
        <f t="array" ref="T982">_xlfn.IFS(H982&gt;=90,"A",H982&gt;=75,"B",H982&gt;=60,"C",H982&lt;60,"D")</f>
        <v>C</v>
      </c>
      <c r="U982" t="str">
        <f t="shared" si="60"/>
        <v>08:16 AM</v>
      </c>
      <c r="V982" t="str">
        <f t="shared" si="61"/>
        <v>Delayed</v>
      </c>
      <c r="W982" t="str">
        <f t="shared" si="62"/>
        <v>1 Hours 18 Minutes</v>
      </c>
      <c r="X982" t="str">
        <f t="shared" si="63"/>
        <v>Short Time Login</v>
      </c>
      <c r="AA982" s="34" t="s">
        <v>1272</v>
      </c>
      <c r="AB982" s="34" t="s">
        <v>1273</v>
      </c>
      <c r="AC982" s="34">
        <v>66</v>
      </c>
      <c r="AD982" s="34">
        <v>95</v>
      </c>
      <c r="AE982" s="34" t="s">
        <v>68</v>
      </c>
      <c r="AF982" s="34">
        <v>4000</v>
      </c>
      <c r="AH982" s="34" t="s">
        <v>27</v>
      </c>
    </row>
    <row r="983" spans="1:34">
      <c r="A983" t="s">
        <v>1274</v>
      </c>
      <c r="B983" t="s">
        <v>847</v>
      </c>
      <c r="C983">
        <v>19</v>
      </c>
      <c r="D983" t="s">
        <v>21</v>
      </c>
      <c r="E983" t="s">
        <v>44</v>
      </c>
      <c r="F983" t="s">
        <v>23</v>
      </c>
      <c r="G983" t="s">
        <v>24</v>
      </c>
      <c r="H983">
        <v>84</v>
      </c>
      <c r="I983">
        <v>62</v>
      </c>
      <c r="J983" t="s">
        <v>45</v>
      </c>
      <c r="K983">
        <v>15000</v>
      </c>
      <c r="L983">
        <v>17700</v>
      </c>
      <c r="M983">
        <v>0</v>
      </c>
      <c r="N983" t="s">
        <v>11</v>
      </c>
      <c r="O983" t="s">
        <v>127</v>
      </c>
      <c r="P983" s="1">
        <v>45724</v>
      </c>
      <c r="Q983" s="1">
        <v>45814</v>
      </c>
      <c r="R983" s="2">
        <v>0.33611111111111114</v>
      </c>
      <c r="S983" s="2">
        <v>0.50277777777777777</v>
      </c>
      <c r="T983" t="str" cm="1">
        <f t="array" ref="T983">_xlfn.IFS(H983&gt;=90,"A",H983&gt;=75,"B",H983&gt;=60,"C",H983&lt;60,"D")</f>
        <v>B</v>
      </c>
      <c r="U983" t="str">
        <f t="shared" si="60"/>
        <v>08:04 AM</v>
      </c>
      <c r="V983" t="str">
        <f t="shared" si="61"/>
        <v>On Time</v>
      </c>
      <c r="W983" t="str">
        <f t="shared" si="62"/>
        <v>4 Hours 0 Minutes</v>
      </c>
      <c r="X983" t="str">
        <f t="shared" si="63"/>
        <v>Short Time Login</v>
      </c>
      <c r="AA983" s="35" t="s">
        <v>1274</v>
      </c>
      <c r="AB983" s="35" t="s">
        <v>847</v>
      </c>
      <c r="AC983" s="35">
        <v>84</v>
      </c>
      <c r="AD983" s="35">
        <v>62</v>
      </c>
      <c r="AE983" s="35" t="s">
        <v>45</v>
      </c>
      <c r="AF983" s="35">
        <v>0</v>
      </c>
      <c r="AH983" s="35" t="s">
        <v>127</v>
      </c>
    </row>
    <row r="984" spans="1:34">
      <c r="A984" t="s">
        <v>1275</v>
      </c>
      <c r="B984" t="s">
        <v>696</v>
      </c>
      <c r="C984">
        <v>18</v>
      </c>
      <c r="D984" t="s">
        <v>21</v>
      </c>
      <c r="E984" t="s">
        <v>122</v>
      </c>
      <c r="F984" t="s">
        <v>49</v>
      </c>
      <c r="G984" t="s">
        <v>50</v>
      </c>
      <c r="H984">
        <v>52</v>
      </c>
      <c r="I984">
        <v>75</v>
      </c>
      <c r="J984" t="s">
        <v>25</v>
      </c>
      <c r="K984">
        <v>18000</v>
      </c>
      <c r="L984">
        <v>18650</v>
      </c>
      <c r="M984">
        <v>2000</v>
      </c>
      <c r="N984" t="s">
        <v>26</v>
      </c>
      <c r="O984" t="s">
        <v>27</v>
      </c>
      <c r="P984" s="1">
        <v>45768</v>
      </c>
      <c r="Q984" s="1">
        <v>45858</v>
      </c>
      <c r="R984" s="2">
        <v>0.37430555555555556</v>
      </c>
      <c r="S984" s="2">
        <v>0.44791666666666669</v>
      </c>
      <c r="T984" t="str" cm="1">
        <f t="array" ref="T984">_xlfn.IFS(H984&gt;=90,"A",H984&gt;=75,"B",H984&gt;=60,"C",H984&lt;60,"D")</f>
        <v>D</v>
      </c>
      <c r="U984" t="str">
        <f t="shared" si="60"/>
        <v>08:59 AM</v>
      </c>
      <c r="V984" t="str">
        <f t="shared" si="61"/>
        <v>On Time</v>
      </c>
      <c r="W984" t="str">
        <f t="shared" si="62"/>
        <v>1 Hours 46 Minutes</v>
      </c>
      <c r="X984" t="str">
        <f t="shared" si="63"/>
        <v>Short Time Login</v>
      </c>
      <c r="AA984" s="34" t="s">
        <v>1275</v>
      </c>
      <c r="AB984" s="34" t="s">
        <v>696</v>
      </c>
      <c r="AC984" s="34">
        <v>52</v>
      </c>
      <c r="AD984" s="34">
        <v>75</v>
      </c>
      <c r="AE984" s="34" t="s">
        <v>25</v>
      </c>
      <c r="AF984" s="34">
        <v>2000</v>
      </c>
      <c r="AH984" s="34" t="s">
        <v>27</v>
      </c>
    </row>
    <row r="985" spans="1:34">
      <c r="A985" t="s">
        <v>1276</v>
      </c>
      <c r="B985" t="s">
        <v>211</v>
      </c>
      <c r="C985">
        <v>24</v>
      </c>
      <c r="D985" t="s">
        <v>35</v>
      </c>
      <c r="E985" t="s">
        <v>67</v>
      </c>
      <c r="F985" t="s">
        <v>53</v>
      </c>
      <c r="G985" t="s">
        <v>54</v>
      </c>
      <c r="H985">
        <v>78</v>
      </c>
      <c r="I985">
        <v>78</v>
      </c>
      <c r="J985" t="s">
        <v>45</v>
      </c>
      <c r="K985">
        <v>12000</v>
      </c>
      <c r="L985">
        <v>13570</v>
      </c>
      <c r="M985">
        <v>0</v>
      </c>
      <c r="N985" t="s">
        <v>11</v>
      </c>
      <c r="O985" t="s">
        <v>27</v>
      </c>
      <c r="P985" s="1">
        <v>45748</v>
      </c>
      <c r="Q985" s="1">
        <v>45928</v>
      </c>
      <c r="R985" s="2">
        <v>0.4375</v>
      </c>
      <c r="S985" s="2">
        <v>0.54027777777777775</v>
      </c>
      <c r="T985" t="str" cm="1">
        <f t="array" ref="T985">_xlfn.IFS(H985&gt;=90,"A",H985&gt;=75,"B",H985&gt;=60,"C",H985&lt;60,"D")</f>
        <v>B</v>
      </c>
      <c r="U985" t="str">
        <f t="shared" si="60"/>
        <v>10:30 AM</v>
      </c>
      <c r="V985" t="str">
        <f t="shared" si="61"/>
        <v>Delayed</v>
      </c>
      <c r="W985" t="str">
        <f t="shared" si="62"/>
        <v>2 Hours 28 Minutes</v>
      </c>
      <c r="X985" t="str">
        <f t="shared" si="63"/>
        <v>Long Time Login</v>
      </c>
      <c r="AA985" s="35" t="s">
        <v>1276</v>
      </c>
      <c r="AB985" s="35" t="s">
        <v>211</v>
      </c>
      <c r="AC985" s="35">
        <v>78</v>
      </c>
      <c r="AD985" s="35">
        <v>78</v>
      </c>
      <c r="AE985" s="35" t="s">
        <v>45</v>
      </c>
      <c r="AF985" s="35">
        <v>0</v>
      </c>
      <c r="AH985" s="35" t="s">
        <v>27</v>
      </c>
    </row>
    <row r="986" spans="1:34">
      <c r="A986" t="s">
        <v>1277</v>
      </c>
      <c r="B986" t="s">
        <v>169</v>
      </c>
      <c r="C986">
        <v>22</v>
      </c>
      <c r="D986" t="s">
        <v>35</v>
      </c>
      <c r="E986" t="s">
        <v>44</v>
      </c>
      <c r="F986" t="s">
        <v>88</v>
      </c>
      <c r="G986" t="s">
        <v>89</v>
      </c>
      <c r="H986">
        <v>50</v>
      </c>
      <c r="I986">
        <v>72</v>
      </c>
      <c r="J986" t="s">
        <v>25</v>
      </c>
      <c r="K986">
        <v>18000</v>
      </c>
      <c r="L986">
        <v>21240</v>
      </c>
      <c r="M986">
        <v>0</v>
      </c>
      <c r="N986" t="s">
        <v>11</v>
      </c>
      <c r="O986" t="s">
        <v>27</v>
      </c>
      <c r="P986" s="1">
        <v>45932</v>
      </c>
      <c r="Q986" s="1">
        <v>46052</v>
      </c>
      <c r="R986" s="2">
        <v>0.44930555555555557</v>
      </c>
      <c r="S986" s="2">
        <v>0.55625000000000002</v>
      </c>
      <c r="T986" t="str" cm="1">
        <f t="array" ref="T986">_xlfn.IFS(H986&gt;=90,"A",H986&gt;=75,"B",H986&gt;=60,"C",H986&lt;60,"D")</f>
        <v>D</v>
      </c>
      <c r="U986" t="str">
        <f t="shared" si="60"/>
        <v>10:47 AM</v>
      </c>
      <c r="V986" t="str">
        <f t="shared" si="61"/>
        <v>Delayed</v>
      </c>
      <c r="W986" t="str">
        <f t="shared" si="62"/>
        <v>2 Hours 34 Minutes</v>
      </c>
      <c r="X986" t="str">
        <f t="shared" si="63"/>
        <v>Long Time Login</v>
      </c>
      <c r="AA986" s="34" t="s">
        <v>1277</v>
      </c>
      <c r="AB986" s="34" t="s">
        <v>169</v>
      </c>
      <c r="AC986" s="34">
        <v>50</v>
      </c>
      <c r="AD986" s="34">
        <v>72</v>
      </c>
      <c r="AE986" s="34" t="s">
        <v>25</v>
      </c>
      <c r="AF986" s="34">
        <v>0</v>
      </c>
      <c r="AH986" s="34" t="s">
        <v>27</v>
      </c>
    </row>
    <row r="987" spans="1:34">
      <c r="A987" t="s">
        <v>1278</v>
      </c>
      <c r="B987" t="s">
        <v>945</v>
      </c>
      <c r="C987">
        <v>23</v>
      </c>
      <c r="D987" t="s">
        <v>21</v>
      </c>
      <c r="E987" t="s">
        <v>122</v>
      </c>
      <c r="F987" t="s">
        <v>88</v>
      </c>
      <c r="G987" t="s">
        <v>89</v>
      </c>
      <c r="H987">
        <v>49</v>
      </c>
      <c r="I987">
        <v>66</v>
      </c>
      <c r="J987" t="s">
        <v>25</v>
      </c>
      <c r="K987">
        <v>18000</v>
      </c>
      <c r="L987">
        <v>19240</v>
      </c>
      <c r="M987">
        <v>2000</v>
      </c>
      <c r="N987" t="s">
        <v>26</v>
      </c>
      <c r="O987" t="s">
        <v>27</v>
      </c>
      <c r="P987" s="1">
        <v>45757</v>
      </c>
      <c r="Q987" s="1">
        <v>45847</v>
      </c>
      <c r="R987" s="2">
        <v>0.39374999999999999</v>
      </c>
      <c r="S987" s="2">
        <v>0.47013888888888888</v>
      </c>
      <c r="T987" t="str" cm="1">
        <f t="array" ref="T987">_xlfn.IFS(H987&gt;=90,"A",H987&gt;=75,"B",H987&gt;=60,"C",H987&lt;60,"D")</f>
        <v>D</v>
      </c>
      <c r="U987" t="str">
        <f t="shared" si="60"/>
        <v>09:27 AM</v>
      </c>
      <c r="V987" t="str">
        <f t="shared" si="61"/>
        <v>On Time</v>
      </c>
      <c r="W987" t="str">
        <f t="shared" si="62"/>
        <v>1 Hours 50 Minutes</v>
      </c>
      <c r="X987" t="str">
        <f t="shared" si="63"/>
        <v>Short Time Login</v>
      </c>
      <c r="AA987" s="35" t="s">
        <v>1278</v>
      </c>
      <c r="AB987" s="35" t="s">
        <v>945</v>
      </c>
      <c r="AC987" s="35">
        <v>49</v>
      </c>
      <c r="AD987" s="35">
        <v>66</v>
      </c>
      <c r="AE987" s="35" t="s">
        <v>25</v>
      </c>
      <c r="AF987" s="35">
        <v>2000</v>
      </c>
      <c r="AH987" s="35" t="s">
        <v>27</v>
      </c>
    </row>
    <row r="988" spans="1:34">
      <c r="A988" t="s">
        <v>1279</v>
      </c>
      <c r="B988" t="s">
        <v>83</v>
      </c>
      <c r="C988">
        <v>19</v>
      </c>
      <c r="D988" t="s">
        <v>35</v>
      </c>
      <c r="E988" t="s">
        <v>73</v>
      </c>
      <c r="F988" t="s">
        <v>63</v>
      </c>
      <c r="G988" t="s">
        <v>64</v>
      </c>
      <c r="H988">
        <v>67</v>
      </c>
      <c r="I988">
        <v>96</v>
      </c>
      <c r="J988" t="s">
        <v>68</v>
      </c>
      <c r="K988">
        <v>12000</v>
      </c>
      <c r="L988">
        <v>9570</v>
      </c>
      <c r="M988">
        <v>4000</v>
      </c>
      <c r="N988" t="s">
        <v>26</v>
      </c>
      <c r="O988" t="s">
        <v>27</v>
      </c>
      <c r="P988" s="1">
        <v>45969</v>
      </c>
      <c r="Q988" s="1">
        <v>45999</v>
      </c>
      <c r="R988" s="2">
        <v>0.44097222222222221</v>
      </c>
      <c r="S988" s="2">
        <v>0.52500000000000002</v>
      </c>
      <c r="T988" t="str" cm="1">
        <f t="array" ref="T988">_xlfn.IFS(H988&gt;=90,"A",H988&gt;=75,"B",H988&gt;=60,"C",H988&lt;60,"D")</f>
        <v>C</v>
      </c>
      <c r="U988" t="str">
        <f t="shared" si="60"/>
        <v>10:35 AM</v>
      </c>
      <c r="V988" t="str">
        <f t="shared" si="61"/>
        <v>On Time</v>
      </c>
      <c r="W988" t="str">
        <f t="shared" si="62"/>
        <v>2 Hours 1 Minutes</v>
      </c>
      <c r="X988" t="str">
        <f t="shared" si="63"/>
        <v>Long Time Login</v>
      </c>
      <c r="AA988" s="34" t="s">
        <v>1279</v>
      </c>
      <c r="AB988" s="34" t="s">
        <v>83</v>
      </c>
      <c r="AC988" s="34">
        <v>67</v>
      </c>
      <c r="AD988" s="34">
        <v>96</v>
      </c>
      <c r="AE988" s="34" t="s">
        <v>68</v>
      </c>
      <c r="AF988" s="34">
        <v>4000</v>
      </c>
      <c r="AH988" s="34" t="s">
        <v>27</v>
      </c>
    </row>
    <row r="989" spans="1:34">
      <c r="A989" t="s">
        <v>1280</v>
      </c>
      <c r="B989" t="s">
        <v>112</v>
      </c>
      <c r="C989">
        <v>21</v>
      </c>
      <c r="D989" t="s">
        <v>35</v>
      </c>
      <c r="E989" t="s">
        <v>48</v>
      </c>
      <c r="F989" t="s">
        <v>23</v>
      </c>
      <c r="G989" t="s">
        <v>24</v>
      </c>
      <c r="H989">
        <v>73</v>
      </c>
      <c r="I989">
        <v>61</v>
      </c>
      <c r="J989" t="s">
        <v>68</v>
      </c>
      <c r="K989">
        <v>18000</v>
      </c>
      <c r="L989">
        <v>20650</v>
      </c>
      <c r="M989">
        <v>0</v>
      </c>
      <c r="N989" t="s">
        <v>11</v>
      </c>
      <c r="O989" t="s">
        <v>127</v>
      </c>
      <c r="P989" s="1">
        <v>45875</v>
      </c>
      <c r="Q989" s="1">
        <v>46055</v>
      </c>
      <c r="R989" s="2">
        <v>0.40902777777777777</v>
      </c>
      <c r="S989" s="2">
        <v>0.59652777777777777</v>
      </c>
      <c r="T989" t="str" cm="1">
        <f t="array" ref="T989">_xlfn.IFS(H989&gt;=90,"A",H989&gt;=75,"B",H989&gt;=60,"C",H989&lt;60,"D")</f>
        <v>C</v>
      </c>
      <c r="U989" t="str">
        <f t="shared" si="60"/>
        <v>09:49 AM</v>
      </c>
      <c r="V989" t="str">
        <f t="shared" si="61"/>
        <v>Delayed</v>
      </c>
      <c r="W989" t="str">
        <f t="shared" si="62"/>
        <v>4 Hours 30 Minutes</v>
      </c>
      <c r="X989" t="str">
        <f t="shared" si="63"/>
        <v>Short Time Login</v>
      </c>
      <c r="AA989" s="35" t="s">
        <v>1280</v>
      </c>
      <c r="AB989" s="35" t="s">
        <v>112</v>
      </c>
      <c r="AC989" s="35">
        <v>73</v>
      </c>
      <c r="AD989" s="35">
        <v>61</v>
      </c>
      <c r="AE989" s="35" t="s">
        <v>68</v>
      </c>
      <c r="AF989" s="35">
        <v>0</v>
      </c>
      <c r="AH989" s="35" t="s">
        <v>127</v>
      </c>
    </row>
    <row r="990" spans="1:34">
      <c r="A990" t="s">
        <v>1281</v>
      </c>
      <c r="B990" t="s">
        <v>258</v>
      </c>
      <c r="C990">
        <v>21</v>
      </c>
      <c r="D990" t="s">
        <v>35</v>
      </c>
      <c r="E990" t="s">
        <v>39</v>
      </c>
      <c r="F990" t="s">
        <v>40</v>
      </c>
      <c r="G990" t="s">
        <v>41</v>
      </c>
      <c r="H990">
        <v>56</v>
      </c>
      <c r="I990">
        <v>88</v>
      </c>
      <c r="J990" t="s">
        <v>25</v>
      </c>
      <c r="K990">
        <v>15000</v>
      </c>
      <c r="L990">
        <v>13930</v>
      </c>
      <c r="M990">
        <v>2000</v>
      </c>
      <c r="N990" t="s">
        <v>26</v>
      </c>
      <c r="O990" t="s">
        <v>27</v>
      </c>
      <c r="P990" s="1">
        <v>45999</v>
      </c>
      <c r="Q990" s="1">
        <v>46089</v>
      </c>
      <c r="R990" s="2">
        <v>0.43125000000000002</v>
      </c>
      <c r="S990" s="2">
        <v>0.63124999999999998</v>
      </c>
      <c r="T990" t="str" cm="1">
        <f t="array" ref="T990">_xlfn.IFS(H990&gt;=90,"A",H990&gt;=75,"B",H990&gt;=60,"C",H990&lt;60,"D")</f>
        <v>D</v>
      </c>
      <c r="U990" t="str">
        <f t="shared" si="60"/>
        <v>10:21 AM</v>
      </c>
      <c r="V990" t="str">
        <f t="shared" si="61"/>
        <v>On Time</v>
      </c>
      <c r="W990" t="str">
        <f t="shared" si="62"/>
        <v>4 Hours 48 Minutes</v>
      </c>
      <c r="X990" t="str">
        <f t="shared" si="63"/>
        <v>Long Time Login</v>
      </c>
      <c r="AA990" s="34" t="s">
        <v>1281</v>
      </c>
      <c r="AB990" s="34" t="s">
        <v>258</v>
      </c>
      <c r="AC990" s="34">
        <v>56</v>
      </c>
      <c r="AD990" s="34">
        <v>88</v>
      </c>
      <c r="AE990" s="34" t="s">
        <v>25</v>
      </c>
      <c r="AF990" s="34">
        <v>2000</v>
      </c>
      <c r="AH990" s="34" t="s">
        <v>27</v>
      </c>
    </row>
    <row r="991" spans="1:34">
      <c r="A991" t="s">
        <v>1282</v>
      </c>
      <c r="B991" t="s">
        <v>313</v>
      </c>
      <c r="C991">
        <v>28</v>
      </c>
      <c r="D991" t="s">
        <v>35</v>
      </c>
      <c r="E991" t="s">
        <v>62</v>
      </c>
      <c r="F991" t="s">
        <v>23</v>
      </c>
      <c r="G991" t="s">
        <v>24</v>
      </c>
      <c r="H991">
        <v>95</v>
      </c>
      <c r="I991">
        <v>71</v>
      </c>
      <c r="J991" t="s">
        <v>59</v>
      </c>
      <c r="K991">
        <v>15000</v>
      </c>
      <c r="L991">
        <v>14520</v>
      </c>
      <c r="M991">
        <v>2000</v>
      </c>
      <c r="N991" t="s">
        <v>26</v>
      </c>
      <c r="O991" t="s">
        <v>27</v>
      </c>
      <c r="P991" s="1">
        <v>45706</v>
      </c>
      <c r="Q991" s="1">
        <v>45826</v>
      </c>
      <c r="R991" s="2">
        <v>0.43333333333333335</v>
      </c>
      <c r="S991" s="2">
        <v>0.51666666666666672</v>
      </c>
      <c r="T991" t="str" cm="1">
        <f t="array" ref="T991">_xlfn.IFS(H991&gt;=90,"A",H991&gt;=75,"B",H991&gt;=60,"C",H991&lt;60,"D")</f>
        <v>A</v>
      </c>
      <c r="U991" t="str">
        <f t="shared" si="60"/>
        <v>10:24 AM</v>
      </c>
      <c r="V991" t="str">
        <f t="shared" si="61"/>
        <v>Delayed</v>
      </c>
      <c r="W991" t="str">
        <f t="shared" si="62"/>
        <v>2 Hours 0 Minutes</v>
      </c>
      <c r="X991" t="str">
        <f t="shared" si="63"/>
        <v>Long Time Login</v>
      </c>
      <c r="AA991" s="35" t="s">
        <v>1282</v>
      </c>
      <c r="AB991" s="35" t="s">
        <v>313</v>
      </c>
      <c r="AC991" s="35">
        <v>95</v>
      </c>
      <c r="AD991" s="35">
        <v>71</v>
      </c>
      <c r="AE991" s="35" t="s">
        <v>59</v>
      </c>
      <c r="AF991" s="35">
        <v>2000</v>
      </c>
      <c r="AH991" s="35" t="s">
        <v>27</v>
      </c>
    </row>
    <row r="992" spans="1:34">
      <c r="A992" t="s">
        <v>1283</v>
      </c>
      <c r="B992" t="s">
        <v>526</v>
      </c>
      <c r="C992">
        <v>22</v>
      </c>
      <c r="D992" t="s">
        <v>21</v>
      </c>
      <c r="E992" t="s">
        <v>113</v>
      </c>
      <c r="F992" t="s">
        <v>88</v>
      </c>
      <c r="G992" t="s">
        <v>89</v>
      </c>
      <c r="H992">
        <v>35</v>
      </c>
      <c r="I992">
        <v>95</v>
      </c>
      <c r="J992" t="s">
        <v>25</v>
      </c>
      <c r="K992">
        <v>15000</v>
      </c>
      <c r="L992">
        <v>16520</v>
      </c>
      <c r="M992">
        <v>0</v>
      </c>
      <c r="N992" t="s">
        <v>11</v>
      </c>
      <c r="O992" t="s">
        <v>27</v>
      </c>
      <c r="P992" s="1">
        <v>45931</v>
      </c>
      <c r="Q992" s="1">
        <v>46111</v>
      </c>
      <c r="R992" s="2">
        <v>0.39305555555555555</v>
      </c>
      <c r="S992" s="2">
        <v>0.47499999999999998</v>
      </c>
      <c r="T992" t="str" cm="1">
        <f t="array" ref="T992">_xlfn.IFS(H992&gt;=90,"A",H992&gt;=75,"B",H992&gt;=60,"C",H992&lt;60,"D")</f>
        <v>D</v>
      </c>
      <c r="U992" t="str">
        <f t="shared" si="60"/>
        <v>09:26 AM</v>
      </c>
      <c r="V992" t="str">
        <f t="shared" si="61"/>
        <v>Delayed</v>
      </c>
      <c r="W992" t="str">
        <f t="shared" si="62"/>
        <v>1 Hours 58 Minutes</v>
      </c>
      <c r="X992" t="str">
        <f t="shared" si="63"/>
        <v>Short Time Login</v>
      </c>
      <c r="AA992" s="34" t="s">
        <v>1283</v>
      </c>
      <c r="AB992" s="34" t="s">
        <v>526</v>
      </c>
      <c r="AC992" s="34">
        <v>35</v>
      </c>
      <c r="AD992" s="34">
        <v>95</v>
      </c>
      <c r="AE992" s="34" t="s">
        <v>25</v>
      </c>
      <c r="AF992" s="34">
        <v>0</v>
      </c>
      <c r="AH992" s="34" t="s">
        <v>27</v>
      </c>
    </row>
    <row r="993" spans="1:34">
      <c r="A993" t="s">
        <v>1284</v>
      </c>
      <c r="B993" t="s">
        <v>963</v>
      </c>
      <c r="C993">
        <v>28</v>
      </c>
      <c r="D993" t="s">
        <v>35</v>
      </c>
      <c r="E993" t="s">
        <v>39</v>
      </c>
      <c r="F993" t="s">
        <v>31</v>
      </c>
      <c r="G993" t="s">
        <v>32</v>
      </c>
      <c r="H993">
        <v>43</v>
      </c>
      <c r="I993">
        <v>79</v>
      </c>
      <c r="J993" t="s">
        <v>25</v>
      </c>
      <c r="K993">
        <v>18000</v>
      </c>
      <c r="L993">
        <v>17240</v>
      </c>
      <c r="M993">
        <v>4000</v>
      </c>
      <c r="N993" t="s">
        <v>26</v>
      </c>
      <c r="O993" t="s">
        <v>27</v>
      </c>
      <c r="P993" s="1">
        <v>45829</v>
      </c>
      <c r="Q993" s="1">
        <v>45919</v>
      </c>
      <c r="R993" s="2">
        <v>0.37569444444444444</v>
      </c>
      <c r="S993" s="2">
        <v>0.57152777777777775</v>
      </c>
      <c r="T993" t="str" cm="1">
        <f t="array" ref="T993">_xlfn.IFS(H993&gt;=90,"A",H993&gt;=75,"B",H993&gt;=60,"C",H993&lt;60,"D")</f>
        <v>D</v>
      </c>
      <c r="U993" t="str">
        <f t="shared" si="60"/>
        <v>09:01 AM</v>
      </c>
      <c r="V993" t="str">
        <f t="shared" si="61"/>
        <v>On Time</v>
      </c>
      <c r="W993" t="str">
        <f t="shared" si="62"/>
        <v>4 Hours 42 Minutes</v>
      </c>
      <c r="X993" t="str">
        <f t="shared" si="63"/>
        <v>Short Time Login</v>
      </c>
      <c r="AA993" s="35" t="s">
        <v>1284</v>
      </c>
      <c r="AB993" s="35" t="s">
        <v>963</v>
      </c>
      <c r="AC993" s="35">
        <v>43</v>
      </c>
      <c r="AD993" s="35">
        <v>79</v>
      </c>
      <c r="AE993" s="35" t="s">
        <v>25</v>
      </c>
      <c r="AF993" s="35">
        <v>4000</v>
      </c>
      <c r="AH993" s="35" t="s">
        <v>27</v>
      </c>
    </row>
    <row r="994" spans="1:34">
      <c r="A994" t="s">
        <v>1285</v>
      </c>
      <c r="B994" t="s">
        <v>34</v>
      </c>
      <c r="C994">
        <v>23</v>
      </c>
      <c r="D994" t="s">
        <v>35</v>
      </c>
      <c r="E994" t="s">
        <v>22</v>
      </c>
      <c r="F994" t="s">
        <v>31</v>
      </c>
      <c r="G994" t="s">
        <v>32</v>
      </c>
      <c r="H994">
        <v>84</v>
      </c>
      <c r="I994">
        <v>62</v>
      </c>
      <c r="J994" t="s">
        <v>45</v>
      </c>
      <c r="K994">
        <v>18000</v>
      </c>
      <c r="L994">
        <v>17470</v>
      </c>
      <c r="M994">
        <v>2000</v>
      </c>
      <c r="N994" t="s">
        <v>26</v>
      </c>
      <c r="O994" t="s">
        <v>27</v>
      </c>
      <c r="P994" s="1">
        <v>45844</v>
      </c>
      <c r="Q994" s="1">
        <v>45934</v>
      </c>
      <c r="R994" s="2">
        <v>0.35138888888888886</v>
      </c>
      <c r="S994" s="2">
        <v>0.40208333333333335</v>
      </c>
      <c r="T994" t="str" cm="1">
        <f t="array" ref="T994">_xlfn.IFS(H994&gt;=90,"A",H994&gt;=75,"B",H994&gt;=60,"C",H994&lt;60,"D")</f>
        <v>B</v>
      </c>
      <c r="U994" t="str">
        <f t="shared" si="60"/>
        <v>08:26 AM</v>
      </c>
      <c r="V994" t="str">
        <f t="shared" si="61"/>
        <v>On Time</v>
      </c>
      <c r="W994" t="str">
        <f t="shared" si="62"/>
        <v>1 Hours 13 Minutes</v>
      </c>
      <c r="X994" t="str">
        <f t="shared" si="63"/>
        <v>Short Time Login</v>
      </c>
      <c r="AA994" s="34" t="s">
        <v>1285</v>
      </c>
      <c r="AB994" s="34" t="s">
        <v>34</v>
      </c>
      <c r="AC994" s="34">
        <v>84</v>
      </c>
      <c r="AD994" s="34">
        <v>62</v>
      </c>
      <c r="AE994" s="34" t="s">
        <v>45</v>
      </c>
      <c r="AF994" s="34">
        <v>2000</v>
      </c>
      <c r="AH994" s="34" t="s">
        <v>27</v>
      </c>
    </row>
    <row r="995" spans="1:34">
      <c r="A995" t="s">
        <v>1286</v>
      </c>
      <c r="B995" t="s">
        <v>507</v>
      </c>
      <c r="C995">
        <v>27</v>
      </c>
      <c r="D995" t="s">
        <v>21</v>
      </c>
      <c r="E995" t="s">
        <v>30</v>
      </c>
      <c r="F995" t="s">
        <v>63</v>
      </c>
      <c r="G995" t="s">
        <v>64</v>
      </c>
      <c r="H995">
        <v>100</v>
      </c>
      <c r="I995">
        <v>83</v>
      </c>
      <c r="J995" t="s">
        <v>59</v>
      </c>
      <c r="K995">
        <v>20000</v>
      </c>
      <c r="L995">
        <v>17830</v>
      </c>
      <c r="M995">
        <v>4000</v>
      </c>
      <c r="N995" t="s">
        <v>26</v>
      </c>
      <c r="O995" t="s">
        <v>27</v>
      </c>
      <c r="P995" s="1">
        <v>45803</v>
      </c>
      <c r="Q995" s="1">
        <v>45923</v>
      </c>
      <c r="R995" s="2">
        <v>0.35138888888888886</v>
      </c>
      <c r="S995" s="2">
        <v>0.41944444444444445</v>
      </c>
      <c r="T995" t="str" cm="1">
        <f t="array" ref="T995">_xlfn.IFS(H995&gt;=90,"A",H995&gt;=75,"B",H995&gt;=60,"C",H995&lt;60,"D")</f>
        <v>A</v>
      </c>
      <c r="U995" t="str">
        <f t="shared" si="60"/>
        <v>08:26 AM</v>
      </c>
      <c r="V995" t="str">
        <f t="shared" si="61"/>
        <v>Delayed</v>
      </c>
      <c r="W995" t="str">
        <f t="shared" si="62"/>
        <v>1 Hours 38 Minutes</v>
      </c>
      <c r="X995" t="str">
        <f t="shared" si="63"/>
        <v>Short Time Login</v>
      </c>
      <c r="AA995" s="35" t="s">
        <v>1286</v>
      </c>
      <c r="AB995" s="35" t="s">
        <v>507</v>
      </c>
      <c r="AC995" s="35">
        <v>100</v>
      </c>
      <c r="AD995" s="35">
        <v>83</v>
      </c>
      <c r="AE995" s="35" t="s">
        <v>59</v>
      </c>
      <c r="AF995" s="35">
        <v>4000</v>
      </c>
      <c r="AH995" s="35" t="s">
        <v>27</v>
      </c>
    </row>
    <row r="996" spans="1:34">
      <c r="A996" t="s">
        <v>1287</v>
      </c>
      <c r="B996" t="s">
        <v>43</v>
      </c>
      <c r="C996">
        <v>22</v>
      </c>
      <c r="D996" t="s">
        <v>21</v>
      </c>
      <c r="E996" t="s">
        <v>122</v>
      </c>
      <c r="F996" t="s">
        <v>40</v>
      </c>
      <c r="G996" t="s">
        <v>41</v>
      </c>
      <c r="H996">
        <v>82</v>
      </c>
      <c r="I996">
        <v>100</v>
      </c>
      <c r="J996" t="s">
        <v>45</v>
      </c>
      <c r="K996">
        <v>15000</v>
      </c>
      <c r="L996">
        <v>16520</v>
      </c>
      <c r="M996">
        <v>0</v>
      </c>
      <c r="N996" t="s">
        <v>11</v>
      </c>
      <c r="O996" t="s">
        <v>27</v>
      </c>
      <c r="P996" s="1">
        <v>45920</v>
      </c>
      <c r="Q996" s="1">
        <v>46100</v>
      </c>
      <c r="R996" s="2">
        <v>0.3923611111111111</v>
      </c>
      <c r="S996" s="2">
        <v>0.4375</v>
      </c>
      <c r="T996" t="str" cm="1">
        <f t="array" ref="T996">_xlfn.IFS(H996&gt;=90,"A",H996&gt;=75,"B",H996&gt;=60,"C",H996&lt;60,"D")</f>
        <v>B</v>
      </c>
      <c r="U996" t="str">
        <f t="shared" si="60"/>
        <v>09:25 AM</v>
      </c>
      <c r="V996" t="str">
        <f t="shared" si="61"/>
        <v>Delayed</v>
      </c>
      <c r="W996" t="str">
        <f t="shared" si="62"/>
        <v>1 Hours 5 Minutes</v>
      </c>
      <c r="X996" t="str">
        <f t="shared" si="63"/>
        <v>Short Time Login</v>
      </c>
      <c r="AA996" s="34" t="s">
        <v>1287</v>
      </c>
      <c r="AB996" s="34" t="s">
        <v>43</v>
      </c>
      <c r="AC996" s="34">
        <v>82</v>
      </c>
      <c r="AD996" s="34">
        <v>100</v>
      </c>
      <c r="AE996" s="34" t="s">
        <v>45</v>
      </c>
      <c r="AF996" s="34">
        <v>0</v>
      </c>
      <c r="AH996" s="34" t="s">
        <v>27</v>
      </c>
    </row>
    <row r="997" spans="1:34">
      <c r="A997" t="s">
        <v>1288</v>
      </c>
      <c r="B997" t="s">
        <v>349</v>
      </c>
      <c r="C997">
        <v>22</v>
      </c>
      <c r="D997" t="s">
        <v>21</v>
      </c>
      <c r="E997" t="s">
        <v>67</v>
      </c>
      <c r="F997" t="s">
        <v>40</v>
      </c>
      <c r="G997" t="s">
        <v>41</v>
      </c>
      <c r="H997">
        <v>80</v>
      </c>
      <c r="I997">
        <v>67</v>
      </c>
      <c r="J997" t="s">
        <v>45</v>
      </c>
      <c r="K997">
        <v>12000</v>
      </c>
      <c r="L997">
        <v>8390</v>
      </c>
      <c r="M997">
        <v>4000</v>
      </c>
      <c r="N997" t="s">
        <v>26</v>
      </c>
      <c r="O997" t="s">
        <v>27</v>
      </c>
      <c r="P997" s="1">
        <v>46013</v>
      </c>
      <c r="Q997" s="1">
        <v>46103</v>
      </c>
      <c r="R997" s="2">
        <v>0.43541666666666667</v>
      </c>
      <c r="S997" s="2">
        <v>0.57916666666666672</v>
      </c>
      <c r="T997" t="str" cm="1">
        <f t="array" ref="T997">_xlfn.IFS(H997&gt;=90,"A",H997&gt;=75,"B",H997&gt;=60,"C",H997&lt;60,"D")</f>
        <v>B</v>
      </c>
      <c r="U997" t="str">
        <f t="shared" si="60"/>
        <v>10:27 AM</v>
      </c>
      <c r="V997" t="str">
        <f t="shared" si="61"/>
        <v>On Time</v>
      </c>
      <c r="W997" t="str">
        <f t="shared" si="62"/>
        <v>3 Hours 27 Minutes</v>
      </c>
      <c r="X997" t="str">
        <f t="shared" si="63"/>
        <v>Long Time Login</v>
      </c>
      <c r="AA997" s="35" t="s">
        <v>1288</v>
      </c>
      <c r="AB997" s="35" t="s">
        <v>349</v>
      </c>
      <c r="AC997" s="35">
        <v>80</v>
      </c>
      <c r="AD997" s="35">
        <v>67</v>
      </c>
      <c r="AE997" s="35" t="s">
        <v>45</v>
      </c>
      <c r="AF997" s="35">
        <v>4000</v>
      </c>
      <c r="AH997" s="35" t="s">
        <v>27</v>
      </c>
    </row>
    <row r="998" spans="1:34">
      <c r="A998" t="s">
        <v>1289</v>
      </c>
      <c r="B998" t="s">
        <v>38</v>
      </c>
      <c r="C998">
        <v>20</v>
      </c>
      <c r="D998" t="s">
        <v>35</v>
      </c>
      <c r="E998" t="s">
        <v>22</v>
      </c>
      <c r="F998" t="s">
        <v>53</v>
      </c>
      <c r="G998" t="s">
        <v>54</v>
      </c>
      <c r="H998">
        <v>62</v>
      </c>
      <c r="I998">
        <v>63</v>
      </c>
      <c r="J998" t="s">
        <v>68</v>
      </c>
      <c r="K998">
        <v>12000</v>
      </c>
      <c r="L998">
        <v>12980</v>
      </c>
      <c r="M998">
        <v>0</v>
      </c>
      <c r="N998" t="s">
        <v>11</v>
      </c>
      <c r="O998" t="s">
        <v>27</v>
      </c>
      <c r="P998" s="1">
        <v>45713</v>
      </c>
      <c r="Q998" s="1">
        <v>45803</v>
      </c>
      <c r="R998" s="2">
        <v>0.34513888888888888</v>
      </c>
      <c r="S998" s="2">
        <v>0.51527777777777772</v>
      </c>
      <c r="T998" t="str" cm="1">
        <f t="array" ref="T998">_xlfn.IFS(H998&gt;=90,"A",H998&gt;=75,"B",H998&gt;=60,"C",H998&lt;60,"D")</f>
        <v>C</v>
      </c>
      <c r="U998" t="str">
        <f t="shared" si="60"/>
        <v>08:17 AM</v>
      </c>
      <c r="V998" t="str">
        <f t="shared" si="61"/>
        <v>On Time</v>
      </c>
      <c r="W998" t="str">
        <f t="shared" si="62"/>
        <v>4 Hours 5 Minutes</v>
      </c>
      <c r="X998" t="str">
        <f t="shared" si="63"/>
        <v>Short Time Login</v>
      </c>
      <c r="AA998" s="34" t="s">
        <v>1289</v>
      </c>
      <c r="AB998" s="34" t="s">
        <v>38</v>
      </c>
      <c r="AC998" s="34">
        <v>62</v>
      </c>
      <c r="AD998" s="34">
        <v>63</v>
      </c>
      <c r="AE998" s="34" t="s">
        <v>68</v>
      </c>
      <c r="AF998" s="34">
        <v>0</v>
      </c>
      <c r="AH998" s="34" t="s">
        <v>27</v>
      </c>
    </row>
    <row r="999" spans="1:34">
      <c r="A999" t="s">
        <v>1290</v>
      </c>
      <c r="B999" t="s">
        <v>72</v>
      </c>
      <c r="C999">
        <v>20</v>
      </c>
      <c r="D999" t="s">
        <v>21</v>
      </c>
      <c r="E999" t="s">
        <v>44</v>
      </c>
      <c r="F999" t="s">
        <v>53</v>
      </c>
      <c r="G999" t="s">
        <v>54</v>
      </c>
      <c r="H999">
        <v>56</v>
      </c>
      <c r="I999">
        <v>86</v>
      </c>
      <c r="J999" t="s">
        <v>25</v>
      </c>
      <c r="K999">
        <v>15000</v>
      </c>
      <c r="L999">
        <v>16520</v>
      </c>
      <c r="M999">
        <v>0</v>
      </c>
      <c r="N999" t="s">
        <v>11</v>
      </c>
      <c r="O999" t="s">
        <v>27</v>
      </c>
      <c r="P999" s="1">
        <v>45677</v>
      </c>
      <c r="Q999" s="1">
        <v>45707</v>
      </c>
      <c r="R999" s="2">
        <v>0.36736111111111114</v>
      </c>
      <c r="S999" s="2">
        <v>0.55069444444444449</v>
      </c>
      <c r="T999" t="str" cm="1">
        <f t="array" ref="T999">_xlfn.IFS(H999&gt;=90,"A",H999&gt;=75,"B",H999&gt;=60,"C",H999&lt;60,"D")</f>
        <v>D</v>
      </c>
      <c r="U999" t="str">
        <f t="shared" si="60"/>
        <v>08:49 AM</v>
      </c>
      <c r="V999" t="str">
        <f t="shared" si="61"/>
        <v>On Time</v>
      </c>
      <c r="W999" t="str">
        <f t="shared" si="62"/>
        <v>4 Hours 24 Minutes</v>
      </c>
      <c r="X999" t="str">
        <f t="shared" si="63"/>
        <v>Short Time Login</v>
      </c>
      <c r="AA999" s="35" t="s">
        <v>1290</v>
      </c>
      <c r="AB999" s="35" t="s">
        <v>72</v>
      </c>
      <c r="AC999" s="35">
        <v>56</v>
      </c>
      <c r="AD999" s="35">
        <v>86</v>
      </c>
      <c r="AE999" s="35" t="s">
        <v>25</v>
      </c>
      <c r="AF999" s="35">
        <v>0</v>
      </c>
      <c r="AH999" s="35" t="s">
        <v>27</v>
      </c>
    </row>
    <row r="1000" spans="1:34">
      <c r="A1000" t="s">
        <v>1291</v>
      </c>
      <c r="B1000" t="s">
        <v>528</v>
      </c>
      <c r="C1000">
        <v>19</v>
      </c>
      <c r="D1000" t="s">
        <v>35</v>
      </c>
      <c r="E1000" t="s">
        <v>96</v>
      </c>
      <c r="F1000" t="s">
        <v>53</v>
      </c>
      <c r="G1000" t="s">
        <v>54</v>
      </c>
      <c r="H1000">
        <v>55</v>
      </c>
      <c r="I1000">
        <v>95</v>
      </c>
      <c r="J1000" t="s">
        <v>25</v>
      </c>
      <c r="K1000">
        <v>15000</v>
      </c>
      <c r="L1000">
        <v>13110</v>
      </c>
      <c r="M1000">
        <v>4000</v>
      </c>
      <c r="N1000" t="s">
        <v>26</v>
      </c>
      <c r="O1000" t="s">
        <v>27</v>
      </c>
      <c r="P1000" s="1">
        <v>45682</v>
      </c>
      <c r="Q1000" s="1">
        <v>45772</v>
      </c>
      <c r="R1000" s="2">
        <v>0.41041666666666665</v>
      </c>
      <c r="S1000" s="2">
        <v>0.5493055555555556</v>
      </c>
      <c r="T1000" t="str" cm="1">
        <f t="array" ref="T1000">_xlfn.IFS(H1000&gt;=90,"A",H1000&gt;=75,"B",H1000&gt;=60,"C",H1000&lt;60,"D")</f>
        <v>D</v>
      </c>
      <c r="U1000" t="str">
        <f t="shared" si="60"/>
        <v>09:51 AM</v>
      </c>
      <c r="V1000" t="str">
        <f t="shared" si="61"/>
        <v>On Time</v>
      </c>
      <c r="W1000" t="str">
        <f t="shared" si="62"/>
        <v>3 Hours 20 Minutes</v>
      </c>
      <c r="X1000" t="str">
        <f t="shared" si="63"/>
        <v>Short Time Login</v>
      </c>
      <c r="AA1000" s="34" t="s">
        <v>1291</v>
      </c>
      <c r="AB1000" s="34" t="s">
        <v>528</v>
      </c>
      <c r="AC1000" s="34">
        <v>55</v>
      </c>
      <c r="AD1000" s="34">
        <v>95</v>
      </c>
      <c r="AE1000" s="34" t="s">
        <v>25</v>
      </c>
      <c r="AF1000" s="34">
        <v>4000</v>
      </c>
      <c r="AH1000" s="34" t="s">
        <v>27</v>
      </c>
    </row>
    <row r="1001" spans="1:34" ht="15" thickBot="1">
      <c r="A1001" t="s">
        <v>1292</v>
      </c>
      <c r="B1001" t="s">
        <v>430</v>
      </c>
      <c r="C1001">
        <v>24</v>
      </c>
      <c r="D1001" t="s">
        <v>35</v>
      </c>
      <c r="E1001" t="s">
        <v>30</v>
      </c>
      <c r="F1001" t="s">
        <v>49</v>
      </c>
      <c r="G1001" t="s">
        <v>50</v>
      </c>
      <c r="H1001">
        <v>45</v>
      </c>
      <c r="I1001">
        <v>82</v>
      </c>
      <c r="J1001" t="s">
        <v>25</v>
      </c>
      <c r="K1001">
        <v>10000</v>
      </c>
      <c r="L1001">
        <v>10030</v>
      </c>
      <c r="M1001">
        <v>0</v>
      </c>
      <c r="N1001" t="s">
        <v>11</v>
      </c>
      <c r="O1001" t="s">
        <v>27</v>
      </c>
      <c r="P1001" s="1">
        <v>45757</v>
      </c>
      <c r="Q1001" s="1">
        <v>45937</v>
      </c>
      <c r="R1001" s="2">
        <v>0.42222222222222222</v>
      </c>
      <c r="S1001" s="2">
        <v>0.57291666666666663</v>
      </c>
      <c r="T1001" t="str" cm="1">
        <f t="array" ref="T1001">_xlfn.IFS(H1001&gt;=90,"A",H1001&gt;=75,"B",H1001&gt;=60,"C",H1001&lt;60,"D")</f>
        <v>D</v>
      </c>
      <c r="U1001" t="str">
        <f t="shared" si="60"/>
        <v>10:08 AM</v>
      </c>
      <c r="V1001" t="str">
        <f t="shared" si="61"/>
        <v>Delayed</v>
      </c>
      <c r="W1001" t="str">
        <f t="shared" si="62"/>
        <v>3 Hours 37 Minutes</v>
      </c>
      <c r="X1001" t="str">
        <f t="shared" si="63"/>
        <v>Long Time Login</v>
      </c>
      <c r="AA1001" s="36" t="s">
        <v>1292</v>
      </c>
      <c r="AB1001" s="36" t="s">
        <v>430</v>
      </c>
      <c r="AC1001" s="36">
        <v>45</v>
      </c>
      <c r="AD1001" s="36">
        <v>82</v>
      </c>
      <c r="AE1001" s="36" t="s">
        <v>25</v>
      </c>
      <c r="AF1001" s="36">
        <v>0</v>
      </c>
      <c r="AH1001" s="36" t="s">
        <v>27</v>
      </c>
    </row>
  </sheetData>
  <conditionalFormatting sqref="H2:H1001">
    <cfRule type="cellIs" dxfId="16" priority="33" operator="greaterThan">
      <formula>60</formula>
    </cfRule>
  </conditionalFormatting>
  <conditionalFormatting sqref="I1:I1048576">
    <cfRule type="dataBar" priority="31">
      <dataBar>
        <cfvo type="min"/>
        <cfvo type="max"/>
        <color rgb="FFD6007B"/>
      </dataBar>
      <extLst>
        <ext xmlns:x14="http://schemas.microsoft.com/office/spreadsheetml/2009/9/main" uri="{B025F937-C7B1-47D3-B67F-A62EFF666E3E}">
          <x14:id>{9CA9C770-E76B-45C9-AF30-66D991B754FE}</x14:id>
        </ext>
      </extLst>
    </cfRule>
  </conditionalFormatting>
  <conditionalFormatting sqref="I2:I1001">
    <cfRule type="top10" dxfId="15" priority="32" rank="10"/>
  </conditionalFormatting>
  <conditionalFormatting sqref="J1:J1048576">
    <cfRule type="containsText" dxfId="14" priority="14" operator="containsText" text="good">
      <formula>NOT(ISERROR(SEARCH("good",J1)))</formula>
    </cfRule>
    <cfRule type="containsText" dxfId="13" priority="15" operator="containsText" text="poor">
      <formula>NOT(ISERROR(SEARCH("poor",J1)))</formula>
    </cfRule>
    <cfRule type="containsText" dxfId="12" priority="16" operator="containsText" text="excellent">
      <formula>NOT(ISERROR(SEARCH("excellent",J1)))</formula>
    </cfRule>
  </conditionalFormatting>
  <conditionalFormatting sqref="M1:M1001">
    <cfRule type="iconSet" priority="24">
      <iconSet iconSet="3Arrows">
        <cfvo type="percent" val="0"/>
        <cfvo type="percent" val="33"/>
        <cfvo type="percent" val="67"/>
      </iconSet>
    </cfRule>
  </conditionalFormatting>
  <conditionalFormatting sqref="O1:O1001">
    <cfRule type="containsText" dxfId="11" priority="19" operator="containsText" text="yes">
      <formula>NOT(ISERROR(SEARCH("yes",O1)))</formula>
    </cfRule>
  </conditionalFormatting>
  <conditionalFormatting sqref="T1:T1001">
    <cfRule type="dataBar" priority="37">
      <dataBar>
        <cfvo type="min"/>
        <cfvo type="max"/>
        <color rgb="FF638EC6"/>
      </dataBar>
      <extLst>
        <ext xmlns:x14="http://schemas.microsoft.com/office/spreadsheetml/2009/9/main" uri="{B025F937-C7B1-47D3-B67F-A62EFF666E3E}">
          <x14:id>{91579551-3F26-4266-BA2B-C9F99A0A32E4}</x14:id>
        </ext>
      </extLst>
    </cfRule>
  </conditionalFormatting>
  <conditionalFormatting sqref="T2:T1001">
    <cfRule type="containsText" dxfId="10" priority="35" operator="containsText" text="a">
      <formula>NOT(ISERROR(SEARCH("a",T2)))</formula>
    </cfRule>
  </conditionalFormatting>
  <conditionalFormatting sqref="V1:V1048576 AK48:AK82">
    <cfRule type="containsText" dxfId="9" priority="22" operator="containsText" text="on time">
      <formula>NOT(ISERROR(SEARCH("on time",V1)))</formula>
    </cfRule>
  </conditionalFormatting>
  <conditionalFormatting sqref="W1:W1048576">
    <cfRule type="timePeriod" dxfId="8" priority="21" timePeriod="lastWeek">
      <formula>AND(TODAY()-ROUNDDOWN(W1,0)&gt;=(WEEKDAY(TODAY())),TODAY()-ROUNDDOWN(W1,0)&lt;(WEEKDAY(TODAY())+7))</formula>
    </cfRule>
    <cfRule type="iconSet" priority="36">
      <iconSet iconSet="3Arrows">
        <cfvo type="percent" val="0"/>
        <cfvo type="percent" val="33"/>
        <cfvo type="percent" val="67"/>
      </iconSet>
    </cfRule>
  </conditionalFormatting>
  <conditionalFormatting sqref="X1:X1048576">
    <cfRule type="dataBar" priority="34">
      <dataBar>
        <cfvo type="min"/>
        <cfvo type="max"/>
        <color rgb="FF63C384"/>
      </dataBar>
      <extLst>
        <ext xmlns:x14="http://schemas.microsoft.com/office/spreadsheetml/2009/9/main" uri="{B025F937-C7B1-47D3-B67F-A62EFF666E3E}">
          <x14:id>{AD5B6F86-2B77-4162-BCD9-906C401C8280}</x14:id>
        </ext>
      </extLst>
    </cfRule>
  </conditionalFormatting>
  <conditionalFormatting sqref="AC2:AC1001">
    <cfRule type="cellIs" dxfId="7" priority="10" operator="greaterThan">
      <formula>60</formula>
    </cfRule>
  </conditionalFormatting>
  <conditionalFormatting sqref="AD1:AD1001">
    <cfRule type="dataBar" priority="8">
      <dataBar>
        <cfvo type="min"/>
        <cfvo type="max"/>
        <color rgb="FFD6007B"/>
      </dataBar>
      <extLst>
        <ext xmlns:x14="http://schemas.microsoft.com/office/spreadsheetml/2009/9/main" uri="{B025F937-C7B1-47D3-B67F-A62EFF666E3E}">
          <x14:id>{2D9CDD3E-C71F-43C7-AB3C-7563625E00F6}</x14:id>
        </ext>
      </extLst>
    </cfRule>
  </conditionalFormatting>
  <conditionalFormatting sqref="AD2:AD1001">
    <cfRule type="top10" dxfId="6" priority="9" rank="10"/>
  </conditionalFormatting>
  <conditionalFormatting sqref="AE1:AE1001">
    <cfRule type="containsText" dxfId="5" priority="5" operator="containsText" text="good">
      <formula>NOT(ISERROR(SEARCH("good",AE1)))</formula>
    </cfRule>
    <cfRule type="containsText" dxfId="4" priority="6" operator="containsText" text="poor">
      <formula>NOT(ISERROR(SEARCH("poor",AE1)))</formula>
    </cfRule>
    <cfRule type="containsText" dxfId="3" priority="7" operator="containsText" text="excellent">
      <formula>NOT(ISERROR(SEARCH("excellent",AE1)))</formula>
    </cfRule>
  </conditionalFormatting>
  <conditionalFormatting sqref="AF1:AF1001">
    <cfRule type="iconSet" priority="4">
      <iconSet iconSet="3Arrows">
        <cfvo type="percent" val="0"/>
        <cfvo type="percent" val="33"/>
        <cfvo type="percent" val="67"/>
      </iconSet>
    </cfRule>
  </conditionalFormatting>
  <conditionalFormatting sqref="AG1:AG47">
    <cfRule type="containsText" dxfId="2" priority="3" operator="containsText" text="on time">
      <formula>NOT(ISERROR(SEARCH("on time",AG1)))</formula>
    </cfRule>
  </conditionalFormatting>
  <conditionalFormatting sqref="AH1:AH1001">
    <cfRule type="containsText" dxfId="1" priority="2" operator="containsText" text="yes">
      <formula>NOT(ISERROR(SEARCH("yes",AH1)))</formula>
    </cfRule>
  </conditionalFormatting>
  <conditionalFormatting sqref="AH1:AH1048576">
    <cfRule type="containsText" dxfId="0" priority="1" operator="containsText" text="no">
      <formula>NOT(ISERROR(SEARCH("no",AH1)))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CA9C770-E76B-45C9-AF30-66D991B754FE}">
            <x14:dataBar minLength="0" maxLength="100" border="1" negativeBarBorderColorSameAsPositive="0">
              <x14:cfvo type="autoMin"/>
              <x14:cfvo type="autoMax"/>
              <x14:borderColor rgb="FFD6007B"/>
              <x14:negativeFillColor rgb="FFFF0000"/>
              <x14:negativeBorderColor rgb="FFFF0000"/>
              <x14:axisColor rgb="FF000000"/>
            </x14:dataBar>
          </x14:cfRule>
          <xm:sqref>I1:I1048576</xm:sqref>
        </x14:conditionalFormatting>
        <x14:conditionalFormatting xmlns:xm="http://schemas.microsoft.com/office/excel/2006/main">
          <x14:cfRule type="dataBar" id="{91579551-3F26-4266-BA2B-C9F99A0A32E4}">
            <x14:dataBar minLength="0" maxLength="100" border="1" negativeBarBorderColorSameAsPositive="0">
              <x14:cfvo type="autoMin"/>
              <x14:cfvo type="autoMax"/>
              <x14:borderColor rgb="FF638EC6"/>
              <x14:negativeFillColor rgb="FFFF0000"/>
              <x14:negativeBorderColor rgb="FFFF0000"/>
              <x14:axisColor rgb="FF000000"/>
            </x14:dataBar>
          </x14:cfRule>
          <xm:sqref>T1:T1001</xm:sqref>
        </x14:conditionalFormatting>
        <x14:conditionalFormatting xmlns:xm="http://schemas.microsoft.com/office/excel/2006/main">
          <x14:cfRule type="dataBar" id="{AD5B6F86-2B77-4162-BCD9-906C401C8280}">
            <x14:dataBar minLength="0" maxLength="100" border="1" negativeBarBorderColorSameAsPositive="0">
              <x14:cfvo type="autoMin"/>
              <x14:cfvo type="autoMax"/>
              <x14:borderColor rgb="FF63C384"/>
              <x14:negativeFillColor rgb="FFFF0000"/>
              <x14:negativeBorderColor rgb="FFFF0000"/>
              <x14:axisColor rgb="FF000000"/>
            </x14:dataBar>
          </x14:cfRule>
          <xm:sqref>X1:X1048576</xm:sqref>
        </x14:conditionalFormatting>
        <x14:conditionalFormatting xmlns:xm="http://schemas.microsoft.com/office/excel/2006/main">
          <x14:cfRule type="dataBar" id="{2D9CDD3E-C71F-43C7-AB3C-7563625E00F6}">
            <x14:dataBar minLength="0" maxLength="100" border="1" negativeBarBorderColorSameAsPositive="0">
              <x14:cfvo type="autoMin"/>
              <x14:cfvo type="autoMax"/>
              <x14:borderColor rgb="FFD6007B"/>
              <x14:negativeFillColor rgb="FFFF0000"/>
              <x14:negativeBorderColor rgb="FFFF0000"/>
              <x14:axisColor rgb="FF000000"/>
            </x14:dataBar>
          </x14:cfRule>
          <xm:sqref>AD1:AD1001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434C-54C7-4C43-AB95-ECB31F00A408}">
  <dimension ref="A1:BS83"/>
  <sheetViews>
    <sheetView showGridLines="0" zoomScale="41" zoomScaleNormal="48" workbookViewId="0">
      <selection activeCell="A2" sqref="A2"/>
    </sheetView>
  </sheetViews>
  <sheetFormatPr defaultRowHeight="14.4"/>
  <cols>
    <col min="3" max="3" width="19.77734375" customWidth="1"/>
    <col min="6" max="6" width="20.5546875" customWidth="1"/>
    <col min="7" max="7" width="31.109375" customWidth="1"/>
    <col min="8" max="8" width="24.33203125" customWidth="1"/>
    <col min="9" max="9" width="8.88671875" hidden="1" customWidth="1"/>
    <col min="12" max="12" width="27.109375" customWidth="1"/>
    <col min="13" max="13" width="20.6640625" customWidth="1"/>
    <col min="15" max="15" width="18.44140625" customWidth="1"/>
    <col min="18" max="18" width="26.33203125" customWidth="1"/>
    <col min="19" max="19" width="95.33203125" customWidth="1"/>
    <col min="20" max="20" width="0.21875" customWidth="1"/>
    <col min="21" max="21" width="18.109375" hidden="1" customWidth="1"/>
    <col min="25" max="25" width="9.33203125" customWidth="1"/>
    <col min="56" max="56" width="93.5546875" customWidth="1"/>
    <col min="57" max="57" width="119.33203125" customWidth="1"/>
  </cols>
  <sheetData>
    <row r="1" spans="1:71">
      <c r="AM1" s="39"/>
      <c r="AN1" s="38"/>
      <c r="AO1" s="38"/>
      <c r="AP1" s="39"/>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row>
    <row r="2" spans="1:71">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row>
    <row r="3" spans="1:71">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row>
    <row r="4" spans="1:71">
      <c r="A4" s="28"/>
      <c r="B4" s="28"/>
      <c r="C4" s="28"/>
      <c r="D4" s="28"/>
      <c r="E4" s="28"/>
      <c r="F4" s="28"/>
      <c r="G4" s="28"/>
      <c r="H4" s="28"/>
      <c r="I4" s="28"/>
      <c r="J4" s="28"/>
      <c r="K4" s="28"/>
      <c r="L4" s="28"/>
      <c r="M4" s="28"/>
      <c r="N4" s="28"/>
      <c r="O4" s="28"/>
      <c r="P4" s="28"/>
      <c r="Q4" s="28"/>
      <c r="R4" s="28"/>
      <c r="S4" s="28"/>
      <c r="T4" s="28"/>
      <c r="U4" s="28"/>
      <c r="V4" s="31"/>
      <c r="W4" s="31"/>
      <c r="X4" s="31"/>
      <c r="Y4" s="31"/>
      <c r="Z4" s="31"/>
      <c r="AA4" s="31"/>
      <c r="AB4" s="31"/>
      <c r="AC4" s="31"/>
      <c r="AD4" s="31"/>
      <c r="AE4" s="31"/>
      <c r="AF4" s="31"/>
      <c r="AG4" s="31"/>
      <c r="AH4" s="31"/>
      <c r="AI4" s="31"/>
      <c r="AJ4" s="31"/>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row>
    <row r="5" spans="1:71" ht="46.2">
      <c r="A5" s="74" t="s">
        <v>1373</v>
      </c>
      <c r="B5" s="74"/>
      <c r="C5" s="74"/>
      <c r="D5" s="74"/>
      <c r="E5" s="74"/>
      <c r="F5" s="74"/>
      <c r="G5" s="74"/>
      <c r="H5" s="74"/>
      <c r="I5" s="74"/>
      <c r="J5" s="74"/>
      <c r="K5" s="74"/>
      <c r="L5" s="74"/>
      <c r="M5" s="74"/>
      <c r="N5" s="74"/>
      <c r="O5" s="74"/>
      <c r="P5" s="74"/>
      <c r="Q5" s="74"/>
      <c r="R5" s="74"/>
      <c r="S5" s="74"/>
      <c r="T5" s="74"/>
      <c r="U5" s="74"/>
      <c r="V5" s="31"/>
      <c r="W5" s="31"/>
      <c r="X5" s="31"/>
      <c r="Y5" s="31"/>
      <c r="Z5" s="31"/>
      <c r="AA5" s="31"/>
      <c r="AB5" s="31"/>
      <c r="AC5" s="31"/>
      <c r="AD5" s="31"/>
      <c r="AE5" s="31"/>
      <c r="AF5" s="31"/>
      <c r="AG5" s="31"/>
      <c r="AH5" s="31"/>
      <c r="AI5" s="31"/>
      <c r="AJ5" s="31"/>
      <c r="AM5" s="38"/>
      <c r="AN5" s="38"/>
      <c r="AO5" s="39"/>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row>
    <row r="6" spans="1:71" ht="49.8" customHeight="1">
      <c r="A6" s="75" t="s">
        <v>1374</v>
      </c>
      <c r="B6" s="75"/>
      <c r="C6" s="75"/>
      <c r="D6" s="75"/>
      <c r="E6" s="75"/>
      <c r="F6" s="75"/>
      <c r="G6" s="75"/>
      <c r="H6" s="75"/>
      <c r="I6" s="75"/>
      <c r="J6" s="75"/>
      <c r="K6" s="75"/>
      <c r="L6" s="75"/>
      <c r="M6" s="75"/>
      <c r="N6" s="75"/>
      <c r="O6" s="75"/>
      <c r="P6" s="75"/>
      <c r="Q6" s="75"/>
      <c r="R6" s="75"/>
      <c r="S6" s="75"/>
      <c r="T6" s="75"/>
      <c r="U6" s="75"/>
      <c r="V6" s="31"/>
      <c r="W6" s="31"/>
      <c r="X6" s="31"/>
      <c r="Y6" s="31"/>
      <c r="Z6" s="31"/>
      <c r="AA6" s="31"/>
      <c r="AB6" s="31"/>
      <c r="AC6" s="31"/>
      <c r="AD6" s="31"/>
      <c r="AE6" s="31"/>
      <c r="AF6" s="31"/>
      <c r="AG6" s="31"/>
      <c r="AH6" s="31"/>
      <c r="AI6" s="31"/>
      <c r="AJ6" s="31"/>
      <c r="AM6" s="39"/>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row>
    <row r="7" spans="1:71" ht="18.600000000000001" customHeight="1">
      <c r="A7" s="31"/>
      <c r="B7" s="31"/>
      <c r="C7" s="31"/>
      <c r="D7" s="31"/>
      <c r="E7" s="31"/>
      <c r="F7" s="31"/>
      <c r="G7" s="31"/>
      <c r="H7" s="31"/>
      <c r="I7" s="31"/>
      <c r="J7" s="31"/>
      <c r="K7" s="31"/>
      <c r="L7" s="31"/>
      <c r="M7" s="31"/>
      <c r="N7" s="31"/>
      <c r="O7" s="31"/>
      <c r="P7" s="31"/>
      <c r="Q7" s="31"/>
      <c r="R7" s="31"/>
      <c r="S7" s="31"/>
      <c r="T7" s="31"/>
      <c r="V7" s="31"/>
      <c r="W7" s="31"/>
      <c r="X7" s="31"/>
      <c r="Y7" s="31"/>
      <c r="Z7" s="31"/>
      <c r="AA7" s="31"/>
      <c r="AB7" s="31"/>
      <c r="AC7" s="31"/>
      <c r="AD7" s="31"/>
      <c r="AE7" s="31"/>
      <c r="AF7" s="31"/>
      <c r="AG7" s="31"/>
      <c r="AH7" s="31"/>
      <c r="AI7" s="31"/>
      <c r="AJ7" s="31"/>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row>
    <row r="8" spans="1:71" ht="22.8" hidden="1" customHeight="1">
      <c r="A8" s="31"/>
      <c r="B8" s="31"/>
      <c r="C8" s="31"/>
      <c r="D8" s="31"/>
      <c r="E8" s="31"/>
      <c r="F8" s="31"/>
      <c r="G8" s="31"/>
      <c r="H8" s="31"/>
      <c r="I8" s="31"/>
      <c r="J8" s="31"/>
      <c r="K8" s="31"/>
      <c r="L8" s="31"/>
      <c r="M8" s="31"/>
      <c r="N8" s="31"/>
      <c r="O8" s="31"/>
      <c r="P8" s="31"/>
      <c r="Q8" s="31"/>
      <c r="R8" s="31"/>
      <c r="S8" s="31"/>
      <c r="T8" s="31"/>
      <c r="V8" s="31"/>
      <c r="W8" s="31"/>
      <c r="X8" s="31"/>
      <c r="Y8" s="31"/>
      <c r="Z8" s="31"/>
      <c r="AA8" s="31"/>
      <c r="AB8" s="31"/>
      <c r="AC8" s="31"/>
      <c r="AD8" s="31"/>
      <c r="AE8" s="31"/>
      <c r="AF8" s="31"/>
      <c r="AG8" s="31"/>
      <c r="AH8" s="31"/>
      <c r="AI8" s="31"/>
      <c r="AJ8" s="31"/>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row>
    <row r="9" spans="1:71" ht="40.200000000000003" customHeight="1">
      <c r="A9" s="76" t="s">
        <v>1358</v>
      </c>
      <c r="B9" s="76"/>
      <c r="C9" s="76"/>
      <c r="D9" s="76"/>
      <c r="E9" s="76"/>
      <c r="F9" s="76"/>
      <c r="G9" s="76"/>
      <c r="S9" s="31"/>
      <c r="T9" s="31"/>
      <c r="V9" s="31"/>
      <c r="W9" s="31"/>
      <c r="X9" s="31"/>
      <c r="Y9" s="31"/>
      <c r="Z9" s="31"/>
      <c r="AA9" s="31"/>
      <c r="AB9" s="31"/>
      <c r="AC9" s="31"/>
      <c r="AD9" s="31"/>
      <c r="AE9" s="31"/>
      <c r="AF9" s="31"/>
      <c r="AG9" s="31"/>
      <c r="AH9" s="31"/>
      <c r="AI9" s="31"/>
      <c r="AJ9" s="31"/>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row>
    <row r="10" spans="1:71" ht="24" customHeight="1">
      <c r="A10" s="65" t="s">
        <v>1350</v>
      </c>
      <c r="B10" s="66"/>
      <c r="C10" s="67"/>
      <c r="D10" s="77" t="s">
        <v>1351</v>
      </c>
      <c r="E10" s="78"/>
      <c r="F10" s="79"/>
      <c r="G10" s="80" t="s">
        <v>1352</v>
      </c>
      <c r="H10" s="78"/>
      <c r="I10" s="79"/>
      <c r="J10" s="77" t="s">
        <v>1353</v>
      </c>
      <c r="K10" s="78"/>
      <c r="L10" s="79"/>
      <c r="M10" s="80" t="s">
        <v>1354</v>
      </c>
      <c r="N10" s="78"/>
      <c r="O10" s="79"/>
      <c r="P10" s="77" t="s">
        <v>1355</v>
      </c>
      <c r="Q10" s="78"/>
      <c r="R10" s="79"/>
      <c r="S10" s="31"/>
      <c r="T10" s="31"/>
      <c r="V10" s="31"/>
      <c r="W10" s="31"/>
      <c r="X10" s="31"/>
      <c r="Y10" s="31"/>
      <c r="Z10" s="31"/>
      <c r="AA10" s="31"/>
      <c r="AB10" s="31"/>
      <c r="AC10" s="31"/>
      <c r="AD10" s="31"/>
      <c r="AE10" s="31"/>
      <c r="AF10" s="31"/>
      <c r="AG10" s="31"/>
      <c r="AH10" s="31"/>
      <c r="AI10" s="31"/>
      <c r="AJ10" s="31"/>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row>
    <row r="11" spans="1:71" ht="14.4" customHeight="1">
      <c r="A11" s="81">
        <f>COUNTA(RAW_DATA!A:A)-1</f>
        <v>1000</v>
      </c>
      <c r="B11" s="82"/>
      <c r="C11" s="83"/>
      <c r="D11" s="87" t="s">
        <v>1357</v>
      </c>
      <c r="E11" s="88"/>
      <c r="F11" s="89"/>
      <c r="G11" s="93">
        <f>AVERAGE(Dataset[[#All],[Quiz_Score]])</f>
        <v>68.007000000000005</v>
      </c>
      <c r="H11" s="69"/>
      <c r="I11" s="70"/>
      <c r="J11" s="94">
        <v>14597400</v>
      </c>
      <c r="K11" s="95"/>
      <c r="L11" s="96"/>
      <c r="M11" s="100">
        <f>COUNTIF(Dataset[[#All],[Payment_Status]],"Paid")</f>
        <v>321</v>
      </c>
      <c r="N11" s="69"/>
      <c r="O11" s="70"/>
      <c r="P11" s="68">
        <f>COUNTIF(Dataset[[#All],[Payment_Status]],"Pending")</f>
        <v>679</v>
      </c>
      <c r="Q11" s="69"/>
      <c r="R11" s="70"/>
      <c r="S11" s="31"/>
      <c r="T11" s="31"/>
      <c r="V11" s="31"/>
      <c r="W11" s="31"/>
      <c r="X11" s="31"/>
      <c r="Y11" s="31"/>
      <c r="Z11" s="31"/>
      <c r="AA11" s="31"/>
      <c r="AB11" s="31"/>
      <c r="AC11" s="31"/>
      <c r="AD11" s="31"/>
      <c r="AE11" s="31"/>
      <c r="AF11" s="31"/>
      <c r="AG11" s="31"/>
      <c r="AH11" s="31"/>
      <c r="AI11" s="31"/>
      <c r="AJ11" s="31"/>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row>
    <row r="12" spans="1:71" ht="34.799999999999997" customHeight="1">
      <c r="A12" s="84"/>
      <c r="B12" s="85"/>
      <c r="C12" s="86"/>
      <c r="D12" s="90"/>
      <c r="E12" s="91"/>
      <c r="F12" s="92"/>
      <c r="G12" s="71"/>
      <c r="H12" s="72"/>
      <c r="I12" s="73"/>
      <c r="J12" s="97"/>
      <c r="K12" s="98"/>
      <c r="L12" s="99"/>
      <c r="M12" s="71"/>
      <c r="N12" s="72"/>
      <c r="O12" s="73"/>
      <c r="P12" s="71"/>
      <c r="Q12" s="72"/>
      <c r="R12" s="73"/>
      <c r="S12" s="31"/>
      <c r="T12" s="31"/>
      <c r="V12" s="31"/>
      <c r="W12" s="31"/>
      <c r="X12" s="31"/>
      <c r="Y12" s="31"/>
      <c r="Z12" s="31"/>
      <c r="AA12" s="31"/>
      <c r="AB12" s="31"/>
      <c r="AC12" s="31"/>
      <c r="AD12" s="31"/>
      <c r="AE12" s="31"/>
      <c r="AF12" s="31"/>
      <c r="AG12" s="31"/>
      <c r="AH12" s="31"/>
      <c r="AI12" s="31"/>
      <c r="AJ12" s="31"/>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row>
    <row r="13" spans="1:71">
      <c r="A13" s="31"/>
      <c r="B13" s="31"/>
      <c r="C13" s="31"/>
      <c r="D13" s="31"/>
      <c r="E13" s="31"/>
      <c r="F13" s="31"/>
      <c r="G13" s="31"/>
      <c r="H13" s="31"/>
      <c r="I13" s="31"/>
      <c r="J13" s="31"/>
      <c r="K13" s="31"/>
      <c r="L13" s="31"/>
      <c r="M13" s="31"/>
      <c r="N13" s="31"/>
      <c r="O13" s="31"/>
      <c r="P13" s="31"/>
      <c r="Q13" s="31"/>
      <c r="R13" s="31"/>
      <c r="S13" s="31"/>
      <c r="T13" s="31"/>
      <c r="V13" s="31"/>
      <c r="W13" s="31"/>
      <c r="X13" s="31"/>
      <c r="Y13" s="31"/>
      <c r="Z13" s="31"/>
      <c r="AA13" s="31"/>
      <c r="AB13" s="31"/>
      <c r="AC13" s="31"/>
      <c r="AD13" s="31"/>
      <c r="AE13" s="31"/>
      <c r="AF13" s="31"/>
      <c r="AG13" s="31"/>
      <c r="AH13" s="31"/>
      <c r="AI13" s="31"/>
      <c r="AJ13" s="31"/>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row>
    <row r="14" spans="1:71" ht="31.2" customHeight="1">
      <c r="A14" s="101" t="s">
        <v>1359</v>
      </c>
      <c r="B14" s="101"/>
      <c r="C14" s="101"/>
      <c r="D14" s="101"/>
      <c r="E14" s="101"/>
      <c r="F14" s="101"/>
      <c r="G14" s="101"/>
      <c r="H14" s="101"/>
      <c r="I14" s="101"/>
      <c r="J14" s="101"/>
      <c r="K14" s="101"/>
      <c r="L14" s="101"/>
      <c r="M14" s="101"/>
      <c r="N14" s="101"/>
      <c r="O14" s="101"/>
      <c r="P14" s="101"/>
      <c r="Q14" s="101"/>
      <c r="R14" s="101"/>
      <c r="S14" s="31"/>
      <c r="T14" s="31"/>
      <c r="V14" s="31"/>
      <c r="W14" s="31"/>
      <c r="X14" s="31"/>
      <c r="Y14" s="31"/>
      <c r="Z14" s="31"/>
      <c r="AA14" s="31"/>
      <c r="AB14" s="31"/>
      <c r="AC14" s="31"/>
      <c r="AD14" s="31"/>
      <c r="AE14" s="31"/>
      <c r="AF14" s="31"/>
      <c r="AG14" s="31"/>
      <c r="AH14" s="31"/>
      <c r="AI14" s="31"/>
      <c r="AJ14" s="31"/>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row>
    <row r="15" spans="1:71" ht="27" customHeight="1">
      <c r="A15" s="77" t="s">
        <v>1360</v>
      </c>
      <c r="B15" s="78"/>
      <c r="C15" s="79"/>
      <c r="D15" s="80" t="s">
        <v>1361</v>
      </c>
      <c r="E15" s="78"/>
      <c r="F15" s="79"/>
      <c r="G15" s="77" t="s">
        <v>1362</v>
      </c>
      <c r="H15" s="78"/>
      <c r="I15" s="79"/>
      <c r="J15" s="80" t="s">
        <v>1363</v>
      </c>
      <c r="K15" s="78"/>
      <c r="L15" s="79"/>
      <c r="M15" s="114" t="s">
        <v>1370</v>
      </c>
      <c r="N15" s="115"/>
      <c r="O15" s="116"/>
      <c r="P15" s="80" t="s">
        <v>1356</v>
      </c>
      <c r="Q15" s="78"/>
      <c r="R15" s="79"/>
      <c r="S15" s="31"/>
      <c r="T15" s="31"/>
      <c r="V15" s="31"/>
      <c r="W15" s="31"/>
      <c r="X15" s="31"/>
      <c r="Y15" s="31"/>
      <c r="Z15" s="31"/>
      <c r="AA15" s="31"/>
      <c r="AB15" s="31"/>
      <c r="AC15" s="31"/>
      <c r="AD15" s="31"/>
      <c r="AE15" s="31"/>
      <c r="AF15" s="31"/>
      <c r="AG15" s="31"/>
      <c r="AH15" s="31"/>
      <c r="AI15" s="31"/>
      <c r="AJ15" s="31"/>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row>
    <row r="16" spans="1:71" ht="14.4" customHeight="1">
      <c r="A16" s="105">
        <f>COUNTIF(Dataset[[#All],[Login_Status]],"Long Time Login")</f>
        <v>345</v>
      </c>
      <c r="B16" s="69"/>
      <c r="C16" s="70"/>
      <c r="D16" s="106">
        <f>COUNTIF(Dataset[Login_Status],"Short Time Login")</f>
        <v>655</v>
      </c>
      <c r="E16" s="69"/>
      <c r="F16" s="70"/>
      <c r="G16" s="105">
        <f>COUNTIF(Dataset[[#All],[Gender]],"Female")</f>
        <v>468</v>
      </c>
      <c r="H16" s="69"/>
      <c r="I16" s="70"/>
      <c r="J16" s="106">
        <f>COUNTIF(Dataset[Gender],"Male")</f>
        <v>532</v>
      </c>
      <c r="K16" s="69"/>
      <c r="L16" s="70"/>
      <c r="M16" s="107" t="s">
        <v>40</v>
      </c>
      <c r="N16" s="108"/>
      <c r="O16" s="109"/>
      <c r="P16" s="113">
        <f>COUNTIF(Dataset[[#All],[Dropout_Student]],"Yes")</f>
        <v>58</v>
      </c>
      <c r="Q16" s="69"/>
      <c r="R16" s="70"/>
      <c r="S16" s="31"/>
      <c r="T16" s="31"/>
      <c r="V16" s="31"/>
      <c r="W16" s="31"/>
      <c r="X16" s="31"/>
      <c r="Y16" s="31"/>
      <c r="Z16" s="31"/>
      <c r="AA16" s="31"/>
      <c r="AB16" s="31"/>
      <c r="AC16" s="31"/>
      <c r="AD16" s="31"/>
      <c r="AE16" s="31"/>
      <c r="AF16" s="31"/>
      <c r="AG16" s="31"/>
      <c r="AH16" s="31"/>
      <c r="AI16" s="31"/>
      <c r="AJ16" s="31"/>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row>
    <row r="17" spans="1:71" ht="43.8" customHeight="1">
      <c r="A17" s="71"/>
      <c r="B17" s="72"/>
      <c r="C17" s="73"/>
      <c r="D17" s="71"/>
      <c r="E17" s="72"/>
      <c r="F17" s="73"/>
      <c r="G17" s="71"/>
      <c r="H17" s="72"/>
      <c r="I17" s="73"/>
      <c r="J17" s="71"/>
      <c r="K17" s="72"/>
      <c r="L17" s="73"/>
      <c r="M17" s="110"/>
      <c r="N17" s="111"/>
      <c r="O17" s="112"/>
      <c r="P17" s="71"/>
      <c r="Q17" s="72"/>
      <c r="R17" s="73"/>
      <c r="S17" s="31"/>
      <c r="T17" s="31"/>
      <c r="V17" s="31"/>
      <c r="W17" s="31"/>
      <c r="X17" s="31"/>
      <c r="Y17" s="31"/>
      <c r="Z17" s="31"/>
      <c r="AA17" s="31"/>
      <c r="AB17" s="31"/>
      <c r="AC17" s="31"/>
      <c r="AD17" s="31"/>
      <c r="AE17" s="31"/>
      <c r="AF17" s="31"/>
      <c r="AG17" s="31"/>
      <c r="AH17" s="31"/>
      <c r="AI17" s="31"/>
      <c r="AJ17" s="31"/>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row>
    <row r="18" spans="1:71">
      <c r="A18" s="31"/>
      <c r="B18" s="31"/>
      <c r="C18" s="31"/>
      <c r="D18" s="31"/>
      <c r="E18" s="31"/>
      <c r="F18" s="31"/>
      <c r="G18" s="31"/>
      <c r="H18" s="31"/>
      <c r="I18" s="31"/>
      <c r="J18" s="31"/>
      <c r="K18" s="31"/>
      <c r="L18" s="31"/>
      <c r="M18" s="31"/>
      <c r="N18" s="31"/>
      <c r="O18" s="31"/>
      <c r="P18" s="31"/>
      <c r="Q18" s="31"/>
      <c r="R18" s="31"/>
      <c r="S18" s="31"/>
      <c r="T18" s="31"/>
      <c r="V18" s="31"/>
      <c r="W18" s="31"/>
      <c r="X18" s="31"/>
      <c r="Y18" s="31"/>
      <c r="Z18" s="31"/>
      <c r="AA18" s="31"/>
      <c r="AB18" s="31"/>
      <c r="AC18" s="31"/>
      <c r="AD18" s="31"/>
      <c r="AE18" s="31"/>
      <c r="AF18" s="31"/>
      <c r="AG18" s="31"/>
      <c r="AH18" s="31"/>
      <c r="AI18" s="31"/>
      <c r="AJ18" s="31"/>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row>
    <row r="19" spans="1:71">
      <c r="A19" s="31"/>
      <c r="B19" s="31"/>
      <c r="C19" s="31"/>
      <c r="D19" s="31"/>
      <c r="E19" s="31"/>
      <c r="F19" s="31"/>
      <c r="G19" s="31"/>
      <c r="H19" s="31"/>
      <c r="I19" s="31"/>
      <c r="J19" s="31"/>
      <c r="K19" s="31"/>
      <c r="L19" s="31"/>
      <c r="M19" s="31"/>
      <c r="N19" s="31"/>
      <c r="O19" s="31"/>
      <c r="P19" s="31"/>
      <c r="Q19" s="31"/>
      <c r="R19" s="31"/>
      <c r="S19" s="40"/>
      <c r="T19" s="31"/>
      <c r="V19" s="31"/>
      <c r="W19" s="31"/>
      <c r="X19" s="31"/>
      <c r="Y19" s="31"/>
      <c r="Z19" s="31"/>
      <c r="AA19" s="31"/>
      <c r="AB19" s="31"/>
      <c r="AC19" s="31"/>
      <c r="AD19" s="31"/>
      <c r="AE19" s="31"/>
      <c r="AF19" s="31"/>
      <c r="AG19" s="31"/>
      <c r="AH19" s="31"/>
      <c r="AI19" s="31"/>
      <c r="AJ19" s="31"/>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row>
    <row r="20" spans="1:71">
      <c r="A20" s="31"/>
      <c r="B20" s="31"/>
      <c r="C20" s="31"/>
      <c r="D20" s="31"/>
      <c r="E20" s="31"/>
      <c r="F20" s="31"/>
      <c r="G20" s="31"/>
      <c r="H20" s="31"/>
      <c r="I20" s="31"/>
      <c r="J20" s="31"/>
      <c r="K20" s="31"/>
      <c r="L20" s="31"/>
      <c r="M20" s="31"/>
      <c r="N20" s="31"/>
      <c r="O20" s="31"/>
      <c r="P20" s="31"/>
      <c r="Q20" s="31"/>
      <c r="R20" s="31"/>
      <c r="S20" s="31"/>
      <c r="T20" s="31"/>
      <c r="V20" s="31"/>
      <c r="W20" s="31"/>
      <c r="X20" s="31"/>
      <c r="Y20" s="31"/>
      <c r="Z20" s="31"/>
      <c r="AA20" s="31"/>
      <c r="AB20" s="31"/>
      <c r="AC20" s="31"/>
      <c r="AD20" s="31"/>
      <c r="AE20" s="31"/>
      <c r="AF20" s="31"/>
      <c r="AG20" s="31"/>
      <c r="AH20" s="31"/>
      <c r="AI20" s="31"/>
      <c r="AJ20" s="31"/>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row>
    <row r="21" spans="1:71">
      <c r="A21" s="31"/>
      <c r="B21" s="31"/>
      <c r="C21" s="31"/>
      <c r="D21" s="31"/>
      <c r="E21" s="31"/>
      <c r="F21" s="31"/>
      <c r="G21" s="31"/>
      <c r="H21" s="31"/>
      <c r="I21" s="31"/>
      <c r="J21" s="31"/>
      <c r="K21" s="31"/>
      <c r="L21" s="31"/>
      <c r="M21" s="31"/>
      <c r="N21" s="31"/>
      <c r="O21" s="31"/>
      <c r="P21" s="31"/>
      <c r="Q21" s="31"/>
      <c r="R21" s="31"/>
      <c r="S21" s="31"/>
      <c r="T21" s="31"/>
      <c r="V21" s="31"/>
      <c r="W21" s="31"/>
      <c r="X21" s="31"/>
      <c r="Y21" s="31"/>
      <c r="Z21" s="31"/>
      <c r="AA21" s="31"/>
      <c r="AB21" s="31"/>
      <c r="AC21" s="31"/>
      <c r="AD21" s="31"/>
      <c r="AE21" s="31"/>
      <c r="AF21" s="31"/>
      <c r="AG21" s="31"/>
      <c r="AH21" s="31"/>
      <c r="AI21" s="31"/>
      <c r="AJ21" s="31"/>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row>
    <row r="22" spans="1:71">
      <c r="A22" s="31"/>
      <c r="B22" s="31"/>
      <c r="C22" s="31"/>
      <c r="D22" s="31"/>
      <c r="E22" s="31"/>
      <c r="F22" s="31"/>
      <c r="G22" s="31"/>
      <c r="H22" s="31"/>
      <c r="I22" s="31"/>
      <c r="J22" s="31"/>
      <c r="K22" s="31"/>
      <c r="L22" s="31"/>
      <c r="M22" s="31"/>
      <c r="N22" s="31"/>
      <c r="O22" s="31"/>
      <c r="P22" s="31"/>
      <c r="Q22" s="31"/>
      <c r="R22" s="31"/>
      <c r="S22" s="31"/>
      <c r="T22" s="31"/>
      <c r="V22" s="31"/>
      <c r="W22" s="31"/>
      <c r="X22" s="31"/>
      <c r="Y22" s="31"/>
      <c r="Z22" s="31"/>
      <c r="AA22" s="31"/>
      <c r="AB22" s="31"/>
      <c r="AC22" s="31"/>
      <c r="AD22" s="31"/>
      <c r="AE22" s="31"/>
      <c r="AF22" s="31"/>
      <c r="AG22" s="31"/>
      <c r="AH22" s="31"/>
      <c r="AI22" s="31"/>
      <c r="AJ22" s="31"/>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row>
    <row r="23" spans="1:71">
      <c r="A23" s="31"/>
      <c r="B23" s="31"/>
      <c r="C23" s="31"/>
      <c r="D23" s="31"/>
      <c r="E23" s="31"/>
      <c r="F23" s="31"/>
      <c r="G23" s="31"/>
      <c r="H23" s="31"/>
      <c r="I23" s="31"/>
      <c r="J23" s="31"/>
      <c r="K23" s="31"/>
      <c r="L23" s="31"/>
      <c r="M23" s="31"/>
      <c r="N23" s="31"/>
      <c r="O23" s="31"/>
      <c r="P23" s="31"/>
      <c r="Q23" s="31"/>
      <c r="R23" s="31"/>
      <c r="S23" s="31"/>
      <c r="T23" s="31"/>
      <c r="V23" s="31"/>
      <c r="W23" s="31"/>
      <c r="X23" s="31"/>
      <c r="Y23" s="31"/>
      <c r="Z23" s="31"/>
      <c r="AA23" s="31"/>
      <c r="AB23" s="31"/>
      <c r="AC23" s="31"/>
      <c r="AD23" s="31"/>
      <c r="AE23" s="31"/>
      <c r="AF23" s="31"/>
      <c r="AG23" s="31"/>
      <c r="AH23" s="31"/>
      <c r="AI23" s="31"/>
      <c r="AJ23" s="31"/>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row>
    <row r="24" spans="1:71">
      <c r="A24" s="31"/>
      <c r="B24" s="31"/>
      <c r="C24" s="31"/>
      <c r="D24" s="31"/>
      <c r="E24" s="31"/>
      <c r="F24" s="31"/>
      <c r="G24" s="31"/>
      <c r="H24" s="31"/>
      <c r="I24" s="31"/>
      <c r="J24" s="31"/>
      <c r="K24" s="31"/>
      <c r="L24" s="31"/>
      <c r="M24" s="31"/>
      <c r="N24" s="31"/>
      <c r="O24" s="31"/>
      <c r="P24" s="31"/>
      <c r="Q24" s="31"/>
      <c r="R24" s="31"/>
      <c r="S24" s="31"/>
      <c r="T24" s="31"/>
      <c r="V24" s="31"/>
      <c r="W24" s="31"/>
      <c r="X24" s="31"/>
      <c r="Y24" s="31"/>
      <c r="Z24" s="31"/>
      <c r="AA24" s="31"/>
      <c r="AB24" s="31"/>
      <c r="AC24" s="31"/>
      <c r="AD24" s="31"/>
      <c r="AE24" s="31"/>
      <c r="AF24" s="31"/>
      <c r="AG24" s="31"/>
      <c r="AH24" s="31"/>
      <c r="AI24" s="31"/>
      <c r="AJ24" s="31"/>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row>
    <row r="25" spans="1:71">
      <c r="A25" s="31"/>
      <c r="B25" s="31"/>
      <c r="C25" s="31"/>
      <c r="D25" s="31"/>
      <c r="E25" s="31"/>
      <c r="F25" s="31"/>
      <c r="G25" s="31"/>
      <c r="H25" s="31"/>
      <c r="I25" s="31"/>
      <c r="J25" s="31"/>
      <c r="K25" s="31"/>
      <c r="L25" s="31"/>
      <c r="M25" s="31"/>
      <c r="N25" s="31"/>
      <c r="O25" s="31"/>
      <c r="P25" s="31"/>
      <c r="Q25" s="31"/>
      <c r="R25" s="31"/>
      <c r="S25" s="31"/>
      <c r="T25" s="31"/>
      <c r="V25" s="31"/>
      <c r="W25" s="31"/>
      <c r="X25" s="31"/>
      <c r="Y25" s="31"/>
      <c r="Z25" s="31"/>
      <c r="AA25" s="31"/>
      <c r="AB25" s="31"/>
      <c r="AC25" s="31"/>
      <c r="AD25" s="31"/>
      <c r="AE25" s="31"/>
      <c r="AF25" s="31"/>
      <c r="AG25" s="31"/>
      <c r="AH25" s="31"/>
      <c r="AI25" s="31"/>
      <c r="AJ25" s="31"/>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row>
    <row r="26" spans="1:71">
      <c r="A26" s="31"/>
      <c r="B26" s="31"/>
      <c r="C26" s="31"/>
      <c r="D26" s="31"/>
      <c r="E26" s="31"/>
      <c r="F26" s="31"/>
      <c r="G26" s="31"/>
      <c r="H26" s="31"/>
      <c r="I26" s="31"/>
      <c r="J26" s="31"/>
      <c r="K26" s="31"/>
      <c r="L26" s="31"/>
      <c r="M26" s="31"/>
      <c r="N26" s="31"/>
      <c r="O26" s="31"/>
      <c r="P26" s="31"/>
      <c r="Q26" s="31"/>
      <c r="R26" s="31"/>
      <c r="S26" s="31"/>
      <c r="T26" s="31"/>
      <c r="V26" s="31"/>
      <c r="W26" s="31"/>
      <c r="X26" s="31"/>
      <c r="Y26" s="31"/>
      <c r="Z26" s="31"/>
      <c r="AA26" s="31"/>
      <c r="AB26" s="31"/>
      <c r="AC26" s="31"/>
      <c r="AD26" s="31"/>
      <c r="AE26" s="31"/>
      <c r="AF26" s="31"/>
      <c r="AG26" s="31"/>
      <c r="AH26" s="31"/>
      <c r="AI26" s="31"/>
      <c r="AJ26" s="31"/>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row>
    <row r="27" spans="1:71">
      <c r="A27" s="31"/>
      <c r="B27" s="31"/>
      <c r="C27" s="31"/>
      <c r="D27" s="31"/>
      <c r="E27" s="31"/>
      <c r="F27" s="31"/>
      <c r="G27" s="31"/>
      <c r="H27" s="31"/>
      <c r="I27" s="31"/>
      <c r="J27" s="31"/>
      <c r="K27" s="31"/>
      <c r="L27" s="31"/>
      <c r="M27" s="31"/>
      <c r="N27" s="31"/>
      <c r="O27" s="31"/>
      <c r="P27" s="31"/>
      <c r="Q27" s="31"/>
      <c r="R27" s="31"/>
      <c r="S27" s="31"/>
      <c r="T27" s="31"/>
      <c r="V27" s="31"/>
      <c r="W27" s="31"/>
      <c r="X27" s="31"/>
      <c r="Y27" s="31"/>
      <c r="Z27" s="31"/>
      <c r="AA27" s="31"/>
      <c r="AB27" s="31"/>
      <c r="AC27" s="31"/>
      <c r="AD27" s="31"/>
      <c r="AE27" s="31"/>
      <c r="AF27" s="31"/>
      <c r="AG27" s="31"/>
      <c r="AH27" s="31"/>
      <c r="AI27" s="31"/>
      <c r="AJ27" s="31"/>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row>
    <row r="28" spans="1:71">
      <c r="A28" s="31"/>
      <c r="B28" s="31"/>
      <c r="C28" s="31"/>
      <c r="D28" s="31"/>
      <c r="E28" s="31"/>
      <c r="F28" s="31"/>
      <c r="G28" s="31"/>
      <c r="H28" s="31"/>
      <c r="I28" s="31"/>
      <c r="J28" s="31"/>
      <c r="K28" s="31"/>
      <c r="L28" s="31"/>
      <c r="M28" s="31"/>
      <c r="N28" s="31"/>
      <c r="O28" s="31"/>
      <c r="P28" s="31"/>
      <c r="Q28" s="31"/>
      <c r="R28" s="31"/>
      <c r="S28" s="31"/>
      <c r="T28" s="31"/>
      <c r="V28" s="31"/>
      <c r="W28" s="31"/>
      <c r="X28" s="31"/>
      <c r="Y28" s="31"/>
      <c r="Z28" s="31"/>
      <c r="AA28" s="31"/>
      <c r="AB28" s="31"/>
      <c r="AC28" s="31"/>
      <c r="AD28" s="31"/>
      <c r="AE28" s="31"/>
      <c r="AF28" s="31"/>
      <c r="AG28" s="31"/>
      <c r="AH28" s="31"/>
      <c r="AI28" s="31"/>
      <c r="AJ28" s="31"/>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row>
    <row r="29" spans="1:71">
      <c r="A29" s="31"/>
      <c r="B29" s="31"/>
      <c r="C29" s="31"/>
      <c r="D29" s="31"/>
      <c r="E29" s="31"/>
      <c r="F29" s="31"/>
      <c r="G29" s="31"/>
      <c r="H29" s="31"/>
      <c r="I29" s="31"/>
      <c r="J29" s="31"/>
      <c r="K29" s="31"/>
      <c r="L29" s="31"/>
      <c r="M29" s="31"/>
      <c r="N29" s="31"/>
      <c r="O29" s="31"/>
      <c r="P29" s="31"/>
      <c r="Q29" s="31"/>
      <c r="R29" s="31"/>
      <c r="S29" s="31"/>
      <c r="T29" s="31"/>
      <c r="V29" s="31"/>
      <c r="W29" s="31"/>
      <c r="X29" s="31"/>
      <c r="Y29" s="31"/>
      <c r="Z29" s="31"/>
      <c r="AA29" s="31"/>
      <c r="AB29" s="31"/>
      <c r="AC29" s="31"/>
      <c r="AD29" s="31"/>
      <c r="AE29" s="31"/>
      <c r="AF29" s="31"/>
      <c r="AG29" s="31"/>
      <c r="AH29" s="31"/>
      <c r="AI29" s="31"/>
      <c r="AJ29" s="31"/>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row>
    <row r="30" spans="1:71">
      <c r="A30" s="31"/>
      <c r="B30" s="31"/>
      <c r="C30" s="31"/>
      <c r="D30" s="31"/>
      <c r="E30" s="31"/>
      <c r="F30" s="31"/>
      <c r="G30" s="31"/>
      <c r="H30" s="31"/>
      <c r="I30" s="31"/>
      <c r="J30" s="31"/>
      <c r="K30" s="31"/>
      <c r="L30" s="31"/>
      <c r="M30" s="31"/>
      <c r="N30" s="31"/>
      <c r="O30" s="31"/>
      <c r="P30" s="31"/>
      <c r="Q30" s="31"/>
      <c r="R30" s="31"/>
      <c r="S30" s="31"/>
      <c r="T30" s="31"/>
      <c r="V30" s="31"/>
      <c r="W30" s="31"/>
      <c r="X30" s="31"/>
      <c r="Y30" s="31"/>
      <c r="Z30" s="31"/>
      <c r="AA30" s="31"/>
      <c r="AB30" s="31"/>
      <c r="AC30" s="31"/>
      <c r="AD30" s="31"/>
      <c r="AE30" s="31"/>
      <c r="AF30" s="31"/>
      <c r="AG30" s="31"/>
      <c r="AH30" s="31"/>
      <c r="AI30" s="31"/>
      <c r="AJ30" s="31"/>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row>
    <row r="31" spans="1:71">
      <c r="A31" s="31"/>
      <c r="B31" s="31"/>
      <c r="C31" s="31"/>
      <c r="D31" s="31"/>
      <c r="E31" s="31"/>
      <c r="F31" s="31"/>
      <c r="G31" s="31"/>
      <c r="H31" s="31"/>
      <c r="I31" s="31"/>
      <c r="J31" s="31"/>
      <c r="K31" s="31"/>
      <c r="L31" s="31"/>
      <c r="M31" s="31"/>
      <c r="N31" s="31"/>
      <c r="O31" s="31"/>
      <c r="P31" s="31"/>
      <c r="Q31" s="31"/>
      <c r="R31" s="31"/>
      <c r="S31" s="31"/>
      <c r="T31" s="31"/>
      <c r="V31" s="31"/>
      <c r="W31" s="31"/>
      <c r="X31" s="31"/>
      <c r="Y31" s="31"/>
      <c r="Z31" s="31"/>
      <c r="AA31" s="31"/>
      <c r="AB31" s="31"/>
      <c r="AC31" s="31"/>
      <c r="AD31" s="31"/>
      <c r="AE31" s="31"/>
      <c r="AF31" s="31"/>
      <c r="AG31" s="31"/>
      <c r="AH31" s="31"/>
      <c r="AI31" s="31"/>
      <c r="AJ31" s="31"/>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row>
    <row r="32" spans="1:71">
      <c r="A32" s="31"/>
      <c r="B32" s="31"/>
      <c r="C32" s="31"/>
      <c r="D32" s="31"/>
      <c r="E32" s="31"/>
      <c r="F32" s="31"/>
      <c r="G32" s="31"/>
      <c r="H32" s="31"/>
      <c r="I32" s="31"/>
      <c r="J32" s="31"/>
      <c r="K32" s="31"/>
      <c r="L32" s="31"/>
      <c r="M32" s="31"/>
      <c r="N32" s="31"/>
      <c r="O32" s="31"/>
      <c r="P32" s="31"/>
      <c r="Q32" s="31"/>
      <c r="R32" s="31"/>
      <c r="S32" s="31"/>
      <c r="T32" s="31"/>
      <c r="V32" s="31"/>
      <c r="W32" s="31"/>
      <c r="X32" s="31"/>
      <c r="Y32" s="31"/>
      <c r="Z32" s="31"/>
      <c r="AA32" s="31"/>
      <c r="AB32" s="31"/>
      <c r="AC32" s="31"/>
      <c r="AD32" s="31"/>
      <c r="AE32" s="31"/>
      <c r="AF32" s="31"/>
      <c r="AG32" s="31"/>
      <c r="AH32" s="31"/>
      <c r="AI32" s="31"/>
      <c r="AJ32" s="31"/>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row>
    <row r="33" spans="1:71">
      <c r="A33" s="31"/>
      <c r="B33" s="31"/>
      <c r="C33" s="31"/>
      <c r="D33" s="31"/>
      <c r="E33" s="31"/>
      <c r="F33" s="31"/>
      <c r="G33" s="31"/>
      <c r="H33" s="31"/>
      <c r="I33" s="31"/>
      <c r="J33" s="31"/>
      <c r="K33" s="31"/>
      <c r="L33" s="31"/>
      <c r="M33" s="31"/>
      <c r="N33" s="31"/>
      <c r="O33" s="31"/>
      <c r="P33" s="31"/>
      <c r="Q33" s="31"/>
      <c r="R33" s="31"/>
      <c r="S33" s="31"/>
      <c r="T33" s="31"/>
      <c r="V33" s="31"/>
      <c r="W33" s="31"/>
      <c r="X33" s="31"/>
      <c r="Y33" s="31"/>
      <c r="Z33" s="31"/>
      <c r="AA33" s="31"/>
      <c r="AB33" s="31"/>
      <c r="AC33" s="31"/>
      <c r="AD33" s="31"/>
      <c r="AE33" s="31"/>
      <c r="AF33" s="31"/>
      <c r="AG33" s="31"/>
      <c r="AH33" s="31"/>
      <c r="AI33" s="31"/>
      <c r="AJ33" s="31"/>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row>
    <row r="34" spans="1:71">
      <c r="A34" s="31"/>
      <c r="B34" s="31"/>
      <c r="C34" s="31"/>
      <c r="D34" s="31"/>
      <c r="E34" s="31"/>
      <c r="F34" s="31"/>
      <c r="G34" s="31"/>
      <c r="H34" s="31"/>
      <c r="I34" s="31"/>
      <c r="J34" s="31"/>
      <c r="K34" s="31"/>
      <c r="L34" s="31"/>
      <c r="M34" s="31"/>
      <c r="N34" s="31"/>
      <c r="O34" s="31"/>
      <c r="P34" s="31"/>
      <c r="Q34" s="31"/>
      <c r="R34" s="31"/>
      <c r="S34" s="31"/>
      <c r="T34" s="31"/>
      <c r="V34" s="31"/>
      <c r="W34" s="31"/>
      <c r="X34" s="31"/>
      <c r="Y34" s="31"/>
      <c r="Z34" s="31"/>
      <c r="AA34" s="31"/>
      <c r="AB34" s="31"/>
      <c r="AC34" s="31"/>
      <c r="AD34" s="31"/>
      <c r="AE34" s="31"/>
      <c r="AF34" s="31"/>
      <c r="AG34" s="31"/>
      <c r="AH34" s="31"/>
      <c r="AI34" s="31"/>
      <c r="AJ34" s="31"/>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row>
    <row r="35" spans="1:71">
      <c r="A35" s="31"/>
      <c r="B35" s="31"/>
      <c r="C35" s="31"/>
      <c r="D35" s="31"/>
      <c r="E35" s="31"/>
      <c r="F35" s="31"/>
      <c r="G35" s="31"/>
      <c r="H35" s="31"/>
      <c r="I35" s="31"/>
      <c r="J35" s="31"/>
      <c r="K35" s="31"/>
      <c r="L35" s="31"/>
      <c r="M35" s="31"/>
      <c r="N35" s="31"/>
      <c r="O35" s="31"/>
      <c r="P35" s="31"/>
      <c r="Q35" s="31"/>
      <c r="R35" s="31"/>
      <c r="S35" s="31"/>
      <c r="T35" s="31"/>
      <c r="V35" s="31"/>
      <c r="W35" s="31"/>
      <c r="X35" s="31"/>
      <c r="Y35" s="31"/>
      <c r="Z35" s="31"/>
      <c r="AA35" s="31"/>
      <c r="AB35" s="31"/>
      <c r="AC35" s="31"/>
      <c r="AD35" s="31"/>
      <c r="AE35" s="31"/>
      <c r="AF35" s="31"/>
      <c r="AG35" s="31"/>
      <c r="AH35" s="31"/>
      <c r="AI35" s="31"/>
      <c r="AJ35" s="31"/>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row>
    <row r="36" spans="1:71">
      <c r="A36" s="31"/>
      <c r="B36" s="31"/>
      <c r="C36" s="31"/>
      <c r="D36" s="31"/>
      <c r="E36" s="31"/>
      <c r="F36" s="31"/>
      <c r="G36" s="31"/>
      <c r="H36" s="31"/>
      <c r="I36" s="31"/>
      <c r="J36" s="31"/>
      <c r="K36" s="31"/>
      <c r="L36" s="31"/>
      <c r="M36" s="31"/>
      <c r="N36" s="31"/>
      <c r="O36" s="31"/>
      <c r="P36" s="31"/>
      <c r="Q36" s="31"/>
      <c r="R36" s="31"/>
      <c r="S36" s="31"/>
      <c r="T36" s="31"/>
      <c r="V36" s="31"/>
      <c r="W36" s="31"/>
      <c r="X36" s="31"/>
      <c r="Y36" s="31"/>
      <c r="Z36" s="31"/>
      <c r="AA36" s="31"/>
      <c r="AB36" s="31"/>
      <c r="AC36" s="31"/>
      <c r="AD36" s="31"/>
      <c r="AE36" s="31"/>
      <c r="AF36" s="31"/>
      <c r="AG36" s="31"/>
      <c r="AH36" s="31"/>
      <c r="AI36" s="31"/>
      <c r="AJ36" s="31"/>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row>
    <row r="37" spans="1:71">
      <c r="A37" s="31"/>
      <c r="B37" s="31"/>
      <c r="C37" s="31"/>
      <c r="D37" s="31"/>
      <c r="E37" s="31"/>
      <c r="F37" s="31"/>
      <c r="G37" s="31"/>
      <c r="H37" s="31"/>
      <c r="I37" s="31"/>
      <c r="J37" s="31"/>
      <c r="K37" s="31"/>
      <c r="L37" s="31"/>
      <c r="M37" s="31"/>
      <c r="N37" s="31"/>
      <c r="O37" s="31"/>
      <c r="P37" s="31"/>
      <c r="Q37" s="31"/>
      <c r="R37" s="31"/>
      <c r="S37" s="31"/>
      <c r="T37" s="31"/>
      <c r="V37" s="31"/>
      <c r="W37" s="31"/>
      <c r="X37" s="31"/>
      <c r="Y37" s="31"/>
      <c r="Z37" s="31"/>
      <c r="AA37" s="31"/>
      <c r="AB37" s="31"/>
      <c r="AC37" s="31"/>
      <c r="AD37" s="31"/>
      <c r="AE37" s="31"/>
      <c r="AF37" s="31"/>
      <c r="AG37" s="31"/>
      <c r="AH37" s="31"/>
      <c r="AI37" s="31"/>
      <c r="AJ37" s="31"/>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row>
    <row r="38" spans="1:71">
      <c r="A38" s="31"/>
      <c r="B38" s="31"/>
      <c r="C38" s="31"/>
      <c r="D38" s="31"/>
      <c r="E38" s="31"/>
      <c r="F38" s="31"/>
      <c r="G38" s="31"/>
      <c r="H38" s="31"/>
      <c r="I38" s="31"/>
      <c r="J38" s="31"/>
      <c r="K38" s="31"/>
      <c r="L38" s="31"/>
      <c r="M38" s="31"/>
      <c r="N38" s="31"/>
      <c r="O38" s="31"/>
      <c r="P38" s="31"/>
      <c r="Q38" s="31"/>
      <c r="R38" s="31"/>
      <c r="S38" s="31"/>
      <c r="T38" s="31"/>
      <c r="V38" s="31"/>
      <c r="W38" s="31"/>
      <c r="X38" s="31"/>
      <c r="Y38" s="31"/>
      <c r="Z38" s="31"/>
      <c r="AA38" s="31"/>
      <c r="AB38" s="31"/>
      <c r="AC38" s="31"/>
      <c r="AD38" s="31"/>
      <c r="AE38" s="31"/>
      <c r="AF38" s="31"/>
      <c r="AG38" s="31"/>
      <c r="AH38" s="31"/>
      <c r="AI38" s="31"/>
      <c r="AJ38" s="31"/>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row>
    <row r="39" spans="1:71" ht="15.6" customHeight="1">
      <c r="A39" s="31"/>
      <c r="B39" s="31"/>
      <c r="C39" s="31"/>
      <c r="D39" s="31"/>
      <c r="E39" s="31"/>
      <c r="F39" s="31"/>
      <c r="G39" s="31"/>
      <c r="H39" s="31"/>
      <c r="I39" s="31"/>
      <c r="J39" s="31"/>
      <c r="K39" s="31"/>
      <c r="L39" s="31"/>
      <c r="M39" s="31"/>
      <c r="N39" s="31"/>
      <c r="O39" s="31"/>
      <c r="P39" s="31"/>
      <c r="Q39" s="31"/>
      <c r="R39" s="31"/>
      <c r="S39" s="31"/>
      <c r="T39" s="31"/>
      <c r="V39" s="31"/>
      <c r="W39" s="31"/>
      <c r="X39" s="31"/>
      <c r="Y39" s="31"/>
      <c r="Z39" s="31"/>
      <c r="AA39" s="31"/>
      <c r="AB39" s="31"/>
      <c r="AC39" s="31"/>
      <c r="AD39" s="31"/>
      <c r="AE39" s="31"/>
      <c r="AF39" s="31"/>
      <c r="AG39" s="31"/>
      <c r="AH39" s="31"/>
      <c r="AI39" s="31"/>
      <c r="AJ39" s="31"/>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row>
    <row r="40" spans="1:71" ht="11.4" customHeight="1">
      <c r="A40" s="31"/>
      <c r="B40" s="31"/>
      <c r="C40" s="31"/>
      <c r="D40" s="31"/>
      <c r="E40" s="31"/>
      <c r="F40" s="31"/>
      <c r="G40" s="31"/>
      <c r="H40" s="31"/>
      <c r="I40" s="31"/>
      <c r="J40" s="31"/>
      <c r="K40" s="31"/>
      <c r="L40" s="31"/>
      <c r="M40" s="31"/>
      <c r="N40" s="31"/>
      <c r="O40" s="31"/>
      <c r="P40" s="31"/>
      <c r="Q40" s="31"/>
      <c r="R40" s="31"/>
      <c r="S40" s="31"/>
      <c r="T40" s="31"/>
      <c r="V40" s="31"/>
      <c r="W40" s="31"/>
      <c r="X40" s="31"/>
      <c r="Y40" s="31"/>
      <c r="Z40" s="31"/>
      <c r="AA40" s="31"/>
      <c r="AB40" s="31"/>
      <c r="AC40" s="31"/>
      <c r="AD40" s="31"/>
      <c r="AE40" s="31"/>
      <c r="AF40" s="31"/>
      <c r="AG40" s="31"/>
      <c r="AH40" s="31"/>
      <c r="AI40" s="31"/>
      <c r="AJ40" s="31"/>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row>
    <row r="41" spans="1:71">
      <c r="A41" s="31"/>
      <c r="B41" s="31"/>
      <c r="C41" s="31"/>
      <c r="D41" s="31"/>
      <c r="E41" s="31"/>
      <c r="F41" s="31"/>
      <c r="G41" s="31"/>
      <c r="H41" s="31"/>
      <c r="I41" s="31"/>
      <c r="J41" s="31"/>
      <c r="K41" s="31"/>
      <c r="L41" s="31"/>
      <c r="M41" s="31"/>
      <c r="N41" s="31"/>
      <c r="O41" s="31"/>
      <c r="P41" s="31"/>
      <c r="Q41" s="31"/>
      <c r="R41" s="31"/>
      <c r="S41" s="31"/>
      <c r="T41" s="31"/>
      <c r="V41" s="31"/>
      <c r="W41" s="31"/>
      <c r="X41" s="31"/>
      <c r="Y41" s="31"/>
      <c r="Z41" s="31"/>
      <c r="AA41" s="31"/>
      <c r="AB41" s="31"/>
      <c r="AC41" s="31"/>
      <c r="AD41" s="31"/>
      <c r="AE41" s="31"/>
      <c r="AF41" s="31"/>
      <c r="AG41" s="31"/>
      <c r="AH41" s="31"/>
      <c r="AI41" s="31"/>
      <c r="AJ41" s="31"/>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row>
    <row r="42" spans="1:71">
      <c r="A42" s="31"/>
      <c r="B42" s="31"/>
      <c r="C42" s="31"/>
      <c r="D42" s="31"/>
      <c r="E42" s="31"/>
      <c r="F42" s="31"/>
      <c r="G42" s="31"/>
      <c r="H42" s="31"/>
      <c r="I42" s="31"/>
      <c r="J42" s="31"/>
      <c r="K42" s="31"/>
      <c r="L42" s="31"/>
      <c r="M42" s="31"/>
      <c r="N42" s="31"/>
      <c r="O42" s="31"/>
      <c r="P42" s="31"/>
      <c r="Q42" s="31"/>
      <c r="R42" s="31"/>
      <c r="S42" s="31"/>
      <c r="T42" s="31"/>
      <c r="V42" s="31"/>
      <c r="W42" s="31"/>
      <c r="X42" s="31"/>
      <c r="Y42" s="31"/>
      <c r="Z42" s="31"/>
      <c r="AA42" s="31"/>
      <c r="AB42" s="31"/>
      <c r="AC42" s="31"/>
      <c r="AD42" s="31"/>
      <c r="AE42" s="31"/>
      <c r="AF42" s="31"/>
      <c r="AG42" s="31"/>
      <c r="AH42" s="31"/>
      <c r="AI42" s="31"/>
      <c r="AJ42" s="31"/>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row>
    <row r="43" spans="1:71">
      <c r="A43" s="31"/>
      <c r="B43" s="31"/>
      <c r="C43" s="31"/>
      <c r="D43" s="31"/>
      <c r="E43" s="31"/>
      <c r="F43" s="31"/>
      <c r="G43" s="31"/>
      <c r="H43" s="31"/>
      <c r="I43" s="31"/>
      <c r="J43" s="31"/>
      <c r="K43" s="31"/>
      <c r="L43" s="31"/>
      <c r="M43" s="31"/>
      <c r="N43" s="31"/>
      <c r="O43" s="31"/>
      <c r="P43" s="31"/>
      <c r="Q43" s="31"/>
      <c r="R43" s="31"/>
      <c r="S43" s="31"/>
      <c r="T43" s="31"/>
      <c r="V43" s="31"/>
      <c r="W43" s="31"/>
      <c r="X43" s="31"/>
      <c r="Y43" s="31"/>
      <c r="Z43" s="31"/>
      <c r="AA43" s="31"/>
      <c r="AB43" s="31"/>
      <c r="AC43" s="31"/>
      <c r="AD43" s="31"/>
      <c r="AE43" s="31"/>
      <c r="AF43" s="31"/>
      <c r="AG43" s="31"/>
      <c r="AH43" s="31"/>
      <c r="AI43" s="31"/>
      <c r="AJ43" s="31"/>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row>
    <row r="44" spans="1:71">
      <c r="A44" s="31"/>
      <c r="B44" s="31"/>
      <c r="C44" s="31"/>
      <c r="D44" s="31"/>
      <c r="E44" s="31"/>
      <c r="F44" s="31"/>
      <c r="G44" s="31"/>
      <c r="H44" s="31"/>
      <c r="I44" s="31"/>
      <c r="J44" s="31"/>
      <c r="K44" s="31"/>
      <c r="L44" s="31"/>
      <c r="M44" s="31"/>
      <c r="N44" s="31"/>
      <c r="O44" s="31"/>
      <c r="P44" s="31"/>
      <c r="Q44" s="31"/>
      <c r="R44" s="31"/>
      <c r="S44" s="31"/>
      <c r="T44" s="31"/>
      <c r="V44" s="31"/>
      <c r="W44" s="31"/>
      <c r="X44" s="31"/>
      <c r="Y44" s="31"/>
      <c r="Z44" s="31"/>
      <c r="AA44" s="31"/>
      <c r="AB44" s="31"/>
      <c r="AC44" s="31"/>
      <c r="AD44" s="31"/>
      <c r="AE44" s="31"/>
      <c r="AF44" s="31"/>
      <c r="AG44" s="31"/>
      <c r="AH44" s="31"/>
      <c r="AI44" s="31"/>
      <c r="AJ44" s="31"/>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row>
    <row r="45" spans="1:71">
      <c r="A45" s="31"/>
      <c r="B45" s="31"/>
      <c r="C45" s="31"/>
      <c r="D45" s="31"/>
      <c r="E45" s="31"/>
      <c r="F45" s="31"/>
      <c r="G45" s="31"/>
      <c r="H45" s="31"/>
      <c r="I45" s="31"/>
      <c r="J45" s="31"/>
      <c r="K45" s="31"/>
      <c r="L45" s="31"/>
      <c r="M45" s="31"/>
      <c r="N45" s="31"/>
      <c r="O45" s="31"/>
      <c r="P45" s="31"/>
      <c r="Q45" s="31"/>
      <c r="R45" s="31"/>
      <c r="S45" s="31"/>
      <c r="T45" s="31"/>
      <c r="V45" s="31"/>
      <c r="W45" s="31"/>
      <c r="X45" s="31"/>
      <c r="Y45" s="31"/>
      <c r="Z45" s="31"/>
      <c r="AA45" s="31"/>
      <c r="AB45" s="31"/>
      <c r="AC45" s="31"/>
      <c r="AD45" s="31"/>
      <c r="AE45" s="31"/>
      <c r="AF45" s="31"/>
      <c r="AG45" s="31"/>
      <c r="AH45" s="31"/>
      <c r="AI45" s="31"/>
      <c r="AJ45" s="31"/>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row>
    <row r="46" spans="1:71">
      <c r="A46" s="31"/>
      <c r="B46" s="31"/>
      <c r="C46" s="31"/>
      <c r="D46" s="31"/>
      <c r="E46" s="31"/>
      <c r="F46" s="31"/>
      <c r="G46" s="31"/>
      <c r="H46" s="31"/>
      <c r="I46" s="31"/>
      <c r="J46" s="31"/>
      <c r="K46" s="31"/>
      <c r="L46" s="31"/>
      <c r="M46" s="31"/>
      <c r="N46" s="31"/>
      <c r="O46" s="31"/>
      <c r="P46" s="31"/>
      <c r="Q46" s="31"/>
      <c r="R46" s="31"/>
      <c r="S46" s="31"/>
      <c r="T46" s="31"/>
      <c r="V46" s="31"/>
      <c r="W46" s="31"/>
      <c r="X46" s="31"/>
      <c r="Y46" s="31"/>
      <c r="Z46" s="31"/>
      <c r="AA46" s="31"/>
      <c r="AB46" s="31"/>
      <c r="AC46" s="31"/>
      <c r="AD46" s="31"/>
      <c r="AE46" s="31"/>
      <c r="AF46" s="31"/>
      <c r="AG46" s="31"/>
      <c r="AH46" s="31"/>
      <c r="AI46" s="31"/>
      <c r="AJ46" s="31"/>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row>
    <row r="47" spans="1:71">
      <c r="A47" s="31"/>
      <c r="B47" s="31"/>
      <c r="C47" s="31"/>
      <c r="D47" s="31"/>
      <c r="E47" s="31"/>
      <c r="F47" s="31"/>
      <c r="G47" s="31"/>
      <c r="H47" s="31"/>
      <c r="I47" s="31"/>
      <c r="J47" s="31"/>
      <c r="K47" s="31"/>
      <c r="L47" s="31"/>
      <c r="M47" s="31"/>
      <c r="N47" s="31"/>
      <c r="O47" s="31"/>
      <c r="P47" s="31"/>
      <c r="Q47" s="31"/>
      <c r="R47" s="31"/>
      <c r="S47" s="31"/>
      <c r="T47" s="31"/>
      <c r="V47" s="31"/>
      <c r="W47" s="31"/>
      <c r="X47" s="31"/>
      <c r="Y47" s="31"/>
      <c r="Z47" s="31"/>
      <c r="AA47" s="31"/>
      <c r="AB47" s="31"/>
      <c r="AC47" s="31"/>
      <c r="AD47" s="31"/>
      <c r="AE47" s="31"/>
      <c r="AF47" s="31"/>
      <c r="AG47" s="31"/>
      <c r="AH47" s="31"/>
      <c r="AI47" s="31"/>
      <c r="AJ47" s="31"/>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row>
    <row r="48" spans="1:71">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row>
    <row r="49" spans="2:71">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row>
    <row r="50" spans="2:71">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row>
    <row r="53" spans="2:71" ht="18">
      <c r="B53" s="118"/>
      <c r="C53" s="118"/>
      <c r="D53" s="118"/>
    </row>
    <row r="55" spans="2:71">
      <c r="B55" s="117"/>
      <c r="C55" s="117"/>
      <c r="D55" s="117"/>
    </row>
    <row r="56" spans="2:71">
      <c r="B56" s="117"/>
      <c r="C56" s="117"/>
      <c r="D56" s="117"/>
    </row>
    <row r="76" spans="1:25">
      <c r="Y76" s="3"/>
    </row>
    <row r="80" spans="1:25" ht="15" customHeight="1">
      <c r="A80" s="27"/>
      <c r="B80" s="27"/>
      <c r="C80" s="27"/>
      <c r="D80" s="27"/>
      <c r="E80" s="27"/>
      <c r="F80" s="27"/>
      <c r="G80" s="27"/>
      <c r="H80" s="27"/>
      <c r="I80" s="27"/>
      <c r="J80" s="27"/>
      <c r="K80" s="27"/>
      <c r="L80" s="27"/>
      <c r="M80" s="27"/>
      <c r="N80" s="27"/>
      <c r="O80" s="27"/>
      <c r="P80" s="27"/>
      <c r="Q80" s="27"/>
      <c r="R80" s="27"/>
      <c r="S80" s="27"/>
      <c r="T80" s="27"/>
      <c r="U80" s="27"/>
      <c r="V80" s="27"/>
    </row>
    <row r="81" spans="1:22" ht="15" customHeight="1">
      <c r="A81" s="102" t="s">
        <v>1364</v>
      </c>
      <c r="B81" s="103"/>
      <c r="C81" s="103"/>
      <c r="D81" s="103"/>
      <c r="E81" s="103"/>
      <c r="F81" s="103"/>
      <c r="G81" s="103"/>
      <c r="H81" s="103"/>
      <c r="I81" s="103"/>
      <c r="J81" s="103"/>
      <c r="K81" s="103"/>
      <c r="L81" s="103"/>
      <c r="M81" s="103"/>
      <c r="N81" s="103"/>
      <c r="O81" s="103"/>
      <c r="P81" s="103"/>
      <c r="Q81" s="103"/>
      <c r="R81" s="103"/>
      <c r="S81" s="103"/>
      <c r="T81" s="103"/>
      <c r="U81" s="103"/>
      <c r="V81" s="103"/>
    </row>
    <row r="82" spans="1:22" ht="15" customHeight="1">
      <c r="A82" s="104" t="s">
        <v>1365</v>
      </c>
      <c r="B82" s="103"/>
      <c r="C82" s="103"/>
      <c r="D82" s="103"/>
      <c r="E82" s="103"/>
      <c r="F82" s="103"/>
      <c r="G82" s="103"/>
      <c r="H82" s="103"/>
      <c r="I82" s="103"/>
      <c r="J82" s="103"/>
      <c r="K82" s="103"/>
      <c r="L82" s="103"/>
      <c r="M82" s="103"/>
      <c r="N82" s="103"/>
      <c r="O82" s="103"/>
      <c r="P82" s="103"/>
      <c r="Q82" s="103"/>
      <c r="R82" s="103"/>
      <c r="S82" s="103"/>
      <c r="T82" s="103"/>
      <c r="U82" s="103"/>
      <c r="V82" s="103"/>
    </row>
    <row r="83" spans="1:22" ht="15" customHeight="1">
      <c r="A83" s="27"/>
      <c r="B83" s="27"/>
      <c r="C83" s="27"/>
      <c r="D83" s="27"/>
      <c r="E83" s="27"/>
      <c r="F83" s="27"/>
      <c r="G83" s="27"/>
      <c r="H83" s="27"/>
      <c r="I83" s="27"/>
      <c r="J83" s="27"/>
      <c r="K83" s="27"/>
      <c r="L83" s="27"/>
      <c r="M83" s="27"/>
      <c r="N83" s="27"/>
      <c r="O83" s="27"/>
      <c r="P83" s="27"/>
      <c r="Q83" s="27"/>
      <c r="R83" s="27"/>
      <c r="S83" s="27"/>
      <c r="T83" s="27"/>
      <c r="U83" s="27"/>
      <c r="V83" s="27"/>
    </row>
  </sheetData>
  <mergeCells count="32">
    <mergeCell ref="B55:D56"/>
    <mergeCell ref="A14:R14"/>
    <mergeCell ref="A81:V81"/>
    <mergeCell ref="A82:V82"/>
    <mergeCell ref="A16:C17"/>
    <mergeCell ref="D16:F17"/>
    <mergeCell ref="G16:I17"/>
    <mergeCell ref="J16:L17"/>
    <mergeCell ref="M16:O17"/>
    <mergeCell ref="P15:R15"/>
    <mergeCell ref="P16:R17"/>
    <mergeCell ref="A15:C15"/>
    <mergeCell ref="D15:F15"/>
    <mergeCell ref="G15:I15"/>
    <mergeCell ref="J15:L15"/>
    <mergeCell ref="M15:O15"/>
    <mergeCell ref="B53:D53"/>
    <mergeCell ref="P11:R12"/>
    <mergeCell ref="A5:U5"/>
    <mergeCell ref="A6:U6"/>
    <mergeCell ref="A9:G9"/>
    <mergeCell ref="A10:C10"/>
    <mergeCell ref="D10:F10"/>
    <mergeCell ref="G10:I10"/>
    <mergeCell ref="J10:L10"/>
    <mergeCell ref="M10:O10"/>
    <mergeCell ref="P10:R10"/>
    <mergeCell ref="A11:C12"/>
    <mergeCell ref="D11:F12"/>
    <mergeCell ref="G11:I12"/>
    <mergeCell ref="J11:L12"/>
    <mergeCell ref="M11:O12"/>
  </mergeCells>
  <pageMargins left="0.7" right="0.7" top="0.75" bottom="0.75" header="0.3" footer="0.3"/>
  <ignoredErrors>
    <ignoredError sqref="D11" numberStoredAsText="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4AF4-FEAE-4668-8667-6C6760C54A39}">
  <dimension ref="A1:X63"/>
  <sheetViews>
    <sheetView showGridLines="0" showRowColHeaders="0" tabSelected="1" zoomScale="66" workbookViewId="0">
      <selection activeCell="X10" sqref="X10"/>
    </sheetView>
  </sheetViews>
  <sheetFormatPr defaultRowHeight="14.4"/>
  <sheetData>
    <row r="1" spans="1:24">
      <c r="A1" s="41"/>
      <c r="B1" s="41"/>
      <c r="C1" s="41"/>
      <c r="D1" s="41"/>
      <c r="E1" s="41"/>
      <c r="F1" s="41"/>
      <c r="G1" s="41"/>
      <c r="H1" s="41"/>
      <c r="I1" s="41"/>
      <c r="J1" s="41"/>
      <c r="K1" s="41"/>
      <c r="L1" s="41"/>
      <c r="M1" s="41"/>
      <c r="N1" s="41"/>
      <c r="O1" s="41"/>
      <c r="P1" s="41"/>
      <c r="Q1" s="41"/>
      <c r="R1" s="41"/>
      <c r="S1" s="41"/>
      <c r="T1" s="41"/>
      <c r="U1" s="41"/>
      <c r="V1" s="41"/>
      <c r="W1" s="41"/>
      <c r="X1" s="38"/>
    </row>
    <row r="2" spans="1:24" ht="43.8">
      <c r="A2" s="41"/>
      <c r="B2" s="41"/>
      <c r="C2" s="41"/>
      <c r="D2" s="44" t="s">
        <v>1382</v>
      </c>
      <c r="E2" s="44"/>
      <c r="F2" s="44"/>
      <c r="G2" s="44"/>
      <c r="H2" s="44"/>
      <c r="I2" s="44"/>
      <c r="J2" s="44"/>
      <c r="K2" s="44"/>
      <c r="L2" s="44"/>
      <c r="M2" s="44"/>
      <c r="N2" s="44"/>
      <c r="O2" s="44"/>
      <c r="P2" s="44"/>
      <c r="Q2" s="44"/>
      <c r="R2" s="44"/>
      <c r="S2" s="44"/>
      <c r="T2" s="41"/>
      <c r="U2" s="41"/>
      <c r="V2" s="41"/>
      <c r="W2" s="41"/>
      <c r="X2" s="38"/>
    </row>
    <row r="3" spans="1:24">
      <c r="A3" s="41"/>
      <c r="B3" s="41"/>
      <c r="C3" s="41"/>
      <c r="D3" s="41"/>
      <c r="E3" s="41"/>
      <c r="F3" s="41"/>
      <c r="G3" s="41"/>
      <c r="H3" s="41"/>
      <c r="I3" s="41"/>
      <c r="J3" s="41"/>
      <c r="K3" s="41"/>
      <c r="L3" s="41"/>
      <c r="M3" s="41"/>
      <c r="N3" s="41"/>
      <c r="O3" s="41"/>
      <c r="P3" s="41"/>
      <c r="Q3" s="41"/>
      <c r="R3" s="41"/>
      <c r="S3" s="41"/>
      <c r="T3" s="41"/>
      <c r="U3" s="41"/>
      <c r="V3" s="41"/>
      <c r="W3" s="41"/>
      <c r="X3" s="38"/>
    </row>
    <row r="4" spans="1:24">
      <c r="A4" s="41"/>
      <c r="B4" s="41"/>
      <c r="C4" s="41"/>
      <c r="D4" s="41"/>
      <c r="E4" s="41"/>
      <c r="F4" s="41"/>
      <c r="G4" s="41"/>
      <c r="H4" s="41"/>
      <c r="I4" s="41"/>
      <c r="J4" s="41"/>
      <c r="K4" s="41"/>
      <c r="L4" s="41"/>
      <c r="M4" s="41"/>
      <c r="N4" s="41"/>
      <c r="O4" s="41"/>
      <c r="P4" s="41"/>
      <c r="Q4" s="41"/>
      <c r="R4" s="41"/>
      <c r="S4" s="41"/>
      <c r="T4" s="41"/>
      <c r="U4" s="41"/>
      <c r="V4" s="41"/>
      <c r="W4" s="41"/>
      <c r="X4" s="38"/>
    </row>
    <row r="5" spans="1:24" ht="14.4" customHeight="1">
      <c r="A5" s="41"/>
      <c r="B5" s="41"/>
      <c r="C5" s="41"/>
      <c r="D5" s="41"/>
      <c r="E5" s="41"/>
      <c r="F5" s="41"/>
      <c r="G5" s="41"/>
      <c r="H5" s="41"/>
      <c r="I5" s="41"/>
      <c r="J5" s="41"/>
      <c r="K5" s="41"/>
      <c r="L5" s="41"/>
      <c r="M5" s="41"/>
      <c r="N5" s="41"/>
      <c r="O5" s="41"/>
      <c r="P5" s="41"/>
      <c r="Q5" s="41"/>
      <c r="R5" s="41"/>
      <c r="S5" s="41"/>
      <c r="T5" s="41"/>
      <c r="U5" s="41"/>
      <c r="V5" s="41"/>
      <c r="W5" s="41"/>
      <c r="X5" s="38"/>
    </row>
    <row r="6" spans="1:24" ht="14.4" customHeight="1">
      <c r="A6" s="41"/>
      <c r="B6" s="41"/>
      <c r="C6" s="41"/>
      <c r="D6" s="41"/>
      <c r="E6" s="41"/>
      <c r="F6" s="41"/>
      <c r="G6" s="41"/>
      <c r="H6" s="41"/>
      <c r="I6" s="41"/>
      <c r="J6" s="41"/>
      <c r="K6" s="41"/>
      <c r="L6" s="41"/>
      <c r="M6" s="41"/>
      <c r="N6" s="41"/>
      <c r="O6" s="41"/>
      <c r="P6" s="41"/>
      <c r="Q6" s="41"/>
      <c r="R6" s="41"/>
      <c r="S6" s="41"/>
      <c r="T6" s="41"/>
      <c r="U6" s="41"/>
      <c r="V6" s="41"/>
      <c r="W6" s="41"/>
      <c r="X6" s="38"/>
    </row>
    <row r="7" spans="1:24">
      <c r="A7" s="41"/>
      <c r="B7" s="41"/>
      <c r="C7" s="41"/>
      <c r="D7" s="41"/>
      <c r="E7" s="41"/>
      <c r="F7" s="41"/>
      <c r="G7" s="41"/>
      <c r="H7" s="41"/>
      <c r="I7" s="41"/>
      <c r="J7" s="41"/>
      <c r="K7" s="41"/>
      <c r="L7" s="41"/>
      <c r="M7" s="41"/>
      <c r="N7" s="41"/>
      <c r="O7" s="41"/>
      <c r="P7" s="41"/>
      <c r="Q7" s="41"/>
      <c r="R7" s="41"/>
      <c r="S7" s="41"/>
      <c r="T7" s="41"/>
      <c r="U7" s="41"/>
      <c r="V7" s="41"/>
      <c r="W7" s="41"/>
      <c r="X7" s="38"/>
    </row>
    <row r="8" spans="1:24" ht="14.4" customHeight="1">
      <c r="A8" s="41"/>
      <c r="B8" s="41"/>
      <c r="C8" s="41"/>
      <c r="D8" s="41"/>
      <c r="E8" s="41"/>
      <c r="F8" s="41"/>
      <c r="G8" s="41"/>
      <c r="H8" s="41"/>
      <c r="I8" s="41"/>
      <c r="J8" s="41"/>
      <c r="K8" s="41"/>
      <c r="L8" s="41"/>
      <c r="M8" s="41"/>
      <c r="N8" s="41"/>
      <c r="O8" s="41"/>
      <c r="P8" s="41"/>
      <c r="Q8" s="41"/>
      <c r="R8" s="41"/>
      <c r="S8" s="41"/>
      <c r="T8" s="41"/>
      <c r="U8" s="41"/>
      <c r="V8" s="41"/>
      <c r="W8" s="41"/>
      <c r="X8" s="38"/>
    </row>
    <row r="9" spans="1:24">
      <c r="A9" s="41"/>
      <c r="B9" s="41"/>
      <c r="C9" s="41"/>
      <c r="D9" s="41"/>
      <c r="E9" s="41"/>
      <c r="F9" s="41"/>
      <c r="G9" s="41"/>
      <c r="H9" s="41"/>
      <c r="I9" s="41"/>
      <c r="J9" s="41"/>
      <c r="K9" s="41"/>
      <c r="L9" s="41"/>
      <c r="M9" s="41"/>
      <c r="N9" s="41"/>
      <c r="O9" s="41"/>
      <c r="P9" s="41"/>
      <c r="Q9" s="41"/>
      <c r="R9" s="41"/>
      <c r="S9" s="41"/>
      <c r="T9" s="41"/>
      <c r="U9" s="41"/>
      <c r="V9" s="41"/>
      <c r="W9" s="41"/>
      <c r="X9" s="38"/>
    </row>
    <row r="10" spans="1:24">
      <c r="A10" s="41"/>
      <c r="B10" s="41"/>
      <c r="C10" s="41"/>
      <c r="D10" s="41"/>
      <c r="E10" s="41"/>
      <c r="F10" s="41"/>
      <c r="G10" s="41"/>
      <c r="H10" s="41"/>
      <c r="I10" s="41"/>
      <c r="J10" s="41"/>
      <c r="K10" s="41"/>
      <c r="L10" s="41"/>
      <c r="M10" s="41"/>
      <c r="N10" s="41"/>
      <c r="O10" s="41"/>
      <c r="P10" s="41"/>
      <c r="Q10" s="41"/>
      <c r="R10" s="41"/>
      <c r="S10" s="41"/>
      <c r="T10" s="41"/>
      <c r="U10" s="41"/>
      <c r="V10" s="41"/>
      <c r="W10" s="41"/>
      <c r="X10" s="38"/>
    </row>
    <row r="11" spans="1:24">
      <c r="A11" s="41"/>
      <c r="B11" s="41"/>
      <c r="C11" s="41"/>
      <c r="D11" s="41"/>
      <c r="E11" s="41"/>
      <c r="F11" s="41"/>
      <c r="G11" s="41"/>
      <c r="H11" s="41"/>
      <c r="I11" s="41"/>
      <c r="J11" s="41"/>
      <c r="K11" s="41"/>
      <c r="L11" s="41"/>
      <c r="M11" s="41"/>
      <c r="N11" s="41"/>
      <c r="O11" s="41"/>
      <c r="P11" s="41"/>
      <c r="Q11" s="41"/>
      <c r="R11" s="41"/>
      <c r="S11" s="41"/>
      <c r="T11" s="41"/>
      <c r="U11" s="41"/>
      <c r="V11" s="41"/>
      <c r="W11" s="41"/>
      <c r="X11" s="38"/>
    </row>
    <row r="12" spans="1:24">
      <c r="A12" s="41"/>
      <c r="B12" s="41"/>
      <c r="C12" s="41"/>
      <c r="D12" s="41"/>
      <c r="E12" s="41"/>
      <c r="F12" s="41"/>
      <c r="G12" s="41"/>
      <c r="H12" s="41"/>
      <c r="I12" s="41"/>
      <c r="J12" s="41"/>
      <c r="K12" s="41"/>
      <c r="L12" s="41"/>
      <c r="M12" s="41"/>
      <c r="N12" s="41"/>
      <c r="O12" s="41"/>
      <c r="P12" s="41"/>
      <c r="Q12" s="41"/>
      <c r="R12" s="41"/>
      <c r="S12" s="41"/>
      <c r="T12" s="41"/>
      <c r="U12" s="41"/>
      <c r="V12" s="41"/>
      <c r="W12" s="41"/>
      <c r="X12" s="38"/>
    </row>
    <row r="13" spans="1:24">
      <c r="A13" s="41"/>
      <c r="B13" s="41"/>
      <c r="C13" s="41"/>
      <c r="D13" s="41"/>
      <c r="E13" s="41"/>
      <c r="F13" s="41"/>
      <c r="G13" s="41"/>
      <c r="H13" s="41"/>
      <c r="I13" s="41"/>
      <c r="J13" s="41"/>
      <c r="K13" s="41"/>
      <c r="L13" s="41"/>
      <c r="M13" s="41"/>
      <c r="N13" s="41"/>
      <c r="O13" s="41"/>
      <c r="P13" s="41"/>
      <c r="Q13" s="41"/>
      <c r="R13" s="41"/>
      <c r="S13" s="41"/>
      <c r="T13" s="41"/>
      <c r="U13" s="41"/>
      <c r="V13" s="41"/>
      <c r="W13" s="41"/>
      <c r="X13" s="38"/>
    </row>
    <row r="14" spans="1:24">
      <c r="A14" s="41"/>
      <c r="B14" s="41"/>
      <c r="C14" s="41"/>
      <c r="D14" s="41"/>
      <c r="E14" s="41"/>
      <c r="F14" s="41"/>
      <c r="G14" s="41"/>
      <c r="H14" s="41"/>
      <c r="I14" s="41"/>
      <c r="J14" s="41"/>
      <c r="K14" s="41"/>
      <c r="L14" s="41"/>
      <c r="M14" s="41"/>
      <c r="N14" s="41"/>
      <c r="O14" s="41"/>
      <c r="P14" s="41"/>
      <c r="Q14" s="41"/>
      <c r="R14" s="41"/>
      <c r="S14" s="41"/>
      <c r="T14" s="41"/>
      <c r="U14" s="41"/>
      <c r="V14" s="41"/>
      <c r="W14" s="41"/>
      <c r="X14" s="38"/>
    </row>
    <row r="15" spans="1:24">
      <c r="A15" s="41"/>
      <c r="B15" s="41"/>
      <c r="C15" s="41"/>
      <c r="D15" s="41"/>
      <c r="E15" s="41"/>
      <c r="F15" s="41"/>
      <c r="G15" s="41"/>
      <c r="H15" s="41"/>
      <c r="I15" s="41"/>
      <c r="J15" s="41"/>
      <c r="K15" s="41"/>
      <c r="L15" s="41"/>
      <c r="M15" s="41"/>
      <c r="N15" s="41"/>
      <c r="O15" s="41"/>
      <c r="P15" s="41"/>
      <c r="Q15" s="41"/>
      <c r="R15" s="41"/>
      <c r="S15" s="41"/>
      <c r="T15" s="41"/>
      <c r="U15" s="41"/>
      <c r="V15" s="41"/>
      <c r="W15" s="41"/>
      <c r="X15" s="38"/>
    </row>
    <row r="16" spans="1:24">
      <c r="A16" s="41"/>
      <c r="B16" s="41"/>
      <c r="C16" s="41"/>
      <c r="D16" s="41"/>
      <c r="E16" s="41"/>
      <c r="F16" s="41"/>
      <c r="G16" s="41"/>
      <c r="H16" s="41"/>
      <c r="I16" s="41"/>
      <c r="J16" s="41"/>
      <c r="K16" s="41"/>
      <c r="L16" s="41"/>
      <c r="M16" s="41"/>
      <c r="N16" s="41"/>
      <c r="O16" s="41"/>
      <c r="P16" s="41"/>
      <c r="Q16" s="41"/>
      <c r="R16" s="41"/>
      <c r="S16" s="41"/>
      <c r="T16" s="41"/>
      <c r="U16" s="41"/>
      <c r="V16" s="41"/>
      <c r="W16" s="41"/>
      <c r="X16" s="38"/>
    </row>
    <row r="17" spans="1:24">
      <c r="A17" s="41"/>
      <c r="B17" s="41"/>
      <c r="C17" s="41"/>
      <c r="D17" s="41"/>
      <c r="E17" s="41"/>
      <c r="F17" s="41"/>
      <c r="G17" s="41"/>
      <c r="H17" s="41"/>
      <c r="I17" s="41"/>
      <c r="J17" s="41"/>
      <c r="K17" s="41"/>
      <c r="L17" s="41"/>
      <c r="M17" s="41"/>
      <c r="N17" s="41"/>
      <c r="O17" s="41"/>
      <c r="P17" s="41"/>
      <c r="Q17" s="41"/>
      <c r="R17" s="41"/>
      <c r="S17" s="41"/>
      <c r="T17" s="41"/>
      <c r="U17" s="41"/>
      <c r="V17" s="41"/>
      <c r="W17" s="41"/>
      <c r="X17" s="38"/>
    </row>
    <row r="18" spans="1:24">
      <c r="A18" s="41"/>
      <c r="B18" s="41"/>
      <c r="C18" s="41"/>
      <c r="D18" s="41"/>
      <c r="E18" s="41"/>
      <c r="F18" s="41"/>
      <c r="G18" s="41"/>
      <c r="H18" s="41"/>
      <c r="I18" s="41"/>
      <c r="J18" s="41"/>
      <c r="K18" s="41"/>
      <c r="L18" s="41"/>
      <c r="M18" s="41"/>
      <c r="N18" s="41"/>
      <c r="O18" s="41"/>
      <c r="P18" s="41"/>
      <c r="Q18" s="41"/>
      <c r="R18" s="41"/>
      <c r="S18" s="41"/>
      <c r="T18" s="41"/>
      <c r="U18" s="41"/>
      <c r="V18" s="41"/>
      <c r="W18" s="41"/>
      <c r="X18" s="38"/>
    </row>
    <row r="19" spans="1:24">
      <c r="A19" s="41"/>
      <c r="B19" s="41"/>
      <c r="C19" s="41"/>
      <c r="D19" s="41"/>
      <c r="E19" s="41"/>
      <c r="F19" s="41"/>
      <c r="G19" s="41"/>
      <c r="H19" s="41"/>
      <c r="I19" s="41"/>
      <c r="J19" s="41"/>
      <c r="K19" s="41"/>
      <c r="L19" s="41"/>
      <c r="M19" s="41"/>
      <c r="N19" s="41"/>
      <c r="O19" s="41"/>
      <c r="P19" s="41"/>
      <c r="Q19" s="41"/>
      <c r="R19" s="41"/>
      <c r="S19" s="41"/>
      <c r="T19" s="41"/>
      <c r="U19" s="41"/>
      <c r="V19" s="41"/>
      <c r="W19" s="41"/>
      <c r="X19" s="38"/>
    </row>
    <row r="20" spans="1:24">
      <c r="A20" s="41"/>
      <c r="B20" s="41"/>
      <c r="C20" s="41"/>
      <c r="D20" s="41"/>
      <c r="E20" s="41"/>
      <c r="F20" s="41"/>
      <c r="G20" s="41"/>
      <c r="H20" s="41"/>
      <c r="I20" s="41"/>
      <c r="J20" s="41"/>
      <c r="K20" s="41"/>
      <c r="L20" s="41"/>
      <c r="M20" s="41"/>
      <c r="N20" s="41"/>
      <c r="O20" s="41"/>
      <c r="P20" s="41"/>
      <c r="Q20" s="41"/>
      <c r="R20" s="41"/>
      <c r="S20" s="41"/>
      <c r="T20" s="41"/>
      <c r="U20" s="41"/>
      <c r="V20" s="41"/>
      <c r="W20" s="41"/>
      <c r="X20" s="38"/>
    </row>
    <row r="21" spans="1:24">
      <c r="A21" s="41"/>
      <c r="B21" s="41"/>
      <c r="C21" s="41"/>
      <c r="D21" s="41"/>
      <c r="E21" s="41"/>
      <c r="F21" s="41"/>
      <c r="G21" s="41"/>
      <c r="H21" s="41"/>
      <c r="I21" s="41"/>
      <c r="J21" s="41"/>
      <c r="K21" s="41"/>
      <c r="L21" s="41"/>
      <c r="M21" s="41"/>
      <c r="N21" s="41"/>
      <c r="O21" s="41"/>
      <c r="P21" s="41"/>
      <c r="Q21" s="41"/>
      <c r="R21" s="41"/>
      <c r="S21" s="41"/>
      <c r="T21" s="41"/>
      <c r="U21" s="41"/>
      <c r="V21" s="41"/>
      <c r="W21" s="41"/>
      <c r="X21" s="38"/>
    </row>
    <row r="22" spans="1:24">
      <c r="A22" s="41"/>
      <c r="B22" s="41"/>
      <c r="C22" s="41"/>
      <c r="D22" s="41"/>
      <c r="E22" s="41"/>
      <c r="F22" s="41"/>
      <c r="G22" s="41"/>
      <c r="H22" s="41"/>
      <c r="I22" s="41"/>
      <c r="J22" s="41"/>
      <c r="K22" s="41"/>
      <c r="L22" s="41"/>
      <c r="M22" s="41"/>
      <c r="N22" s="41"/>
      <c r="O22" s="41"/>
      <c r="P22" s="41"/>
      <c r="Q22" s="41"/>
      <c r="R22" s="41"/>
      <c r="S22" s="41"/>
      <c r="T22" s="41"/>
      <c r="U22" s="41"/>
      <c r="V22" s="41"/>
      <c r="W22" s="41"/>
      <c r="X22" s="38"/>
    </row>
    <row r="23" spans="1:24">
      <c r="A23" s="41"/>
      <c r="B23" s="41"/>
      <c r="C23" s="41"/>
      <c r="D23" s="41"/>
      <c r="E23" s="41"/>
      <c r="F23" s="41"/>
      <c r="G23" s="41"/>
      <c r="H23" s="41"/>
      <c r="I23" s="41"/>
      <c r="J23" s="41"/>
      <c r="K23" s="41"/>
      <c r="L23" s="41"/>
      <c r="M23" s="41"/>
      <c r="N23" s="41"/>
      <c r="O23" s="41"/>
      <c r="P23" s="41"/>
      <c r="Q23" s="41"/>
      <c r="R23" s="41"/>
      <c r="S23" s="41"/>
      <c r="T23" s="41"/>
      <c r="U23" s="41"/>
      <c r="V23" s="41"/>
      <c r="W23" s="41"/>
      <c r="X23" s="38"/>
    </row>
    <row r="24" spans="1:24">
      <c r="A24" s="41"/>
      <c r="B24" s="41"/>
      <c r="C24" s="41"/>
      <c r="D24" s="41"/>
      <c r="E24" s="41"/>
      <c r="F24" s="41"/>
      <c r="G24" s="41"/>
      <c r="H24" s="41"/>
      <c r="I24" s="41"/>
      <c r="J24" s="41"/>
      <c r="K24" s="41"/>
      <c r="L24" s="41"/>
      <c r="M24" s="41"/>
      <c r="N24" s="41"/>
      <c r="O24" s="41"/>
      <c r="P24" s="41"/>
      <c r="Q24" s="41"/>
      <c r="R24" s="41"/>
      <c r="S24" s="41"/>
      <c r="T24" s="41"/>
      <c r="U24" s="41"/>
      <c r="V24" s="41"/>
      <c r="W24" s="41"/>
      <c r="X24" s="38"/>
    </row>
    <row r="25" spans="1:24">
      <c r="A25" s="41"/>
      <c r="B25" s="41"/>
      <c r="C25" s="41"/>
      <c r="D25" s="41"/>
      <c r="E25" s="41"/>
      <c r="F25" s="41"/>
      <c r="G25" s="41"/>
      <c r="H25" s="41"/>
      <c r="I25" s="41"/>
      <c r="J25" s="41"/>
      <c r="K25" s="41"/>
      <c r="L25" s="41"/>
      <c r="M25" s="41"/>
      <c r="N25" s="41"/>
      <c r="O25" s="41"/>
      <c r="P25" s="41"/>
      <c r="Q25" s="41"/>
      <c r="R25" s="41"/>
      <c r="S25" s="41"/>
      <c r="T25" s="41"/>
      <c r="U25" s="41"/>
      <c r="V25" s="41"/>
      <c r="W25" s="41"/>
      <c r="X25" s="38"/>
    </row>
    <row r="26" spans="1:24">
      <c r="A26" s="41"/>
      <c r="B26" s="41"/>
      <c r="C26" s="41"/>
      <c r="D26" s="41"/>
      <c r="E26" s="41"/>
      <c r="F26" s="41"/>
      <c r="G26" s="41"/>
      <c r="H26" s="41"/>
      <c r="I26" s="41"/>
      <c r="J26" s="41"/>
      <c r="K26" s="41"/>
      <c r="L26" s="41"/>
      <c r="M26" s="41"/>
      <c r="N26" s="41"/>
      <c r="O26" s="41"/>
      <c r="P26" s="41"/>
      <c r="Q26" s="41"/>
      <c r="R26" s="41"/>
      <c r="S26" s="41"/>
      <c r="T26" s="41"/>
      <c r="U26" s="41"/>
      <c r="V26" s="41"/>
      <c r="W26" s="41"/>
      <c r="X26" s="38"/>
    </row>
    <row r="27" spans="1:24">
      <c r="A27" s="41"/>
      <c r="B27" s="41"/>
      <c r="C27" s="41"/>
      <c r="D27" s="41"/>
      <c r="E27" s="41"/>
      <c r="F27" s="41"/>
      <c r="G27" s="41"/>
      <c r="H27" s="41"/>
      <c r="I27" s="41"/>
      <c r="J27" s="41"/>
      <c r="K27" s="41"/>
      <c r="L27" s="41"/>
      <c r="M27" s="41"/>
      <c r="N27" s="41"/>
      <c r="O27" s="41"/>
      <c r="P27" s="41"/>
      <c r="Q27" s="41"/>
      <c r="R27" s="41"/>
      <c r="S27" s="41"/>
      <c r="T27" s="41"/>
      <c r="U27" s="41"/>
      <c r="V27" s="41"/>
      <c r="W27" s="41"/>
      <c r="X27" s="38"/>
    </row>
    <row r="28" spans="1:24">
      <c r="A28" s="41"/>
      <c r="B28" s="41"/>
      <c r="C28" s="41"/>
      <c r="D28" s="41"/>
      <c r="E28" s="41"/>
      <c r="F28" s="41"/>
      <c r="G28" s="41"/>
      <c r="H28" s="41"/>
      <c r="I28" s="41"/>
      <c r="J28" s="41"/>
      <c r="K28" s="41"/>
      <c r="L28" s="41"/>
      <c r="M28" s="41"/>
      <c r="N28" s="41"/>
      <c r="O28" s="41"/>
      <c r="P28" s="41"/>
      <c r="Q28" s="41"/>
      <c r="R28" s="41"/>
      <c r="S28" s="41"/>
      <c r="T28" s="41"/>
      <c r="U28" s="41"/>
      <c r="V28" s="41"/>
      <c r="W28" s="41"/>
      <c r="X28" s="38"/>
    </row>
    <row r="29" spans="1:24">
      <c r="A29" s="41"/>
      <c r="B29" s="41"/>
      <c r="C29" s="41"/>
      <c r="D29" s="41"/>
      <c r="E29" s="41"/>
      <c r="F29" s="41"/>
      <c r="G29" s="41"/>
      <c r="H29" s="41"/>
      <c r="I29" s="41"/>
      <c r="J29" s="41"/>
      <c r="K29" s="41"/>
      <c r="L29" s="41"/>
      <c r="M29" s="41"/>
      <c r="N29" s="41"/>
      <c r="O29" s="41"/>
      <c r="P29" s="41"/>
      <c r="Q29" s="41"/>
      <c r="R29" s="41"/>
      <c r="S29" s="41"/>
      <c r="T29" s="41"/>
      <c r="U29" s="41"/>
      <c r="V29" s="41"/>
      <c r="W29" s="41"/>
      <c r="X29" s="38"/>
    </row>
    <row r="30" spans="1:24">
      <c r="A30" s="43"/>
      <c r="B30" s="43"/>
      <c r="C30" s="43"/>
      <c r="D30" s="43"/>
      <c r="E30" s="43"/>
      <c r="F30" s="43"/>
      <c r="G30" s="43"/>
      <c r="H30" s="43"/>
      <c r="I30" s="43"/>
      <c r="J30" s="43"/>
      <c r="K30" s="43"/>
      <c r="L30" s="43"/>
      <c r="M30" s="43"/>
      <c r="N30" s="43"/>
      <c r="O30" s="43"/>
      <c r="P30" s="43"/>
      <c r="Q30" s="43"/>
      <c r="R30" s="43"/>
      <c r="S30" s="43"/>
      <c r="T30" s="43"/>
      <c r="U30" s="43"/>
      <c r="V30" s="43"/>
      <c r="W30" s="43"/>
    </row>
    <row r="31" spans="1:24">
      <c r="A31" s="43"/>
      <c r="B31" s="43"/>
      <c r="C31" s="43"/>
      <c r="D31" s="43"/>
      <c r="E31" s="43"/>
      <c r="F31" s="43"/>
      <c r="G31" s="43"/>
      <c r="H31" s="43"/>
      <c r="I31" s="43"/>
      <c r="J31" s="43"/>
      <c r="K31" s="43"/>
      <c r="L31" s="43"/>
      <c r="M31" s="43"/>
      <c r="N31" s="43"/>
      <c r="O31" s="43"/>
      <c r="P31" s="43"/>
      <c r="Q31" s="43"/>
      <c r="R31" s="43"/>
      <c r="S31" s="43"/>
      <c r="T31" s="43"/>
      <c r="U31" s="43"/>
      <c r="V31" s="43"/>
      <c r="W31" s="43"/>
    </row>
    <row r="32" spans="1:24">
      <c r="A32" s="43"/>
      <c r="B32" s="43"/>
      <c r="C32" s="43"/>
      <c r="D32" s="43"/>
      <c r="E32" s="43"/>
      <c r="F32" s="43"/>
      <c r="G32" s="43"/>
      <c r="H32" s="43"/>
      <c r="I32" s="43"/>
      <c r="J32" s="43"/>
      <c r="K32" s="43"/>
      <c r="L32" s="43"/>
      <c r="M32" s="43"/>
      <c r="N32" s="43"/>
      <c r="O32" s="43"/>
      <c r="P32" s="43"/>
      <c r="Q32" s="43"/>
      <c r="R32" s="43"/>
      <c r="S32" s="43"/>
      <c r="T32" s="43"/>
      <c r="U32" s="43"/>
      <c r="V32" s="43"/>
      <c r="W32" s="43"/>
    </row>
    <row r="33" spans="1:23">
      <c r="A33" s="43"/>
      <c r="B33" s="43"/>
      <c r="C33" s="43"/>
      <c r="D33" s="43"/>
      <c r="E33" s="43"/>
      <c r="F33" s="43"/>
      <c r="G33" s="43"/>
      <c r="H33" s="43"/>
      <c r="I33" s="43"/>
      <c r="J33" s="43"/>
      <c r="K33" s="43"/>
      <c r="L33" s="43"/>
      <c r="M33" s="43"/>
      <c r="N33" s="43"/>
      <c r="O33" s="43"/>
      <c r="P33" s="43"/>
      <c r="Q33" s="43"/>
      <c r="R33" s="43"/>
      <c r="S33" s="43"/>
      <c r="T33" s="43"/>
      <c r="U33" s="43"/>
      <c r="V33" s="43"/>
      <c r="W33" s="43"/>
    </row>
    <row r="34" spans="1:23">
      <c r="A34" s="43"/>
      <c r="B34" s="43"/>
      <c r="C34" s="43"/>
      <c r="D34" s="43"/>
      <c r="E34" s="43"/>
      <c r="F34" s="43"/>
      <c r="G34" s="43"/>
      <c r="H34" s="43"/>
      <c r="I34" s="43"/>
      <c r="J34" s="43"/>
      <c r="K34" s="43"/>
      <c r="L34" s="43"/>
      <c r="M34" s="43"/>
      <c r="N34" s="43"/>
      <c r="O34" s="43"/>
      <c r="P34" s="43"/>
      <c r="Q34" s="43"/>
      <c r="R34" s="43"/>
      <c r="S34" s="43"/>
      <c r="T34" s="43"/>
      <c r="U34" s="43"/>
      <c r="V34" s="43"/>
      <c r="W34" s="43"/>
    </row>
    <row r="35" spans="1:23">
      <c r="A35" s="43"/>
      <c r="B35" s="43"/>
      <c r="C35" s="43"/>
      <c r="D35" s="43"/>
      <c r="E35" s="43"/>
      <c r="F35" s="43"/>
      <c r="G35" s="43"/>
      <c r="H35" s="43"/>
      <c r="I35" s="43"/>
      <c r="J35" s="43"/>
      <c r="K35" s="43"/>
      <c r="L35" s="43"/>
      <c r="M35" s="43"/>
      <c r="N35" s="43"/>
      <c r="O35" s="43"/>
      <c r="P35" s="43"/>
      <c r="Q35" s="43"/>
      <c r="R35" s="43"/>
      <c r="S35" s="43"/>
      <c r="T35" s="43"/>
      <c r="U35" s="43"/>
      <c r="V35" s="43"/>
      <c r="W35" s="43"/>
    </row>
    <row r="36" spans="1:23">
      <c r="A36" s="43"/>
      <c r="B36" s="43"/>
      <c r="C36" s="43"/>
      <c r="D36" s="43"/>
      <c r="E36" s="43"/>
      <c r="F36" s="43"/>
      <c r="G36" s="43"/>
      <c r="H36" s="43"/>
      <c r="I36" s="43"/>
      <c r="J36" s="43"/>
      <c r="K36" s="43"/>
      <c r="L36" s="43"/>
      <c r="M36" s="43"/>
      <c r="N36" s="43"/>
      <c r="O36" s="43"/>
      <c r="P36" s="43"/>
      <c r="Q36" s="43"/>
      <c r="R36" s="43"/>
      <c r="S36" s="43"/>
      <c r="T36" s="43"/>
      <c r="U36" s="43"/>
      <c r="V36" s="43"/>
      <c r="W36" s="43"/>
    </row>
    <row r="37" spans="1:23">
      <c r="A37" s="43"/>
      <c r="B37" s="43"/>
      <c r="C37" s="43"/>
      <c r="D37" s="43"/>
      <c r="E37" s="43"/>
      <c r="F37" s="43"/>
      <c r="G37" s="43"/>
      <c r="H37" s="43"/>
      <c r="I37" s="43"/>
      <c r="J37" s="43"/>
      <c r="K37" s="43"/>
      <c r="L37" s="43"/>
      <c r="M37" s="43"/>
      <c r="N37" s="43"/>
      <c r="O37" s="43"/>
      <c r="P37" s="43"/>
      <c r="Q37" s="43"/>
      <c r="R37" s="43"/>
      <c r="S37" s="43"/>
      <c r="T37" s="43"/>
      <c r="U37" s="43"/>
      <c r="V37" s="43"/>
      <c r="W37" s="43"/>
    </row>
    <row r="38" spans="1:23">
      <c r="A38" s="43"/>
      <c r="B38" s="43"/>
      <c r="C38" s="43"/>
      <c r="D38" s="43"/>
      <c r="E38" s="43"/>
      <c r="F38" s="43"/>
      <c r="G38" s="43"/>
      <c r="H38" s="43"/>
      <c r="I38" s="43"/>
      <c r="J38" s="43"/>
      <c r="K38" s="43"/>
      <c r="L38" s="43"/>
      <c r="M38" s="43"/>
      <c r="N38" s="43"/>
      <c r="O38" s="43"/>
      <c r="P38" s="43"/>
      <c r="Q38" s="43"/>
      <c r="R38" s="43"/>
      <c r="S38" s="43"/>
      <c r="T38" s="43"/>
      <c r="U38" s="43"/>
      <c r="V38" s="43"/>
      <c r="W38" s="43"/>
    </row>
    <row r="39" spans="1:23">
      <c r="A39" s="43"/>
      <c r="B39" s="43"/>
      <c r="C39" s="43"/>
      <c r="D39" s="43"/>
      <c r="E39" s="43"/>
      <c r="F39" s="43"/>
      <c r="G39" s="43"/>
      <c r="H39" s="43"/>
      <c r="I39" s="43"/>
      <c r="J39" s="43"/>
      <c r="K39" s="43"/>
      <c r="L39" s="43"/>
      <c r="M39" s="43"/>
      <c r="N39" s="43"/>
      <c r="O39" s="43"/>
      <c r="P39" s="43"/>
      <c r="Q39" s="43"/>
      <c r="R39" s="43"/>
      <c r="S39" s="43"/>
      <c r="T39" s="43"/>
      <c r="U39" s="43"/>
      <c r="V39" s="43"/>
      <c r="W39" s="43"/>
    </row>
    <row r="40" spans="1:23">
      <c r="A40" s="43"/>
      <c r="B40" s="43"/>
      <c r="C40" s="43"/>
      <c r="D40" s="43"/>
      <c r="E40" s="43"/>
      <c r="F40" s="43"/>
      <c r="G40" s="43"/>
      <c r="H40" s="43"/>
      <c r="I40" s="43"/>
      <c r="J40" s="43"/>
      <c r="K40" s="43"/>
      <c r="L40" s="43"/>
      <c r="M40" s="43"/>
      <c r="N40" s="43"/>
      <c r="O40" s="43"/>
      <c r="P40" s="43"/>
      <c r="Q40" s="43"/>
      <c r="R40" s="43"/>
      <c r="S40" s="43"/>
      <c r="T40" s="43"/>
      <c r="U40" s="43"/>
      <c r="V40" s="43"/>
      <c r="W40" s="43"/>
    </row>
    <row r="41" spans="1:23">
      <c r="A41" s="43"/>
      <c r="B41" s="43"/>
      <c r="C41" s="43"/>
      <c r="D41" s="43"/>
      <c r="E41" s="43"/>
      <c r="F41" s="43"/>
      <c r="G41" s="43"/>
      <c r="H41" s="43"/>
      <c r="I41" s="43"/>
      <c r="J41" s="43"/>
      <c r="K41" s="43"/>
      <c r="L41" s="43"/>
      <c r="M41" s="43"/>
      <c r="N41" s="43"/>
      <c r="O41" s="43"/>
      <c r="P41" s="43"/>
      <c r="Q41" s="43"/>
      <c r="R41" s="43"/>
      <c r="S41" s="43"/>
      <c r="T41" s="43"/>
      <c r="U41" s="43"/>
      <c r="V41" s="43"/>
      <c r="W41" s="43"/>
    </row>
    <row r="42" spans="1:23">
      <c r="A42" s="43"/>
      <c r="B42" s="43"/>
      <c r="C42" s="43"/>
      <c r="D42" s="43"/>
      <c r="E42" s="43"/>
      <c r="F42" s="43"/>
      <c r="G42" s="43"/>
      <c r="H42" s="43"/>
      <c r="I42" s="43"/>
      <c r="J42" s="43"/>
      <c r="K42" s="43"/>
      <c r="L42" s="43"/>
      <c r="M42" s="43"/>
      <c r="N42" s="43"/>
      <c r="O42" s="43"/>
      <c r="P42" s="43"/>
      <c r="Q42" s="43"/>
      <c r="R42" s="43"/>
      <c r="S42" s="43"/>
      <c r="T42" s="43"/>
      <c r="U42" s="43"/>
      <c r="V42" s="43"/>
      <c r="W42" s="43"/>
    </row>
    <row r="43" spans="1:23">
      <c r="A43" s="43"/>
      <c r="B43" s="43"/>
      <c r="C43" s="43"/>
      <c r="D43" s="43"/>
      <c r="E43" s="43"/>
      <c r="F43" s="43"/>
      <c r="G43" s="43"/>
      <c r="H43" s="43"/>
      <c r="I43" s="43"/>
      <c r="J43" s="43"/>
      <c r="K43" s="43"/>
      <c r="L43" s="43"/>
      <c r="M43" s="43"/>
      <c r="N43" s="43"/>
      <c r="O43" s="43"/>
      <c r="P43" s="43"/>
      <c r="Q43" s="43"/>
      <c r="R43" s="43"/>
      <c r="S43" s="43"/>
      <c r="T43" s="43"/>
      <c r="U43" s="43"/>
      <c r="V43" s="43"/>
      <c r="W43" s="43"/>
    </row>
    <row r="44" spans="1:23">
      <c r="A44" s="43"/>
      <c r="B44" s="43"/>
      <c r="C44" s="43"/>
      <c r="D44" s="43"/>
      <c r="E44" s="43"/>
      <c r="F44" s="43"/>
      <c r="G44" s="43"/>
      <c r="H44" s="43"/>
      <c r="I44" s="43"/>
      <c r="J44" s="43"/>
      <c r="K44" s="43"/>
      <c r="L44" s="43"/>
      <c r="M44" s="43"/>
      <c r="N44" s="43"/>
      <c r="O44" s="43"/>
      <c r="P44" s="43"/>
      <c r="Q44" s="43"/>
      <c r="R44" s="43"/>
      <c r="S44" s="43"/>
      <c r="T44" s="43"/>
      <c r="U44" s="43"/>
      <c r="V44" s="43"/>
      <c r="W44" s="43"/>
    </row>
    <row r="45" spans="1:23">
      <c r="A45" s="43"/>
      <c r="B45" s="43"/>
      <c r="C45" s="43"/>
      <c r="D45" s="43"/>
      <c r="E45" s="43"/>
      <c r="F45" s="43"/>
      <c r="G45" s="43"/>
      <c r="H45" s="43"/>
      <c r="I45" s="43"/>
      <c r="J45" s="43"/>
      <c r="K45" s="43"/>
      <c r="L45" s="43"/>
      <c r="M45" s="43"/>
      <c r="N45" s="43"/>
      <c r="O45" s="43"/>
      <c r="P45" s="43"/>
      <c r="Q45" s="43"/>
      <c r="R45" s="43"/>
      <c r="S45" s="43"/>
      <c r="T45" s="43"/>
      <c r="U45" s="43"/>
      <c r="V45" s="43"/>
      <c r="W45" s="43"/>
    </row>
    <row r="46" spans="1:23">
      <c r="A46" s="43"/>
      <c r="B46" s="43"/>
      <c r="C46" s="43"/>
      <c r="D46" s="43"/>
      <c r="E46" s="43"/>
      <c r="F46" s="43"/>
      <c r="G46" s="43"/>
      <c r="H46" s="43"/>
      <c r="I46" s="43"/>
      <c r="J46" s="43"/>
      <c r="K46" s="43"/>
      <c r="L46" s="43"/>
      <c r="M46" s="43"/>
      <c r="N46" s="43"/>
      <c r="O46" s="43"/>
      <c r="P46" s="43"/>
      <c r="Q46" s="43"/>
      <c r="R46" s="43"/>
      <c r="S46" s="43"/>
      <c r="T46" s="43"/>
      <c r="U46" s="43"/>
      <c r="V46" s="43"/>
      <c r="W46" s="43"/>
    </row>
    <row r="47" spans="1:23">
      <c r="A47" s="43"/>
      <c r="B47" s="43"/>
      <c r="C47" s="43"/>
      <c r="D47" s="43"/>
      <c r="E47" s="43"/>
      <c r="F47" s="43"/>
      <c r="G47" s="43"/>
      <c r="H47" s="43"/>
      <c r="I47" s="43"/>
      <c r="J47" s="43"/>
      <c r="K47" s="43"/>
      <c r="L47" s="43"/>
      <c r="M47" s="43"/>
      <c r="N47" s="43"/>
      <c r="O47" s="43"/>
      <c r="P47" s="43"/>
      <c r="Q47" s="43"/>
      <c r="R47" s="43"/>
      <c r="S47" s="43"/>
      <c r="T47" s="43"/>
      <c r="U47" s="43"/>
      <c r="V47" s="43"/>
      <c r="W47" s="43"/>
    </row>
    <row r="48" spans="1:23">
      <c r="A48" s="43"/>
      <c r="B48" s="43"/>
      <c r="C48" s="43"/>
      <c r="D48" s="43"/>
      <c r="E48" s="43"/>
      <c r="F48" s="43"/>
      <c r="G48" s="43"/>
      <c r="H48" s="43"/>
      <c r="I48" s="43"/>
      <c r="J48" s="43"/>
      <c r="K48" s="43"/>
      <c r="L48" s="43"/>
      <c r="M48" s="43"/>
      <c r="N48" s="43"/>
      <c r="O48" s="43"/>
      <c r="P48" s="43"/>
      <c r="Q48" s="43"/>
      <c r="R48" s="43"/>
      <c r="S48" s="43"/>
      <c r="T48" s="43"/>
      <c r="U48" s="43"/>
      <c r="V48" s="43"/>
      <c r="W48" s="43"/>
    </row>
    <row r="49" spans="1:23">
      <c r="A49" s="43"/>
      <c r="B49" s="43"/>
      <c r="C49" s="43"/>
      <c r="D49" s="43"/>
      <c r="E49" s="43"/>
      <c r="F49" s="43"/>
      <c r="G49" s="43"/>
      <c r="H49" s="43"/>
      <c r="I49" s="43"/>
      <c r="J49" s="43"/>
      <c r="K49" s="43"/>
      <c r="L49" s="43"/>
      <c r="M49" s="43"/>
      <c r="N49" s="43"/>
      <c r="O49" s="43"/>
      <c r="P49" s="43"/>
      <c r="Q49" s="43"/>
      <c r="R49" s="43"/>
      <c r="S49" s="43"/>
      <c r="T49" s="43"/>
      <c r="U49" s="43"/>
      <c r="V49" s="43"/>
      <c r="W49" s="43"/>
    </row>
    <row r="50" spans="1:23">
      <c r="A50" s="43"/>
      <c r="B50" s="43"/>
      <c r="C50" s="43"/>
      <c r="D50" s="43"/>
      <c r="E50" s="43"/>
      <c r="F50" s="43"/>
      <c r="G50" s="43"/>
      <c r="H50" s="43"/>
      <c r="I50" s="43"/>
      <c r="J50" s="43"/>
      <c r="K50" s="43"/>
      <c r="L50" s="43"/>
      <c r="M50" s="43"/>
      <c r="N50" s="43"/>
      <c r="O50" s="43"/>
      <c r="P50" s="43"/>
      <c r="Q50" s="43"/>
      <c r="R50" s="43"/>
      <c r="S50" s="43"/>
      <c r="T50" s="43"/>
      <c r="U50" s="43"/>
      <c r="V50" s="43"/>
      <c r="W50" s="43"/>
    </row>
    <row r="51" spans="1:23">
      <c r="A51" s="43"/>
      <c r="B51" s="43"/>
      <c r="C51" s="43"/>
      <c r="D51" s="43"/>
      <c r="E51" s="43"/>
      <c r="F51" s="43"/>
      <c r="G51" s="43"/>
      <c r="H51" s="43"/>
      <c r="I51" s="43"/>
      <c r="J51" s="43"/>
      <c r="K51" s="43"/>
      <c r="L51" s="43"/>
      <c r="M51" s="43"/>
      <c r="N51" s="43"/>
      <c r="O51" s="43"/>
      <c r="P51" s="43"/>
      <c r="Q51" s="43"/>
      <c r="R51" s="43"/>
      <c r="S51" s="43"/>
      <c r="T51" s="43"/>
      <c r="U51" s="43"/>
      <c r="V51" s="43"/>
      <c r="W51" s="43"/>
    </row>
    <row r="52" spans="1:23">
      <c r="A52" s="43"/>
      <c r="B52" s="43"/>
      <c r="C52" s="43"/>
      <c r="D52" s="43"/>
      <c r="E52" s="43"/>
      <c r="F52" s="43"/>
      <c r="G52" s="43"/>
      <c r="H52" s="43"/>
      <c r="I52" s="43"/>
      <c r="J52" s="43"/>
      <c r="K52" s="43"/>
      <c r="L52" s="43"/>
      <c r="M52" s="43"/>
      <c r="N52" s="43"/>
      <c r="O52" s="43"/>
      <c r="P52" s="43"/>
      <c r="Q52" s="43"/>
      <c r="R52" s="43"/>
      <c r="S52" s="43"/>
      <c r="T52" s="43"/>
      <c r="U52" s="43"/>
      <c r="V52" s="43"/>
      <c r="W52" s="43"/>
    </row>
    <row r="53" spans="1:23">
      <c r="A53" s="43"/>
      <c r="B53" s="43"/>
      <c r="C53" s="43"/>
      <c r="D53" s="43"/>
      <c r="E53" s="43"/>
      <c r="F53" s="43"/>
      <c r="G53" s="43"/>
      <c r="H53" s="43"/>
      <c r="I53" s="43"/>
      <c r="J53" s="43"/>
      <c r="K53" s="43"/>
      <c r="L53" s="43"/>
      <c r="M53" s="43"/>
      <c r="N53" s="43"/>
      <c r="O53" s="43"/>
      <c r="P53" s="43"/>
      <c r="Q53" s="43"/>
      <c r="R53" s="43"/>
      <c r="S53" s="43"/>
      <c r="T53" s="43"/>
      <c r="U53" s="43"/>
      <c r="V53" s="43"/>
      <c r="W53" s="43"/>
    </row>
    <row r="54" spans="1:23">
      <c r="A54" s="43"/>
      <c r="B54" s="43"/>
      <c r="C54" s="43"/>
      <c r="D54" s="43"/>
      <c r="E54" s="43"/>
      <c r="F54" s="43"/>
      <c r="G54" s="43"/>
      <c r="H54" s="43"/>
      <c r="I54" s="43"/>
      <c r="J54" s="43"/>
      <c r="K54" s="43"/>
      <c r="L54" s="43"/>
      <c r="M54" s="43"/>
      <c r="N54" s="43"/>
      <c r="O54" s="43"/>
      <c r="P54" s="43"/>
      <c r="Q54" s="43"/>
      <c r="R54" s="43"/>
      <c r="S54" s="43"/>
      <c r="T54" s="43"/>
      <c r="U54" s="43"/>
      <c r="V54" s="43"/>
      <c r="W54" s="43"/>
    </row>
    <row r="55" spans="1:23">
      <c r="A55" s="43"/>
      <c r="B55" s="43"/>
      <c r="C55" s="43"/>
      <c r="D55" s="43"/>
      <c r="E55" s="43"/>
      <c r="F55" s="43"/>
      <c r="G55" s="43"/>
      <c r="H55" s="43"/>
      <c r="I55" s="43"/>
      <c r="J55" s="43"/>
      <c r="K55" s="43"/>
      <c r="L55" s="43"/>
      <c r="M55" s="43"/>
      <c r="N55" s="43"/>
      <c r="O55" s="43"/>
      <c r="P55" s="43"/>
      <c r="Q55" s="43"/>
      <c r="R55" s="43"/>
      <c r="S55" s="43"/>
      <c r="T55" s="43"/>
      <c r="U55" s="43"/>
      <c r="V55" s="43"/>
      <c r="W55" s="43"/>
    </row>
    <row r="56" spans="1:23">
      <c r="A56" s="43"/>
      <c r="B56" s="43"/>
      <c r="C56" s="43"/>
      <c r="D56" s="43"/>
      <c r="E56" s="43"/>
      <c r="F56" s="43"/>
      <c r="G56" s="43"/>
      <c r="H56" s="43"/>
      <c r="I56" s="43"/>
      <c r="J56" s="43"/>
      <c r="K56" s="43"/>
      <c r="L56" s="43"/>
      <c r="M56" s="43"/>
      <c r="N56" s="43"/>
      <c r="O56" s="43"/>
      <c r="P56" s="43"/>
      <c r="Q56" s="43"/>
      <c r="R56" s="43"/>
      <c r="S56" s="43"/>
      <c r="T56" s="43"/>
      <c r="U56" s="43"/>
      <c r="V56" s="43"/>
      <c r="W56" s="43"/>
    </row>
    <row r="57" spans="1:23">
      <c r="A57" s="43"/>
      <c r="B57" s="43"/>
      <c r="C57" s="43"/>
      <c r="D57" s="43"/>
      <c r="E57" s="43"/>
      <c r="F57" s="43"/>
      <c r="G57" s="43"/>
      <c r="H57" s="43"/>
      <c r="I57" s="43"/>
      <c r="J57" s="43"/>
      <c r="K57" s="43"/>
      <c r="L57" s="43"/>
      <c r="M57" s="43"/>
      <c r="N57" s="43"/>
      <c r="O57" s="43"/>
      <c r="P57" s="43"/>
      <c r="Q57" s="43"/>
      <c r="R57" s="43"/>
      <c r="S57" s="43"/>
      <c r="T57" s="43"/>
      <c r="U57" s="43"/>
      <c r="V57" s="43"/>
      <c r="W57" s="43"/>
    </row>
    <row r="58" spans="1:23">
      <c r="A58" s="43"/>
      <c r="B58" s="43"/>
      <c r="C58" s="43"/>
      <c r="D58" s="43"/>
      <c r="E58" s="43"/>
      <c r="F58" s="43"/>
      <c r="G58" s="43"/>
      <c r="H58" s="43"/>
      <c r="I58" s="43"/>
      <c r="J58" s="43"/>
      <c r="K58" s="43"/>
      <c r="L58" s="43"/>
      <c r="M58" s="43"/>
      <c r="N58" s="43"/>
      <c r="O58" s="43"/>
      <c r="P58" s="43"/>
      <c r="Q58" s="43"/>
      <c r="R58" s="43"/>
      <c r="S58" s="43"/>
      <c r="T58" s="43"/>
      <c r="U58" s="43"/>
      <c r="V58" s="43"/>
      <c r="W58" s="43"/>
    </row>
    <row r="59" spans="1:23">
      <c r="A59" s="43"/>
      <c r="B59" s="43"/>
      <c r="C59" s="43"/>
      <c r="D59" s="43"/>
      <c r="E59" s="43"/>
      <c r="F59" s="43"/>
      <c r="G59" s="43"/>
      <c r="H59" s="43"/>
      <c r="I59" s="43"/>
      <c r="J59" s="43"/>
      <c r="K59" s="43"/>
      <c r="L59" s="43"/>
      <c r="M59" s="43"/>
      <c r="N59" s="43"/>
      <c r="O59" s="43"/>
      <c r="P59" s="43"/>
      <c r="Q59" s="43"/>
      <c r="R59" s="43"/>
      <c r="S59" s="43"/>
      <c r="T59" s="43"/>
      <c r="U59" s="43"/>
      <c r="V59" s="43"/>
      <c r="W59" s="43"/>
    </row>
    <row r="60" spans="1:23">
      <c r="A60" s="43"/>
      <c r="B60" s="43"/>
      <c r="C60" s="43"/>
      <c r="D60" s="43"/>
      <c r="E60" s="43"/>
      <c r="F60" s="43"/>
      <c r="G60" s="43"/>
      <c r="H60" s="43"/>
      <c r="I60" s="43"/>
      <c r="J60" s="43"/>
      <c r="K60" s="43"/>
      <c r="L60" s="43"/>
      <c r="M60" s="43"/>
      <c r="N60" s="43"/>
      <c r="O60" s="43"/>
      <c r="P60" s="43"/>
      <c r="Q60" s="43"/>
      <c r="R60" s="43"/>
      <c r="S60" s="43"/>
      <c r="T60" s="43"/>
      <c r="U60" s="43"/>
      <c r="V60" s="43"/>
      <c r="W60" s="43"/>
    </row>
    <row r="61" spans="1:23">
      <c r="A61" s="43"/>
      <c r="B61" s="43"/>
      <c r="C61" s="43"/>
      <c r="D61" s="43"/>
      <c r="E61" s="43"/>
      <c r="F61" s="43"/>
      <c r="G61" s="43"/>
      <c r="H61" s="43"/>
      <c r="I61" s="43"/>
      <c r="J61" s="43"/>
      <c r="K61" s="43"/>
      <c r="L61" s="43"/>
      <c r="M61" s="43"/>
      <c r="N61" s="43"/>
      <c r="O61" s="43"/>
      <c r="P61" s="43"/>
      <c r="Q61" s="43"/>
      <c r="R61" s="43"/>
      <c r="S61" s="43"/>
      <c r="T61" s="43"/>
      <c r="U61" s="43"/>
      <c r="V61" s="43"/>
      <c r="W61" s="43"/>
    </row>
    <row r="62" spans="1:23">
      <c r="A62" s="43"/>
      <c r="B62" s="43"/>
      <c r="C62" s="43"/>
      <c r="D62" s="43"/>
      <c r="E62" s="43"/>
      <c r="F62" s="43"/>
      <c r="G62" s="43"/>
      <c r="H62" s="43"/>
      <c r="I62" s="43"/>
      <c r="J62" s="43"/>
      <c r="K62" s="43"/>
      <c r="L62" s="43"/>
      <c r="M62" s="43"/>
      <c r="N62" s="43"/>
      <c r="O62" s="43"/>
      <c r="P62" s="43"/>
      <c r="Q62" s="43"/>
      <c r="R62" s="43"/>
      <c r="S62" s="43"/>
      <c r="T62" s="43"/>
      <c r="U62" s="43"/>
      <c r="V62" s="43"/>
      <c r="W62" s="43"/>
    </row>
    <row r="63" spans="1:23">
      <c r="A63" s="43"/>
      <c r="B63" s="43"/>
      <c r="C63" s="43"/>
      <c r="D63" s="43"/>
      <c r="E63" s="43"/>
      <c r="F63" s="43"/>
      <c r="G63" s="43"/>
      <c r="H63" s="43"/>
      <c r="I63" s="43"/>
      <c r="J63" s="43"/>
      <c r="K63" s="43"/>
      <c r="L63" s="43"/>
      <c r="M63" s="43"/>
      <c r="N63" s="43"/>
      <c r="O63" s="43"/>
      <c r="P63" s="43"/>
      <c r="Q63" s="43"/>
      <c r="R63" s="43"/>
      <c r="S63" s="43"/>
      <c r="T63" s="43"/>
      <c r="U63" s="43"/>
      <c r="V63" s="43"/>
      <c r="W63" s="43"/>
    </row>
  </sheetData>
  <mergeCells count="1">
    <mergeCell ref="D2: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4CCFF6-DD91-4928-BAC6-28FF04BB3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FORMULAS</vt:lpstr>
      <vt:lpstr>PIVOT TABLES</vt:lpstr>
      <vt:lpstr>RAW_DATA</vt:lpstr>
      <vt:lpstr>DASHBOARD</vt:lpstr>
      <vt:lpstr>DASHBOAED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Bhuvana A</dc:creator>
  <cp:lastModifiedBy>Bhuvana A</cp:lastModifiedBy>
  <dcterms:created xsi:type="dcterms:W3CDTF">2026-07-07T15:41:24Z</dcterms:created>
  <dcterms:modified xsi:type="dcterms:W3CDTF">2026-07-22T16:20:21Z</dcterms:modified>
</cp:coreProperties>
</file>